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How it converts" state="visible" r:id="rId5"/>
    <sheet sheetId="3" name="Settings" state="visible" r:id="rId6"/>
    <sheet sheetId="4" name="JLR Machines" state="visible" r:id="rId7"/>
    <sheet sheetId="5" name="JLR Materials" state="visible" r:id="rId8"/>
    <sheet sheetId="6" name="JLR Labour" state="visible" r:id="rId9"/>
    <sheet sheetId="7" name="Mapping" state="visible" r:id="rId10"/>
    <sheet sheetId="8" name="Materials" state="visible" r:id="rId11"/>
    <sheet sheetId="9" name="Machines" state="visible" r:id="rId12"/>
    <sheet sheetId="10" name="Labour" state="visible" r:id="rId13"/>
    <sheet sheetId="11" name="Energy" state="visible" r:id="rId14"/>
    <sheet sheetId="12" name="FX" state="visible" r:id="rId15"/>
    <sheet sheetId="13" name="Overhead" state="visible" r:id="rId16"/>
    <sheet sheetId="14" name="Check" state="visible" r:id="rId17"/>
  </sheets>
  <definedNames>
    <definedName name="_xlnm.Print_Titles" localSheetId="2">'Settings'!$1:$1</definedName>
    <definedName name="_xlnm.Print_Titles" localSheetId="3">'JLR Machines'!$1:$1</definedName>
    <definedName name="_xlnm.Print_Titles" localSheetId="4">'JLR Materials'!$1:$1</definedName>
    <definedName name="_xlnm.Print_Titles" localSheetId="5">'JLR Labour'!$1:$1</definedName>
    <definedName name="_xlnm.Print_Titles" localSheetId="6">'Mapping'!$1:$1</definedName>
    <definedName name="_xlnm.Print_Titles" localSheetId="7">'Materials'!$1:$1</definedName>
    <definedName name="_xlnm.Print_Titles" localSheetId="8">'Machines'!$1:$1</definedName>
    <definedName name="_xlnm.Print_Titles" localSheetId="9">'Labour'!$1:$1</definedName>
    <definedName name="_xlnm.Print_Titles" localSheetId="10">'Energy'!$1:$1</definedName>
    <definedName name="_xlnm.Print_Titles" localSheetId="11">'FX'!$1:$1</definedName>
    <definedName name="_xlnm.Print_Titles" localSheetId="12">'Overhead'!$1:$1</definedName>
  </definedNames>
  <calcPr calcId="171027"/>
</workbook>
</file>

<file path=xl/sharedStrings.xml><?xml version="1.0" encoding="utf-8"?>
<sst xmlns="http://schemas.openxmlformats.org/spreadsheetml/2006/main" count="5872" uniqueCount="2640">
  <si>
    <t>CostVision rate card converter</t>
  </si>
  <si>
    <t>Put your own rates into CostVision without retyping them. Seven steps, about ten minutes the first time.</t>
  </si>
  <si>
    <t>WHAT THIS IS FOR</t>
  </si>
  <si>
    <t>You get a rate card in your own layout, with your own codes. CostVision needs its own ids,</t>
  </si>
  <si>
    <t>because those ids are what its costing formulas look for. This workbook joins the two.</t>
  </si>
  <si>
    <t>You paste your rates in. It fills in the file CostVision reads. Nothing is renamed, and</t>
  </si>
  <si>
    <t>there is no code to change. It is ordinary Excel formulas, so there are no macros to allow.</t>
  </si>
  <si>
    <t>BEFORE YOU START</t>
  </si>
  <si>
    <t>Have your machine rate card and your material rate card open.</t>
  </si>
  <si>
    <t>If labour comes as its own file, have that too. If it does not, you will not need one.</t>
  </si>
  <si>
    <t>Know the country you are costing in, and the period stamped on each file.</t>
  </si>
  <si>
    <t>THE SEVEN STEPS</t>
  </si>
  <si>
    <t>STEP 1</t>
  </si>
  <si>
    <t>Paste the machine rates.</t>
  </si>
  <si>
    <t>a.  Go to the tab called  JLR Machines.</t>
  </si>
  <si>
    <t>b.  Row 2 is an example. Click the row 2 number, right-click, and choose Delete Row.</t>
  </si>
  <si>
    <t>c.  In your machine file, select all the rows of data. Not the header row.</t>
  </si>
  <si>
    <t>d.  Come back here, click cell  A2 , and paste. Use Paste Special → Values if you have it.</t>
  </si>
  <si>
    <t>e.  Look across: MACHINE_CODE should be in column A, TOTAL_MACHINE_RATE in column N.</t>
  </si>
  <si>
    <t>Row 1 already has your 14 headers on it, in the shaded band. Leave that row alone.</t>
  </si>
  <si>
    <t>If your file has extra columns, or has them in a different order, tidy your copy first so</t>
  </si>
  <si>
    <t>the columns line up with row 1 here. Paste as many rows as you like, all countries</t>
  </si>
  <si>
    <t>included. Step 4 is what picks out the ones you want.</t>
  </si>
  <si>
    <t>STEP 2</t>
  </si>
  <si>
    <t>Paste the material rates.</t>
  </si>
  <si>
    <t>Same again on the  JLR Materials  tab. Delete the example on row 2, then paste your</t>
  </si>
  <si>
    <t>rows into cell  A2 . CODE goes in column A, CO2 in column G.</t>
  </si>
  <si>
    <t>STEP 3</t>
  </si>
  <si>
    <t>Paste the labour rates, if you have them separately.</t>
  </si>
  <si>
    <t>On the card we have seen, labour is already inside the machine file, as</t>
  </si>
  <si>
    <t>TOTAL_LABOUR_RATE next to a LABOUR_CATEGORY. If that is true for you, skip this step.</t>
  </si>
  <si>
    <t>Go to  JLR Labour , delete the example rows, and leave the tab empty. The sheet will</t>
  </si>
  <si>
    <t>find labour on the machine tab instead.</t>
  </si>
  <si>
    <t>If you do have a separate labour file, delete the examples and paste into  A2  as before.</t>
  </si>
  <si>
    <t>STEP 4</t>
  </si>
  <si>
    <t>Say which country and which period you want.</t>
  </si>
  <si>
    <t>Go to the  Settings  tab and fill in the four shaded cells in column B:</t>
  </si>
  <si>
    <t xml:space="preserve">   B2   Country            for example   United Kingdom</t>
  </si>
  <si>
    <t xml:space="preserve">   B3   Machine period     for example   04042025        (copy it from PERIOD_CODE)</t>
  </si>
  <si>
    <t xml:space="preserve">   B4   Material period    for example   04-04-2025      (copy it from PERIOD)</t>
  </si>
  <si>
    <t xml:space="preserve">   B5   MATERIAL_RECLAIM   choose        percent  or  per kg</t>
  </si>
  <si>
    <t>Type each one exactly as it appears in your file, spaces and dashes and all. Copying it</t>
  </si>
  <si>
    <t>straight out of the file is safer than typing it.</t>
  </si>
  <si>
    <t>There are two period boxes on purpose. The two files write the same quarter differently.</t>
  </si>
  <si>
    <t>Leave a box empty only if you have already cut that file down to one country and one period.</t>
  </si>
  <si>
    <t>About B5: if MATERIAL_RECLAIM is a percentage of the material rate, leave it on percent.</t>
  </si>
  <si>
    <t>If it is already a price per kilo, choose per kg. Please check which one it is with whoever</t>
  </si>
  <si>
    <t>looks after the rate card. Getting it the wrong way round changes the scrap credit a lot.</t>
  </si>
  <si>
    <t>STEP 5</t>
  </si>
  <si>
    <t>Say which of your codes is which CostVision rate. You only do this once.</t>
  </si>
  <si>
    <t>Go to the  Mapping  tab. It lists every rate CostVision uses, with a plain description of</t>
  </si>
  <si>
    <t>each one in column B, such as "1045 / C45 (Medium-Carbon Steel) — UK".</t>
  </si>
  <si>
    <t>In column C, type your own CODE next to the ones you have. Leave the rest empty.</t>
  </si>
  <si>
    <t>Column D then shows the name you hold against that code. Read it. If it is not the thing</t>
  </si>
  <si>
    <t>you meant, the code is wrong. If it turns red and says NOT FOUND, that code is not in the</t>
  </si>
  <si>
    <t>data you pasted.</t>
  </si>
  <si>
    <t>For labour, the code is the LABOUR_CATEGORY, such as CB. It is not a machine number.</t>
  </si>
  <si>
    <t>Every description ends with the region it belongs to, such as "— UK" or "— CN". Put a UK</t>
  </si>
  <si>
    <t>rate card against the UK rows. A UK rate put on a Chinese row will load quite happily and</t>
  </si>
  <si>
    <t>be wrong, and nothing further down can tell.</t>
  </si>
  <si>
    <t>You do not have to fill in all of them. Map the twenty materials you actually buy and the</t>
  </si>
  <si>
    <t>other three hundred keep the values CostVision ships with. That is a normal way to use this.</t>
  </si>
  <si>
    <t>STEP 6</t>
  </si>
  <si>
    <t>Recalculate and save.</t>
  </si>
  <si>
    <t>Press F9. Saving does it too. Then use File → Save As and put the quarter in the name,</t>
  </si>
  <si>
    <t>such as CostVision-rates-2025-Q2.xlsx. Keep it as .xlsx.</t>
  </si>
  <si>
    <t>STEP 7</t>
  </si>
  <si>
    <t>Check it, then upload it.</t>
  </si>
  <si>
    <t>Go to the  Check  tab. Every line that should be zero turns green when it is, and red when</t>
  </si>
  <si>
    <t>it is not. It also tells you how many rates were picked up. If that is zero all the way</t>
  </si>
  <si>
    <t>down, something in step 4 or step 5 has not matched.</t>
  </si>
  <si>
    <t>When it looks right: open CostVision, sign in as an admin, and go to Edit Rates.</t>
  </si>
  <si>
    <t>Choose Upload company rates, and pick the file you just saved. It will tell you how many</t>
  </si>
  <si>
    <t>rows it read. From then on, every costing uses your rates.</t>
  </si>
  <si>
    <t>AN EXAMPLE, ALL THE WAY THROUGH</t>
  </si>
  <si>
    <t>Say your machine card has this row on it:</t>
  </si>
  <si>
    <t>712008 | 100t Hydraulic Injection Moulding MC | United Kingdom | 04042025 | CB |</t>
  </si>
  <si>
    <t>40.97 | 1.75 | 1.06 | 1.97 | 0.18 | 0.64 | 4.45 | 0.00 | 10.06</t>
  </si>
  <si>
    <t>You paste it into JLR Machines. On Settings you put United Kingdom and 04042025.</t>
  </si>
  <si>
    <t>On Mapping you find imm-100t, "100T Injection Moulding Machine — UK", and type 712008</t>
  </si>
  <si>
    <t>next to it. Column D comes back with "100t Hydraulic Injection Moulding MC", so you know</t>
  </si>
  <si>
    <t>you picked the right row.</t>
  </si>
  <si>
    <t>Press F9. CostVision now costs that machine at 10.06 an hour, which is exactly the</t>
  </si>
  <si>
    <t>TOTAL_MACHINE_RATE on your card, and it keeps the split you gave it:</t>
  </si>
  <si>
    <t>maintenance 1.97/hr, energy 4.45/hr, floor space 1.06/hr, finance 0.64/hr,</t>
  </si>
  <si>
    <t>indirect 0.18/hr, depreciation 1.76/hr.</t>
  </si>
  <si>
    <t>And because CB sits on that row at 40.97, mapping lab-uk-skilled to CB gives you the</t>
  </si>
  <si>
    <t>labour rate as well, with no separate labour file.</t>
  </si>
  <si>
    <t>The tab called How it converts shows every formula behind this, line by line.</t>
  </si>
  <si>
    <t>NEXT QUARTER</t>
  </si>
  <si>
    <t>Open this same file. Delete the old rows on the JLR tabs and paste the new ones. Change</t>
  </si>
  <si>
    <t>the two period boxes on Settings. Press F9, save, upload. Your column C on the Mapping</t>
  </si>
  <si>
    <t>tab is still filled in, because codes do not change from quarter to quarter.</t>
  </si>
  <si>
    <t>IF SOMETHING LOOKS WRONG</t>
  </si>
  <si>
    <t>Nothing was picked up at all.</t>
  </si>
  <si>
    <t xml:space="preserve">   The country or the period on Settings does not match the file exactly. Copy the value</t>
  </si>
  <si>
    <t xml:space="preserve">   out of your export and paste it in, rather than typing it.</t>
  </si>
  <si>
    <t>Column D on Mapping says NOT FOUND.</t>
  </si>
  <si>
    <t xml:space="preserve">   That code is not in the data you pasted. Check the code, and check the paste landed.</t>
  </si>
  <si>
    <t>Check says a code matched more than one row.</t>
  </si>
  <si>
    <t xml:space="preserve">   Your paste has the same code twice, usually two countries or two periods. Narrow it on</t>
  </si>
  <si>
    <t xml:space="preserve">   Settings. Until you do, that row keeps the CostVision value on purpose.</t>
  </si>
  <si>
    <t>A rate looks far too big or far too small.</t>
  </si>
  <si>
    <t xml:space="preserve">   Look at B5 on Settings. percent and per kg give very different answers.</t>
  </si>
  <si>
    <t>CostVision would not accept the file.</t>
  </si>
  <si>
    <t xml:space="preserve">   It will name the tab and the row. It is usually a number that pasted in as text.</t>
  </si>
  <si>
    <t>A FEW RULES THAT MATTER</t>
  </si>
  <si>
    <t>•</t>
  </si>
  <si>
    <t>Do not change column A on the Materials, Machines or Labour tabs. Those ids are what the</t>
  </si>
  <si>
    <t>costing formulas look for. Rename one and every costing using it stops.</t>
  </si>
  <si>
    <t>Do not type numbers into the Materials, Machines or Labour tabs. They fill themselves in,</t>
  </si>
  <si>
    <t>and your typing would be wiped the next time the sheet recalculates. Everything you</t>
  </si>
  <si>
    <t>change goes on the JLR tabs, on Settings, and on Mapping. Those are the shaded cells.</t>
  </si>
  <si>
    <t>Do not add or remove columns on the JLR tabs. Rows, as many as you like.</t>
  </si>
  <si>
    <t>Anything you do not map keeps the value CostVision ships with. A part-filled card is fine.</t>
  </si>
  <si>
    <t>Energy, FX and overhead are not on the JLR exports, so they are not on Mapping. They sit</t>
  </si>
  <si>
    <t>on their own tabs as plain numbers. Edit them there if they need to move.</t>
  </si>
  <si>
    <t>The grey columns on the right of each tab are the sheet working. Leave them be.</t>
  </si>
  <si>
    <t>The sheet reads the first 20,000 rows of each JLR tab. That is far more than a rate card,</t>
  </si>
  <si>
    <t>and if you ever paste more, the Check tab says so rather than quietly ignoring them.</t>
  </si>
  <si>
    <t>WHAT EACH TAB IS FOR</t>
  </si>
  <si>
    <t>Start here        this page</t>
  </si>
  <si>
    <t>How it converts   every formula, in plain words. Read this if you want to check the working.</t>
  </si>
  <si>
    <t>Settings          country, period, and what MATERIAL_RECLAIM means</t>
  </si>
  <si>
    <t>JLR Machines      paste your machine rate card here</t>
  </si>
  <si>
    <t>JLR Materials     paste your material rate card here</t>
  </si>
  <si>
    <t>JLR Labour        paste your labour rate card here, or leave it empty</t>
  </si>
  <si>
    <t>Mapping           your code against each CostVision rate. Filled in once.</t>
  </si>
  <si>
    <t>Materials         what CostVision reads. Fills itself in. Do not type here.</t>
  </si>
  <si>
    <t>Machines          what CostVision reads. Fills itself in. Do not type here.</t>
  </si>
  <si>
    <t>Labour            what CostVision reads. Fills itself in. Do not type here.</t>
  </si>
  <si>
    <t>Energy            not on the JLR card. Plain numbers, edit if you need to.</t>
  </si>
  <si>
    <t>FX                not on the JLR card. Plain numbers, edit if you need to.</t>
  </si>
  <si>
    <t>Overhead          not on the JLR card. Plain numbers, edit if you need to.</t>
  </si>
  <si>
    <t>Check             read this before you upload</t>
  </si>
  <si>
    <t>Built from CostVision rate library 2.2.0. Generated 2026-09-29.</t>
  </si>
  <si>
    <t>How it converts</t>
  </si>
  <si>
    <t>Every rule this workbook applies, in plain words, with the formula that does it. Nothing here is hidden in code.</t>
  </si>
  <si>
    <t>The short version</t>
  </si>
  <si>
    <t>Your rate card and CostVision hold the same numbers in different shapes.</t>
  </si>
  <si>
    <t>A machine rate on your card is seven costs per hour that add up to TOTAL_MACHINE_RATE.</t>
  </si>
  <si>
    <t>CostVision holds the same seven as yearly costs, and divides by hours x utilisation to get back to an hourly rate.</t>
  </si>
  <si>
    <t>So this sheet multiplies each of your hourly figures by that machine’s hours x utilisation. CostVision divides it straight back out.</t>
  </si>
  <si>
    <t>The rate lands on your published number, and the split survives, so a report can still show what the rate is made of.</t>
  </si>
  <si>
    <t>Materials and labour are simpler: the price and the hourly rate go straight across.</t>
  </si>
  <si>
    <t>The machine rate, line by line</t>
  </si>
  <si>
    <t>Each of your seven hourly figures becomes one yearly figure. 3,200 in the formula below is that machine’s own 4,000 hours x 80% utilisation — the same number CostVision divides by afterwards, so it cancels.</t>
  </si>
  <si>
    <t>From your file</t>
  </si>
  <si>
    <t>Becomes, in CostVision</t>
  </si>
  <si>
    <t>What happens to it</t>
  </si>
  <si>
    <t>The formula, as it is in the sheet</t>
  </si>
  <si>
    <t>DEPRECIATION</t>
  </si>
  <si>
    <t>annualDepreciation</t>
  </si>
  <si>
    <t>Depreciation x hours x utilisation, plus the penny the seven elements round by, so the rebuilt rate equals TOTAL_MACHINE_RATE exactly.</t>
  </si>
  <si>
    <t>IF($X2&gt;0,IF($Y2&gt;0,MAX(0,$Q2+$X2-$Y2)*3200,$X2*3200),40480)</t>
  </si>
  <si>
    <t>MRO</t>
  </si>
  <si>
    <t>maintenance</t>
  </si>
  <si>
    <t>MRO x hours x utilisation.</t>
  </si>
  <si>
    <t>IF($X2&gt;0,IF($Y2&gt;0,$S2*3200,0),22211)</t>
  </si>
  <si>
    <t>UTILITIES</t>
  </si>
  <si>
    <t>energy</t>
  </si>
  <si>
    <t>Utilities x hours x utilisation.</t>
  </si>
  <si>
    <t>IF($X2&gt;0,IF($Y2&gt;0,$V2*3200,0),23304)</t>
  </si>
  <si>
    <t>FLOORSPACE</t>
  </si>
  <si>
    <t>floorSpace</t>
  </si>
  <si>
    <t>Floorspace x hours x utilisation.</t>
  </si>
  <si>
    <t>IF($X2&gt;0,IF($Y2&gt;0,$R2*3200,0),8077)</t>
  </si>
  <si>
    <t>INSURANCE + CONSUMABLES</t>
  </si>
  <si>
    <t>indirectSupport</t>
  </si>
  <si>
    <t>Insurance and consumables together — CostVision has one line where the card has two.</t>
  </si>
  <si>
    <t>IF($X2&gt;0,IF($Y2&gt;0,($T2+$W2)*3200,0),22158)</t>
  </si>
  <si>
    <t>INTEREST</t>
  </si>
  <si>
    <t>financeCost</t>
  </si>
  <si>
    <t>Interest x hours x utilisation.</t>
  </si>
  <si>
    <t>IF($X2&gt;0,IF($Y2&gt;0,$U2*3200,0),16000)</t>
  </si>
  <si>
    <t>TOTAL_MACHINE_RATE</t>
  </si>
  <si>
    <t>nothing directly</t>
  </si>
  <si>
    <t>Used as the switch — if there is a rate for this machine, take your figures; if not, keep ours. Also used to check the answer.</t>
  </si>
  <si>
    <t>IF($X2&lt;=0,0,ROUND((D2+E2+F2+G2+H2+I2)/3200-$X2,4))</t>
  </si>
  <si>
    <t>If a row has only a TOTAL_MACHINE_RATE and no breakdown, the whole total goes on the depreciation line and the source note says so, rather than pretending to be a breakdown.</t>
  </si>
  <si>
    <t>Materials</t>
  </si>
  <si>
    <t>MATERIAL_RATE</t>
  </si>
  <si>
    <t>pricePerKg</t>
  </si>
  <si>
    <t>Your price per kilo, or ours when you have not mapped this one.</t>
  </si>
  <si>
    <t>IF($M2&gt;0,$M2,3.56)</t>
  </si>
  <si>
    <t>MATERIAL_RECLAIM</t>
  </si>
  <si>
    <t>scrapRecoveryPricePerKg</t>
  </si>
  <si>
    <t>The scrap credit, worked out in column O from whichever basis Settings says.</t>
  </si>
  <si>
    <t>IF($O2&gt;0,$O2,0.54)</t>
  </si>
  <si>
    <t>working: scrap £/kg</t>
  </si>
  <si>
    <t>Percent of the rate, or a price per kilo already. Settings B5 decides.</t>
  </si>
  <si>
    <t>IF($N2=0,0,IF(Settings!$B$5="percent",$M2*$N2/100,$N2))</t>
  </si>
  <si>
    <t>CO2</t>
  </si>
  <si>
    <t>nothing</t>
  </si>
  <si>
    <t>Brought onto the Materials tab so you can see it. CostVision has no carbon field in this file, so it is ignored on upload.</t>
  </si>
  <si>
    <t>(no formula — the column is carried across only)</t>
  </si>
  <si>
    <t>Labour</t>
  </si>
  <si>
    <t>TOTAL_LABOUR_RATE</t>
  </si>
  <si>
    <t>fullyLoadedRatePerHr</t>
  </si>
  <si>
    <t>Your hourly rate for that labour category, or ours when it is not mapped.</t>
  </si>
  <si>
    <t>IF($L2&gt;0,$L2,26.19)</t>
  </si>
  <si>
    <t>TOTAL_LABOUR_RATE on JLR Machines</t>
  </si>
  <si>
    <t>working: from the machine tab</t>
  </si>
  <si>
    <t>If there is no separate labour file, read the category off the machine rows instead.</t>
  </si>
  <si>
    <t>IF($H2="",0,IFERROR(AVERAGEIFS('JLR Machines'!$F$2:$F$20001,'JLR Machines'!$E$2:$E$20001,$H2,'JLR Machines'!$C$2:$C$20001,IF(Settings!$B$2="","&lt;&gt;",Settings!$B$2),'JLR Machines'!$D$2:$D$20001,IF(Settings!$B$3="","&lt;&gt;",Settings!$B$3)),0))</t>
  </si>
  <si>
    <t>The three rules underneath all of it</t>
  </si>
  <si>
    <t>Mapping column C</t>
  </si>
  <si>
    <t>which code to use</t>
  </si>
  <si>
    <t>Finds the code you typed on the Mapping tab for this row. Empty means "not mapped", and the row keeps our value.</t>
  </si>
  <si>
    <t>IFERROR(INDEX(Mapping!$C$2:$C$549,MATCH($A2,Mapping!$A$2:$A$549,0)),"")</t>
  </si>
  <si>
    <t>COUNTRY + PERIOD</t>
  </si>
  <si>
    <t>how many rows match</t>
  </si>
  <si>
    <t>Counts the pasted rows with this code, in the country and period you asked for on Settings. Only a count of exactly 1 is used. Two means the filter has not narrowed it, and a made-up average would be a rate nobody published.</t>
  </si>
  <si>
    <t>IF($K2="",0,COUNTIFS('JLR Materials'!$A$2:$A$20001,$K2,'JLR Materials'!$C$2:$C$20001,IF(Settings!$B$2="","&lt;&gt;",Settings!$B$2),'JLR Materials'!$D$2:$D$20001,IF(Settings!$B$4="","&lt;&gt;",Settings!$B$4)))</t>
  </si>
  <si>
    <t>the matched row</t>
  </si>
  <si>
    <t>the number itself</t>
  </si>
  <si>
    <t>Reads one column off that single matching row. Zero when there is no clean single match, which every formula above reads as "keep what CostVision already had".</t>
  </si>
  <si>
    <t>IF($L2&lt;&gt;1,0,SUMIFS('JLR Materials'!$E$2:$E$20001,'JLR Materials'!$A$2:$A$20001,$K2,'JLR Materials'!$C$2:$C$20001,IF(Settings!$B$2="","&lt;&gt;",Settings!$B$2),'JLR Materials'!$D$2:$D$20001,IF(Settings!$B$4="","&lt;&gt;",Settings!$B$4)))</t>
  </si>
  <si>
    <t>Where to find the working in the sheet</t>
  </si>
  <si>
    <t>K to P are the working columns. Q and R hold our own note and date, for when yours is not used.</t>
  </si>
  <si>
    <t>Machines</t>
  </si>
  <si>
    <t>O to Z are the working columns. AA and AB hold our own note and date.</t>
  </si>
  <si>
    <t>H to L are the working columns. M holds our own note.</t>
  </si>
  <si>
    <t>Mapping</t>
  </si>
  <si>
    <t>C is yours to fill in. D is the sheet reading your code back to you.</t>
  </si>
  <si>
    <t>Setting</t>
  </si>
  <si>
    <t>Value</t>
  </si>
  <si>
    <t>What it does</t>
  </si>
  <si>
    <t>Country</t>
  </si>
  <si>
    <t/>
  </si>
  <si>
    <t>Type it exactly as your file writes it, e.g. United Kingdom. Leave empty to take any.</t>
  </si>
  <si>
    <t>Machine period</t>
  </si>
  <si>
    <t>The PERIOD_CODE on your machine and labour files, e.g. 04042025.</t>
  </si>
  <si>
    <t>Material period</t>
  </si>
  <si>
    <t>The PERIOD on your material file, e.g. 04-04-2025. The two files write it differently.</t>
  </si>
  <si>
    <t>MATERIAL_RECLAIM is</t>
  </si>
  <si>
    <t>percent</t>
  </si>
  <si>
    <t>Is it a percentage of the material rate, or already a price per kilo? Please check.</t>
  </si>
  <si>
    <t>The shaded boxes are the only things to fill in on this tab.</t>
  </si>
  <si>
    <t>If a code ends up matching two rows, the Check tab will tell you, and CostVision keeps its</t>
  </si>
  <si>
    <t>own value for that row rather than guessing which of the two you meant.</t>
  </si>
  <si>
    <t>MACHINE_CODE</t>
  </si>
  <si>
    <t>MACHINE_NAME</t>
  </si>
  <si>
    <t>COUNTRY_NAME</t>
  </si>
  <si>
    <t>PERIOD_CODE</t>
  </si>
  <si>
    <t>LABOUR_CATEGORY</t>
  </si>
  <si>
    <t>INSURANCE</t>
  </si>
  <si>
    <t>CONSUMABLES</t>
  </si>
  <si>
    <t>EXAMPLE</t>
  </si>
  <si>
    <t>EXAMPLE ROW, DELETE IT — your machine export goes here, from cell A2 down</t>
  </si>
  <si>
    <t>United Kingdom</t>
  </si>
  <si>
    <t>04042025</t>
  </si>
  <si>
    <t>CB</t>
  </si>
  <si>
    <t>CODE</t>
  </si>
  <si>
    <t>MATERIAL</t>
  </si>
  <si>
    <t>COUNTRY</t>
  </si>
  <si>
    <t>PERIOD</t>
  </si>
  <si>
    <t>EXAMPLE ROW, DELETE IT — your material export goes here, from cell A2 down</t>
  </si>
  <si>
    <t>04-04-2025</t>
  </si>
  <si>
    <t>DESCRIPTION</t>
  </si>
  <si>
    <t>EXAMPLE ROW, DELETE IT — or leave this whole tab empty, and the sheet will read TOTAL_LABOUR_RATE off the JLR Machines tab by LABOUR_CATEGORY instead</t>
  </si>
  <si>
    <t>tool id</t>
  </si>
  <si>
    <t>what it is (do not edit)</t>
  </si>
  <si>
    <t>JLR code</t>
  </si>
  <si>
    <t>JLR name for that code</t>
  </si>
  <si>
    <t>category</t>
  </si>
  <si>
    <t>mat-al6061</t>
  </si>
  <si>
    <t>6061-T6 — Aluminium — UK</t>
  </si>
  <si>
    <t>material</t>
  </si>
  <si>
    <t>mat-steel1045</t>
  </si>
  <si>
    <t>1045 / C45 / 080M46 (Medium-Carbon Steel) — Carbon Steel — UK</t>
  </si>
  <si>
    <t>mat-ss316l</t>
  </si>
  <si>
    <t>316L — Stainless Steel — UK</t>
  </si>
  <si>
    <t>mat-steel4140</t>
  </si>
  <si>
    <t>4140 / 42CrMo4 / EN19 (Chromoly Alloy Steel) — Alloy Steel — UK</t>
  </si>
  <si>
    <t>mat-ti6al4v</t>
  </si>
  <si>
    <t>Ti-6Al-4V — Titanium — UK</t>
  </si>
  <si>
    <t>mat-virtual</t>
  </si>
  <si>
    <t>Virtual / Pass-through — Virtual — UK</t>
  </si>
  <si>
    <t>mat-en8</t>
  </si>
  <si>
    <t>EN8 / 080M40 (Medium Carbon) — Carbon Steel — UK</t>
  </si>
  <si>
    <t>mat-ss304-bar</t>
  </si>
  <si>
    <t>304 Stainless Bar — Stainless Steel — UK</t>
  </si>
  <si>
    <t>mat-ss303</t>
  </si>
  <si>
    <t>303 Free-Machining Stainless Bar — Stainless Steel — UK</t>
  </si>
  <si>
    <t>mat-al6082-bar</t>
  </si>
  <si>
    <t>6082-T6 Aluminium Bar — Aluminium — UK</t>
  </si>
  <si>
    <t>mat-al2011</t>
  </si>
  <si>
    <t>2011-T3 Free-Machining Al Bar — Aluminium — UK</t>
  </si>
  <si>
    <t>mat-brass-cz121</t>
  </si>
  <si>
    <t>CZ121 / CW614N Free-Machining Brass — Copper Alloy — UK</t>
  </si>
  <si>
    <t>mat-bronze-pb1</t>
  </si>
  <si>
    <t>PB1 Phosphor Bronze Bar — Copper Alloy — UK</t>
  </si>
  <si>
    <t>mat-pom-c</t>
  </si>
  <si>
    <t>POM-C (Acetal / Delrin Stock) — Engineering Plastic (Stock) — UK</t>
  </si>
  <si>
    <t>mat-pa6-cast</t>
  </si>
  <si>
    <t>Nylon 6 (Cast PA6 Stock) — Engineering Plastic (Stock) — UK</t>
  </si>
  <si>
    <t>mat-ptfe</t>
  </si>
  <si>
    <t>PTFE (Virgin Stock) — Engineering Plastic (Stock) — UK</t>
  </si>
  <si>
    <t>mat-peek-stock</t>
  </si>
  <si>
    <t>PEEK (Unfilled Stock) — Engineering Plastic (Stock) — UK</t>
  </si>
  <si>
    <t>mat-acrylic-cast</t>
  </si>
  <si>
    <t>Cast Acrylic (PMMA Stock) — Engineering Plastic (Stock) — UK</t>
  </si>
  <si>
    <t>mat-uhmwpe</t>
  </si>
  <si>
    <t>UHMW-PE (Stock) — Engineering Plastic (Stock) — UK</t>
  </si>
  <si>
    <t>mat-dc01</t>
  </si>
  <si>
    <t>DC01 — Mild Steel Sheet — UK</t>
  </si>
  <si>
    <t>mat-dc01-gi</t>
  </si>
  <si>
    <t>DC01 GI (Hot-dip Galvanised) — Galvanised Steel Sheet — UK</t>
  </si>
  <si>
    <t>mat-dc03-ga</t>
  </si>
  <si>
    <t>DC03 GA (Galvannealed) — Galvanised Steel Sheet — UK</t>
  </si>
  <si>
    <t>mat-dp600</t>
  </si>
  <si>
    <t>DP600 — AHSS Sheet — UK</t>
  </si>
  <si>
    <t>mat-hsla340</t>
  </si>
  <si>
    <t>HSLA 340 — High Strength Steel Sheet — UK</t>
  </si>
  <si>
    <t>mat-22mnb5</t>
  </si>
  <si>
    <t>22MnB5 (Hot Press Forming / Boron Steel) — Ultra-High Strength Steel — UK</t>
  </si>
  <si>
    <t>mat-aa5182</t>
  </si>
  <si>
    <t>AA5182 — Aluminium Sheet — UK</t>
  </si>
  <si>
    <t>mat-ss304-sheet</t>
  </si>
  <si>
    <t>304L Stainless Sheet — Stainless Steel Sheet — UK</t>
  </si>
  <si>
    <t>mat-aa5052</t>
  </si>
  <si>
    <t>AA5052-H32 Sheet — Aluminium Sheet — UK</t>
  </si>
  <si>
    <t>mat-aa5083</t>
  </si>
  <si>
    <t>AA5083-H111 Sheet — Aluminium Sheet — UK</t>
  </si>
  <si>
    <t>mat-aa6082-sheet</t>
  </si>
  <si>
    <t>AA6082-T6 Sheet — Aluminium Sheet — UK</t>
  </si>
  <si>
    <t>mat-aisi430</t>
  </si>
  <si>
    <t>AISI 430 Ferritic SS Sheet — Stainless Steel Sheet — UK</t>
  </si>
  <si>
    <t>mat-ss316-sheet</t>
  </si>
  <si>
    <t>AISI 316L Stainless Sheet — Stainless Steel Sheet — UK</t>
  </si>
  <si>
    <t>mat-dc01-ze</t>
  </si>
  <si>
    <t>DC01+ZE (Electrogalvanised) — Electrogalvanised Steel Sheet — UK</t>
  </si>
  <si>
    <t>mat-hsla420</t>
  </si>
  <si>
    <t>HSLA 420 Sheet — High Strength Steel Sheet — UK</t>
  </si>
  <si>
    <t>mat-hrpo</t>
  </si>
  <si>
    <t>HRPO (Hot Rolled Pickled &amp; Oiled) — Mild Steel Sheet — UK</t>
  </si>
  <si>
    <t>mat-aa5754-sheet</t>
  </si>
  <si>
    <t>AA5754-H22 Sheet — Aluminium Sheet — UK</t>
  </si>
  <si>
    <t>mat-aa6061-sheet</t>
  </si>
  <si>
    <t>AA6061-T6 Sheet/Plate — Aluminium Sheet — UK</t>
  </si>
  <si>
    <t>mat-aa6063-sheet</t>
  </si>
  <si>
    <t>AA6063-T5 Sheet — Aluminium Sheet — UK</t>
  </si>
  <si>
    <t>mat-aa3003-sheet</t>
  </si>
  <si>
    <t>AA3003-H14 Sheet — Aluminium Sheet — UK</t>
  </si>
  <si>
    <t>mat-c110-copper</t>
  </si>
  <si>
    <t>C110 ETP Copper Sheet — Copper &amp; Brass Sheet — UK</t>
  </si>
  <si>
    <t>mat-cz108-brass</t>
  </si>
  <si>
    <t>CZ108 Brass Sheet (70/30) — Copper &amp; Brass Sheet — UK</t>
  </si>
  <si>
    <t>mat-dp780</t>
  </si>
  <si>
    <t>DP780 — AHSS Sheet — UK</t>
  </si>
  <si>
    <t>mat-dp980</t>
  </si>
  <si>
    <t>DP980 — AHSS Sheet — UK</t>
  </si>
  <si>
    <t>mat-dp1000</t>
  </si>
  <si>
    <t>DP1000 — AHSS Sheet — UK</t>
  </si>
  <si>
    <t>mat-trip780</t>
  </si>
  <si>
    <t>TRIP780 — AHSS Sheet — UK</t>
  </si>
  <si>
    <t>mat-cp800</t>
  </si>
  <si>
    <t>CP800 (Complex Phase) — AHSS Sheet — UK</t>
  </si>
  <si>
    <t>mat-ms1200</t>
  </si>
  <si>
    <t>MS1200 (Martensitic) — Ultra-High Strength Steel — UK</t>
  </si>
  <si>
    <t>mat-ms1500</t>
  </si>
  <si>
    <t>MS1500 (Martensitic) — Ultra-High Strength Steel — UK</t>
  </si>
  <si>
    <t>mat-usibor1500</t>
  </si>
  <si>
    <t>Usibor 1500 (AlSi-coated 22MnB5) — Press-Hardening Steel — UK</t>
  </si>
  <si>
    <t>mat-usibor2000</t>
  </si>
  <si>
    <t>Usibor 2000 — Press-Hardening Steel — UK</t>
  </si>
  <si>
    <t>mat-ms1300</t>
  </si>
  <si>
    <t>MS1300 (Martensitic) — Ultra-High Strength Steel — UK</t>
  </si>
  <si>
    <t>mat-qp980</t>
  </si>
  <si>
    <t>QP980 (Quench &amp; Partition) — AHSS Sheet (3rd Gen) — UK</t>
  </si>
  <si>
    <t>mat-medmn1180</t>
  </si>
  <si>
    <t>Medium-Mn 1180 — AHSS Sheet (3rd Gen) — UK</t>
  </si>
  <si>
    <t>mat-hsla550</t>
  </si>
  <si>
    <t>HSLA 550 — High Strength Steel Sheet — UK</t>
  </si>
  <si>
    <t>mat-bh260</t>
  </si>
  <si>
    <t>BH260 (Bake-Hardening) — Bake-Hardening Steel Sheet — UK</t>
  </si>
  <si>
    <t>mat-if-dx56</t>
  </si>
  <si>
    <t>DX56D IF (Interstitial-Free) — IF Steel Sheet — UK</t>
  </si>
  <si>
    <t>mat-if-hs260</t>
  </si>
  <si>
    <t>IF-HS 260 (High-Strength IF) — IF Steel Sheet — UK</t>
  </si>
  <si>
    <t>mat-dc04</t>
  </si>
  <si>
    <t>DC04 (CR4 Deep-Drawing) — Mild Steel Sheet — UK</t>
  </si>
  <si>
    <t>mat-dc05</t>
  </si>
  <si>
    <t>DC05 (Extra-Deep-Drawing) — Mild Steel Sheet — UK</t>
  </si>
  <si>
    <t>mat-dc06</t>
  </si>
  <si>
    <t>DC06 (Super-Deep-Drawing IF) — Mild Steel Sheet — UK</t>
  </si>
  <si>
    <t>mat-nogo-m270-35a</t>
  </si>
  <si>
    <t>M270-35A Non-Oriented Electrical (0.35mm) — Electrical Steel Sheet — UK</t>
  </si>
  <si>
    <t>mat-nogo-m400-50a</t>
  </si>
  <si>
    <t>M400-50A Non-Oriented Electrical (0.50mm) — Electrical Steel Sheet — UK</t>
  </si>
  <si>
    <t>mat-go-m105-30p</t>
  </si>
  <si>
    <t>M105-30P Grain-Oriented Electrical (0.30mm) — Electrical Steel Sheet — UK</t>
  </si>
  <si>
    <t>mat-m235-35a</t>
  </si>
  <si>
    <t>M235-35A NO Electrical (0.35mm, premium low-loss) — Electrical Steel Sheet — UK</t>
  </si>
  <si>
    <t>mat-m330-35a</t>
  </si>
  <si>
    <t>M330-35A NO Electrical (0.35mm) — Electrical Steel Sheet — UK</t>
  </si>
  <si>
    <t>mat-m250-50a</t>
  </si>
  <si>
    <t>M250-50A NO Electrical (0.50mm, low-loss) — Electrical Steel Sheet — UK</t>
  </si>
  <si>
    <t>mat-m470-50a</t>
  </si>
  <si>
    <t>M470-50A NO Electrical (0.50mm) — Electrical Steel Sheet — UK</t>
  </si>
  <si>
    <t>mat-m600-50a</t>
  </si>
  <si>
    <t>M600-50A NO Electrical (0.50mm, economy) — Electrical Steel Sheet — UK</t>
  </si>
  <si>
    <t>mat-m700-65a</t>
  </si>
  <si>
    <t>M700-65A NO Electrical (0.65mm, mains) — Electrical Steel Sheet — UK</t>
  </si>
  <si>
    <t>mat-no27-27a</t>
  </si>
  <si>
    <t>NO27 (0.27mm EV Traction) — Electrical Steel Sheet — UK</t>
  </si>
  <si>
    <t>mat-no25-25a</t>
  </si>
  <si>
    <t>NO25 (0.25mm EV Traction) — Electrical Steel Sheet — UK</t>
  </si>
  <si>
    <t>mat-no20-20a</t>
  </si>
  <si>
    <t>NO20 (0.20mm High-Speed EV/aero) — Electrical Steel Sheet — UK</t>
  </si>
  <si>
    <t>mat-cgo-m120-27</t>
  </si>
  <si>
    <t>M120-27S CGO (0.27mm Grain-Oriented) — Electrical Steel Sheet — UK</t>
  </si>
  <si>
    <t>mat-hgo-m090-23</t>
  </si>
  <si>
    <t>M090-23P HGO Domain-Refined (0.23mm) — Electrical Steel Sheet — UK</t>
  </si>
  <si>
    <t>mat-cofe-hiperco50</t>
  </si>
  <si>
    <t>Cobalt-Iron (Hiperco 50 / Vacodur 49) — Electrical Steel Sheet — UK</t>
  </si>
  <si>
    <t>mat-nife-permalloy80</t>
  </si>
  <si>
    <t>Nickel-Iron Permalloy (80% Ni) — Electrical Steel Sheet — UK</t>
  </si>
  <si>
    <t>mat-amorphous-2605sa1</t>
  </si>
  <si>
    <t>Amorphous Ribbon (Metglas 2605SA1) — Electrical Steel Sheet — UK</t>
  </si>
  <si>
    <t>mat-no-semiproc-50</t>
  </si>
  <si>
    <t>Semi-Processed NO Electrical (0.50mm) — Electrical Steel Sheet — UK</t>
  </si>
  <si>
    <t>mat-hsno-rotor-700</t>
  </si>
  <si>
    <t>High-Strength NO Electrical (~700 MPa, 0.30mm rotor) — Electrical Steel Sheet — UK</t>
  </si>
  <si>
    <t>mat-hsno-rotor-960</t>
  </si>
  <si>
    <t>Ultra-High-Strength NO Electrical (~960 MPa, 0.20–0.27mm rotor) — Electrical Steel Sheet — UK</t>
  </si>
  <si>
    <t>mat-no15-15a</t>
  </si>
  <si>
    <t>NO15 Ultra-Thin NO Electrical (0.15mm) — Electrical Steel Sheet — UK</t>
  </si>
  <si>
    <t>mat-no10-10a</t>
  </si>
  <si>
    <t>NO10 Ultra-Thin NO Electrical (0.10mm) — Electrical Steel Sheet — UK</t>
  </si>
  <si>
    <t>mat-si65-jnex-10</t>
  </si>
  <si>
    <t>6.5% Si High-Frequency Electrical (JNEX/Super-Core class, 0.10mm) — Electrical Steel Sheet — UK</t>
  </si>
  <si>
    <t>mat-uhsno-1100</t>
  </si>
  <si>
    <t>Ultra-High-Strength NO Electrical (~1100 MPa, 30k-rpm rotor) — Electrical Steel Sheet — UK</t>
  </si>
  <si>
    <t>mat-cofe-thin-010</t>
  </si>
  <si>
    <t>Cobalt-Iron Thin-Gauge (0.10mm, Vacoflux/Hiperco) — Electrical Steel Sheet — UK</t>
  </si>
  <si>
    <t>mat-cu-hairpin</t>
  </si>
  <si>
    <t>Rectangular Enamelled Hairpin Copper (winding) — Winding Copper (Hairpin) — UK</t>
  </si>
  <si>
    <t>mat-al-hairpin</t>
  </si>
  <si>
    <t>Rectangular Enamelled Hairpin Aluminium (winding) — Winding Aluminium (Hairpin) — UK</t>
  </si>
  <si>
    <t>mat-al-busbar</t>
  </si>
  <si>
    <t>Aluminium Busbar (EV / battery) — Aluminium Sheet — UK</t>
  </si>
  <si>
    <t>mat-c67s-spring</t>
  </si>
  <si>
    <t>C67S / 1.1231 (CR Spring Strip) — Spring Steel Strip — UK</t>
  </si>
  <si>
    <t>mat-ss301-spring</t>
  </si>
  <si>
    <t>301 Spring-Temper Stainless Strip — Spring Steel Strip — UK</t>
  </si>
  <si>
    <t>mat-znni-eg</t>
  </si>
  <si>
    <t>Zn-Ni Electrogalvanised — Coated Steel Sheet — UK</t>
  </si>
  <si>
    <t>mat-zm-coated</t>
  </si>
  <si>
    <t>ZM (Zn-Mg-Al) Coated — Coated Steel Sheet — UK</t>
  </si>
  <si>
    <t>mat-tinplate-etp</t>
  </si>
  <si>
    <t>Tinplate (ETP) — Coated Steel Sheet — UK</t>
  </si>
  <si>
    <t>mat-aa6016-t4</t>
  </si>
  <si>
    <t>AA6016-T4 Sheet (Auto Skin) — Aluminium Sheet — UK</t>
  </si>
  <si>
    <t>mat-aa6111-t4</t>
  </si>
  <si>
    <t>AA6111-T4 Sheet (Auto Skin) — Aluminium Sheet — UK</t>
  </si>
  <si>
    <t>mat-aa7075-t6</t>
  </si>
  <si>
    <t>AA7075-T6 Sheet/Plate — Aluminium Sheet — UK</t>
  </si>
  <si>
    <t>mat-greensteel-dc01</t>
  </si>
  <si>
    <t>Low-CO₂ "Green" Steel (H₂-DRI, DC01 equiv.) — Low-Carbon Steel Sheet — UK</t>
  </si>
  <si>
    <t>mat-al-recycled-5xxx</t>
  </si>
  <si>
    <t>Recycled-Content Al 5xxx (Secondary) — Aluminium Sheet — UK</t>
  </si>
  <si>
    <t>mat-pp</t>
  </si>
  <si>
    <t>PP Copolymer — Thermoplastic — UK</t>
  </si>
  <si>
    <t>mat-abs</t>
  </si>
  <si>
    <t>ABS — Thermoplastic — UK</t>
  </si>
  <si>
    <t>mat-pa66gf30</t>
  </si>
  <si>
    <t>PA66 GF30 — Thermoplastic — UK</t>
  </si>
  <si>
    <t>mat-pc</t>
  </si>
  <si>
    <t>PC (Lexan) — Thermoplastic — UK</t>
  </si>
  <si>
    <t>mat-hdpe</t>
  </si>
  <si>
    <t>HDPE — Thermoplastic — UK</t>
  </si>
  <si>
    <t>mat-pom</t>
  </si>
  <si>
    <t>POM / Acetal (Delrin) — Thermoplastic — UK</t>
  </si>
  <si>
    <t>mat-pbt-gf30</t>
  </si>
  <si>
    <t>PBT GF30 — Thermoplastic — UK</t>
  </si>
  <si>
    <t>mat-tpu-shore85</t>
  </si>
  <si>
    <t>TPU Shore 85A — Thermoplastic Elastomer — UK</t>
  </si>
  <si>
    <t>mat-ldpe</t>
  </si>
  <si>
    <t>LDPE (2426H) — Thermoplastic — UK</t>
  </si>
  <si>
    <t>mat-lldpe</t>
  </si>
  <si>
    <t>LLDPE C6 — Thermoplastic — UK</t>
  </si>
  <si>
    <t>mat-pp-homo</t>
  </si>
  <si>
    <t>PP Homopolymer (MFI 12) — Thermoplastic — UK</t>
  </si>
  <si>
    <t>mat-pp-impact</t>
  </si>
  <si>
    <t>PP Impact Copolymer (PP-B) — Thermoplastic — UK</t>
  </si>
  <si>
    <t>mat-pp-gf30</t>
  </si>
  <si>
    <t>PP GF30 (Short Glass) — Thermoplastic — UK</t>
  </si>
  <si>
    <t>mat-pet-bg</t>
  </si>
  <si>
    <t>PET Bottle Grade (1101) — Thermoplastic — UK</t>
  </si>
  <si>
    <t>mat-pet-gf30</t>
  </si>
  <si>
    <t>PET GF30 (Engineering) — Thermoplastic — UK</t>
  </si>
  <si>
    <t>mat-upvc</t>
  </si>
  <si>
    <t>Rigid PVC (uPVC pipe grade) — Thermoplastic — UK</t>
  </si>
  <si>
    <t>mat-fpvc</t>
  </si>
  <si>
    <t>Flexible PVC (fPVC plasticised) — Thermoplastic — UK</t>
  </si>
  <si>
    <t>mat-gpps</t>
  </si>
  <si>
    <t>GPPS (Crystal PS) — Thermoplastic — UK</t>
  </si>
  <si>
    <t>mat-hips</t>
  </si>
  <si>
    <t>HIPS (High Impact PS) — Thermoplastic — UK</t>
  </si>
  <si>
    <t>mat-pc-abs</t>
  </si>
  <si>
    <t>PC/ABS Blend (automotive grade) — Thermoplastic — UK</t>
  </si>
  <si>
    <t>mat-pa6</t>
  </si>
  <si>
    <t>PA6 Unfilled — Thermoplastic — UK</t>
  </si>
  <si>
    <t>mat-pa6-gf30</t>
  </si>
  <si>
    <t>PA6 GF30 — Thermoplastic — UK</t>
  </si>
  <si>
    <t>mat-pa66</t>
  </si>
  <si>
    <t>PA66 Unfilled — Thermoplastic — UK</t>
  </si>
  <si>
    <t>mat-peek</t>
  </si>
  <si>
    <t>PEEK Unfilled — High-Performance Thermoplastic — UK</t>
  </si>
  <si>
    <t>mat-peek-gf30</t>
  </si>
  <si>
    <t>PEEK GF30 — High-Performance Thermoplastic — UK</t>
  </si>
  <si>
    <t>mat-asa</t>
  </si>
  <si>
    <t>ASA (Weatherable) — Thermoplastic — UK</t>
  </si>
  <si>
    <t>mat-san</t>
  </si>
  <si>
    <t>SAN (Styrene-Acrylonitrile) — Thermoplastic — UK</t>
  </si>
  <si>
    <t>mat-pp-t20</t>
  </si>
  <si>
    <t>PP-T20 (20% Talc-filled) — Thermoplastic — UK</t>
  </si>
  <si>
    <t>mat-pp-t30</t>
  </si>
  <si>
    <t>PP-T30 (30% Mineral/Talc-filled) — Thermoplastic — UK</t>
  </si>
  <si>
    <t>mat-pp-lgf30</t>
  </si>
  <si>
    <t>PP-LGF30 (Long-Glass PP) — Thermoplastic — UK</t>
  </si>
  <si>
    <t>mat-tpo</t>
  </si>
  <si>
    <t>TPO (Thermoplastic Olefin) — Thermoplastic — UK</t>
  </si>
  <si>
    <t>mat-tpv</t>
  </si>
  <si>
    <t>TPV (Santoprene-type) — Thermoplastic Elastomer — UK</t>
  </si>
  <si>
    <t>mat-pmma</t>
  </si>
  <si>
    <t>PMMA (Acrylic) — Thermoplastic — UK</t>
  </si>
  <si>
    <t>mat-pps-gf40</t>
  </si>
  <si>
    <t>PPS GF40 — High-Performance Thermoplastic — UK</t>
  </si>
  <si>
    <t>mat-ppa-gf35</t>
  </si>
  <si>
    <t>PPA GF35 (High-Temp Polyamide) — High-Performance Thermoplastic — UK</t>
  </si>
  <si>
    <t>mat-pei</t>
  </si>
  <si>
    <t>PEI (Ultem, Unfilled) — High-Performance Thermoplastic — UK</t>
  </si>
  <si>
    <t>mat-pei-gf30</t>
  </si>
  <si>
    <t>PEI GF30 — High-Performance Thermoplastic — UK</t>
  </si>
  <si>
    <t>mat-lcp-gf30</t>
  </si>
  <si>
    <t>LCP GF30 (Liquid-Crystal Polymer) — High-Performance Thermoplastic — UK</t>
  </si>
  <si>
    <t>mat-pa66-gf35</t>
  </si>
  <si>
    <t>PA66 GF35 — Thermoplastic — UK</t>
  </si>
  <si>
    <t>mat-pa66-gf50</t>
  </si>
  <si>
    <t>PA66 GF50 — Thermoplastic — UK</t>
  </si>
  <si>
    <t>mat-pa66-min</t>
  </si>
  <si>
    <t>PA66 Mineral-filled (Low-Warp) — Thermoplastic — UK</t>
  </si>
  <si>
    <t>mat-pa12</t>
  </si>
  <si>
    <t>PA12 (Nylon 12) — Thermoplastic — UK</t>
  </si>
  <si>
    <t>mat-pc-pbt</t>
  </si>
  <si>
    <t>PC/PBT Blend — Thermoplastic — UK</t>
  </si>
  <si>
    <t>mat-mppe</t>
  </si>
  <si>
    <t>mPPE / PPO (Noryl-type) — Thermoplastic — UK</t>
  </si>
  <si>
    <t>mat-pc-fr</t>
  </si>
  <si>
    <t>PC FR (UL94 V0) — Thermoplastic — UK</t>
  </si>
  <si>
    <t>mat-pa66-gf25-fr</t>
  </si>
  <si>
    <t>PA66 GF25 FR (UL94 V0) — Thermoplastic — UK</t>
  </si>
  <si>
    <t>mat-pcr-pp</t>
  </si>
  <si>
    <t>PCR PP (Post-Consumer Recycled) — Thermoplastic — UK</t>
  </si>
  <si>
    <t>mat-bio-pa610</t>
  </si>
  <si>
    <t>Bio-PA610 (Castor-based) — High-Performance Thermoplastic — UK</t>
  </si>
  <si>
    <t>mat-pc-glazing</t>
  </si>
  <si>
    <t>PC Glazing Grade (Automotive) — Thermoplastic — UK</t>
  </si>
  <si>
    <t>mat-adc12</t>
  </si>
  <si>
    <t>ADC12 / A383 — Die Cast Aluminium — UK</t>
  </si>
  <si>
    <t>mat-a380</t>
  </si>
  <si>
    <t>A380 / EN AC-46000 (Al-Si Die-Cast Alloy) — Die Cast Aluminium — UK</t>
  </si>
  <si>
    <t>mat-gjl250</t>
  </si>
  <si>
    <t>EN-GJL-250 — Grey Cast Iron — UK</t>
  </si>
  <si>
    <t>mat-lm25</t>
  </si>
  <si>
    <t>LM25 / A356 — Gravity/Sand Aluminium — UK</t>
  </si>
  <si>
    <t>mat-gjl350</t>
  </si>
  <si>
    <t>EN-GJL-350 — Grey Cast Iron — UK</t>
  </si>
  <si>
    <t>mat-bronze-c905</t>
  </si>
  <si>
    <t>C905 Phosphor Bronze — Copper Alloy — UK</t>
  </si>
  <si>
    <t>mat-mag-az91</t>
  </si>
  <si>
    <t>AZ91D Magnesium Die Cast — Magnesium Alloy — UK</t>
  </si>
  <si>
    <t>mat-ss304-cast</t>
  </si>
  <si>
    <t>CF8 / 304 Cast Stainless — Cast Stainless Steel — UK</t>
  </si>
  <si>
    <t>mat-adc12-secondary</t>
  </si>
  <si>
    <t>ADC12 Secondary (recycled) — Die Cast Aluminium — UK</t>
  </si>
  <si>
    <t>mat-alsi10mg</t>
  </si>
  <si>
    <t>AlSi10Mg (A360/Scalmalloy) — Die Cast Aluminium — UK</t>
  </si>
  <si>
    <t>mat-a365</t>
  </si>
  <si>
    <t>A365 / AlSi7Mg — Die Cast Aluminium — UK</t>
  </si>
  <si>
    <t>mat-zamak3</t>
  </si>
  <si>
    <t>Zamak 3 (Zinc Die Cast) — Zinc Die Cast — UK</t>
  </si>
  <si>
    <t>mat-zamak5</t>
  </si>
  <si>
    <t>Zamak 5 (Zinc Die Cast, Hi-Strength) — Zinc Die Cast — UK</t>
  </si>
  <si>
    <t>mat-gjs400</t>
  </si>
  <si>
    <t>EN-GJS-400-15 (Ductile Iron) — Ductile Cast Iron — UK</t>
  </si>
  <si>
    <t>mat-gjs600</t>
  </si>
  <si>
    <t>EN-GJS-600-3 (Ductile Iron Hi-Strength) — Ductile Cast Iron — UK</t>
  </si>
  <si>
    <t>mat-aural5</t>
  </si>
  <si>
    <t>Aural-5 (AlSi9MnMg, Rheinfelden) — Structural HPDC Aluminium — UK</t>
  </si>
  <si>
    <t>mat-silafont36</t>
  </si>
  <si>
    <t>Silafont-36 (AlSi10MnMg) — Structural HPDC Aluminium — UK</t>
  </si>
  <si>
    <t>mat-castasil37</t>
  </si>
  <si>
    <t>Castasil-37 (AlSi9MnMoZr) — Structural HPDC Aluminium — UK</t>
  </si>
  <si>
    <t>mat-magsimal59</t>
  </si>
  <si>
    <t>Magsimal-59 (AlMg5Si2Mn) — Structural HPDC Aluminium — UK</t>
  </si>
  <si>
    <t>mat-al-hpdc-lowco2</t>
  </si>
  <si>
    <t>Low-CO₂ Recycled HPDC (AlSi10MnMg) — Structural HPDC Aluminium — UK</t>
  </si>
  <si>
    <t>mat-htf-gigacast</t>
  </si>
  <si>
    <t>Heat-Treat-Free Giga-Casting Alloy (Xiaomi Titan / Tesla-class) — Structural HPDC Aluminium — UK</t>
  </si>
  <si>
    <t>mat-a413</t>
  </si>
  <si>
    <t>A413 / AlSi12 (Eutectic Die Cast) — Die Cast Aluminium — UK</t>
  </si>
  <si>
    <t>mat-a319</t>
  </si>
  <si>
    <t>A319 / AlSi6Cu4 — Die Cast Aluminium — UK</t>
  </si>
  <si>
    <t>mat-a390</t>
  </si>
  <si>
    <t>A390 / AlSi17Cu (Hypereutectic) — Die Cast Aluminium — UK</t>
  </si>
  <si>
    <t>mat-a357</t>
  </si>
  <si>
    <t>A357 / AlSi7Mg0.6 (Premium T6) — Gravity/Sand Aluminium — UK</t>
  </si>
  <si>
    <t>mat-gjl200</t>
  </si>
  <si>
    <t>EN-GJL-200 (Grey Iron) — Grey Cast Iron — UK</t>
  </si>
  <si>
    <t>mat-gjl300</t>
  </si>
  <si>
    <t>EN-GJL-300 (Grey Iron Hi-Strength) — Grey Cast Iron — UK</t>
  </si>
  <si>
    <t>mat-gjs500</t>
  </si>
  <si>
    <t>EN-GJS-500-7 (Ductile Iron) — Ductile Cast Iron — UK</t>
  </si>
  <si>
    <t>mat-gjs700</t>
  </si>
  <si>
    <t>EN-GJS-700-2 (Ductile Iron Hi-Strength) — Ductile Cast Iron — UK</t>
  </si>
  <si>
    <t>mat-gjv450</t>
  </si>
  <si>
    <t>EN-GJV-450 (Compacted Graphite Iron) — Compacted Graphite Iron — UK</t>
  </si>
  <si>
    <t>mat-simo</t>
  </si>
  <si>
    <t>EN-GJS-SiMo (Heat-Resistant Ductile) — Ductile Cast Iron — UK</t>
  </si>
  <si>
    <t>mat-adi</t>
  </si>
  <si>
    <t>EN-GJS-800 ADI (Austempered Ductile Iron) — Ductile Cast Iron — UK</t>
  </si>
  <si>
    <t>mat-mag-am60</t>
  </si>
  <si>
    <t>AM60B Magnesium Die Cast — Magnesium Alloy — UK</t>
  </si>
  <si>
    <t>mat-mag-am50</t>
  </si>
  <si>
    <t>AM50A Magnesium Die Cast — Magnesium Alloy — UK</t>
  </si>
  <si>
    <t>mat-mag-ae44</t>
  </si>
  <si>
    <t>AE44 Magnesium (Creep-Resistant) — Magnesium Alloy — UK</t>
  </si>
  <si>
    <t>mat-za8</t>
  </si>
  <si>
    <t>ZA-8 (Zinc-Aluminium Die Cast) — Zinc Die Cast — UK</t>
  </si>
  <si>
    <t>mat-za27</t>
  </si>
  <si>
    <t>ZA-27 (High-Strength Zinc-Aluminium) — Zinc Die Cast — UK</t>
  </si>
  <si>
    <t>mat-gs-c25</t>
  </si>
  <si>
    <t>GS-C25 (Cast Carbon Steel) — Cast Carbon Steel — UK</t>
  </si>
  <si>
    <t>mat-17-4ph-cast</t>
  </si>
  <si>
    <t>17-4PH (Investment Cast Stainless) — Cast Stainless Steel — UK</t>
  </si>
  <si>
    <t>mat-inconel718-cast</t>
  </si>
  <si>
    <t>Inconel 718 (Investment Cast Superalloy) — Nickel Superalloy Casting — UK</t>
  </si>
  <si>
    <t>mat-steel1020</t>
  </si>
  <si>
    <t>1020 / S20C — Carbon Steel Billet — UK</t>
  </si>
  <si>
    <t>mat-steel4340</t>
  </si>
  <si>
    <t>4340 / 40NiCrMo22 / EN24 (Ni-Cr-Mo Alloy Steel) — Alloy Steel Billet — UK</t>
  </si>
  <si>
    <t>mat-steel1141</t>
  </si>
  <si>
    <t>1141 / 1144 (Free-Machining) — Carbon Steel Billet — UK</t>
  </si>
  <si>
    <t>mat-steel-38mnvs6</t>
  </si>
  <si>
    <t>38MnVS6 (Microalloyed) — Microalloyed Steel Billet — UK</t>
  </si>
  <si>
    <t>mat-steel4130</t>
  </si>
  <si>
    <t>4130 / 25CrMo4 — Alloy Steel Billet — UK</t>
  </si>
  <si>
    <t>mat-steel8620</t>
  </si>
  <si>
    <t>8620 (Case-Hardening) — Alloy Steel Billet — UK</t>
  </si>
  <si>
    <t>mat-steel-20mncr5</t>
  </si>
  <si>
    <t>20MnCr5 (Gear Steel) — Alloy Steel Billet — UK</t>
  </si>
  <si>
    <t>mat-steel-52100</t>
  </si>
  <si>
    <t>52100 / 100Cr6 (Bearing Steel) — Alloy Steel Billet — UK</t>
  </si>
  <si>
    <t>mat-steel-300m</t>
  </si>
  <si>
    <t>300M (UHS Aerospace) — Alloy Steel Billet — UK</t>
  </si>
  <si>
    <t>mat-ss410-bar</t>
  </si>
  <si>
    <t>410 (Martensitic Stainless Bar) — Stainless Steel Billet — UK</t>
  </si>
  <si>
    <t>mat-ss304l-bar</t>
  </si>
  <si>
    <t>304L (Austenitic Stainless Bar) — Stainless Steel Billet — UK</t>
  </si>
  <si>
    <t>mat-ss316l-bar</t>
  </si>
  <si>
    <t>316L (Austenitic Stainless Bar) — Stainless Steel Billet — UK</t>
  </si>
  <si>
    <t>mat-ss17-4ph-bar</t>
  </si>
  <si>
    <t>17-4PH (PH Stainless Bar) — Stainless Steel Billet — UK</t>
  </si>
  <si>
    <t>mat-ss15-5ph-bar</t>
  </si>
  <si>
    <t>15-5PH (PH Stainless Bar) — Stainless Steel Billet — UK</t>
  </si>
  <si>
    <t>mat-al6061-forge</t>
  </si>
  <si>
    <t>6061 (Al Forging Stock) — Aluminium Forging Billet — UK</t>
  </si>
  <si>
    <t>mat-al6082-forge</t>
  </si>
  <si>
    <t>6082 (Al Forging Stock) — Aluminium Forging Billet — UK</t>
  </si>
  <si>
    <t>mat-al7075-forge</t>
  </si>
  <si>
    <t>7075 (Al Forging Stock) — Aluminium Forging Billet — UK</t>
  </si>
  <si>
    <t>mat-al2618-forge</t>
  </si>
  <si>
    <t>2618 (Al-Cu Piston/Aero) — Aluminium Forging Billet — UK</t>
  </si>
  <si>
    <t>mat-ti-cp-gr2</t>
  </si>
  <si>
    <t>CP Titanium Grade 2 (Forging Bar) — Titanium Forging Billet — UK</t>
  </si>
  <si>
    <t>mat-ti-6al4v-forge</t>
  </si>
  <si>
    <t>Ti-6Al-4V Grade 5 (Forging Bar) — Titanium Forging Billet — UK</t>
  </si>
  <si>
    <t>mat-inconel718-forge</t>
  </si>
  <si>
    <t>Inconel 718 (Forging Bar) — Nickel Superalloy Billet — UK</t>
  </si>
  <si>
    <t>mat-waspaloy-forge</t>
  </si>
  <si>
    <t>Waspaloy (Forging Bar) — Nickel Superalloy Billet — UK</t>
  </si>
  <si>
    <t>mat-inconel625-forge</t>
  </si>
  <si>
    <t>Inconel 625 (Forging Bar) — Nickel Superalloy Billet — UK</t>
  </si>
  <si>
    <t>mat-hastelloy-c276-forge</t>
  </si>
  <si>
    <t>Hastelloy C-276 (Forging Bar) — Nickel Superalloy Billet — UK</t>
  </si>
  <si>
    <t>mat-monel400-forge</t>
  </si>
  <si>
    <t>Monel 400 (Forging Bar) — Nickel Alloy Billet — UK</t>
  </si>
  <si>
    <t>mat-ti-6242-forge</t>
  </si>
  <si>
    <t>Ti-6Al-2Sn-4Zr-2Mo (Forging Bar) — Titanium Forging Billet — UK</t>
  </si>
  <si>
    <t>mat-al7050-forge</t>
  </si>
  <si>
    <t>7050 (Al-Zn Aero Forging Stock) — Aluminium Forging Billet — UK</t>
  </si>
  <si>
    <t>mat-mg-az31-forge</t>
  </si>
  <si>
    <t>AZ31B (Mg Forging Bar) — Magnesium Forging Billet — UK</t>
  </si>
  <si>
    <t>mat-brass-cz122-forge</t>
  </si>
  <si>
    <t>CZ122 / CW617N (Forging Brass) — Copper Alloy Billet — UK</t>
  </si>
  <si>
    <t>mat-paint-ecoat</t>
  </si>
  <si>
    <t>E-coat (Cathodic) — Paint — UK</t>
  </si>
  <si>
    <t>mat-paint-primer</t>
  </si>
  <si>
    <t>2K Primer — Paint — UK</t>
  </si>
  <si>
    <t>mat-paint-basecoat</t>
  </si>
  <si>
    <t>Waterborne Basecoat — Paint — UK</t>
  </si>
  <si>
    <t>mat-paint-clearcoat</t>
  </si>
  <si>
    <t>2K Clearcoat — Paint — UK</t>
  </si>
  <si>
    <t>mat-paint-powder</t>
  </si>
  <si>
    <t>Powder Coat (Polyester) — Paint — UK</t>
  </si>
  <si>
    <t>mat-paint-1k-primer</t>
  </si>
  <si>
    <t>1K Etch Primer — Paint — UK</t>
  </si>
  <si>
    <t>mat-paint-sb-basecoat</t>
  </si>
  <si>
    <t>Solventborne Basecoat — Paint — UK</t>
  </si>
  <si>
    <t>mat-paint-uv-clear</t>
  </si>
  <si>
    <t>UV-Cure Clearcoat — Paint — UK</t>
  </si>
  <si>
    <t>mat-paint-pvc-underbody</t>
  </si>
  <si>
    <t>PVC Underbody / Anti-Chip Sealer — Paint — UK</t>
  </si>
  <si>
    <t>mat-pp-bm</t>
  </si>
  <si>
    <t>PP Blow Grade (MFI 1.0, random co-polymer) — Blow Moulding — UK</t>
  </si>
  <si>
    <t>mat-petg-bm</t>
  </si>
  <si>
    <t>PETG Clear Blow Grade — Blow Moulding — UK</t>
  </si>
  <si>
    <t>mat-pvc-bm</t>
  </si>
  <si>
    <t>PVC Rigid Blow Grade (uPVC bottle grade) — Blow Moulding — UK</t>
  </si>
  <si>
    <t>mat-tpe-bm</t>
  </si>
  <si>
    <t>TPE Blow Grade 40 Shore A — Blow Moulding — UK</t>
  </si>
  <si>
    <t>mat-eva-bm</t>
  </si>
  <si>
    <t>EVA Blow Grade (14% VA) — Blow Moulding — UK</t>
  </si>
  <si>
    <t>mat-hdpe-bm</t>
  </si>
  <si>
    <t>HDPE Blow Grade (jerry can / drum) — Blow Moulding — UK</t>
  </si>
  <si>
    <t>mat-hdpe-fuel-coex</t>
  </si>
  <si>
    <t>HDPE Coex Fuel-Tank Grade (6-layer/EVOH) — Blow Moulding — UK</t>
  </si>
  <si>
    <t>mat-pa6-bm</t>
  </si>
  <si>
    <t>PA6 Blow Grade (charge-air / ducts) — Blow Moulding — UK</t>
  </si>
  <si>
    <t>mat-pc-bm</t>
  </si>
  <si>
    <t>PC Blow Grade (clear/impact) — Blow Moulding — UK</t>
  </si>
  <si>
    <t>mat-ldpe-bm</t>
  </si>
  <si>
    <t>LDPE Blow Grade — Blow Moulding — UK</t>
  </si>
  <si>
    <t>mat-lldpe-bm</t>
  </si>
  <si>
    <t>LLDPE Blow Grade — Blow Moulding — UK</t>
  </si>
  <si>
    <t>mat-pet-preform</t>
  </si>
  <si>
    <t>PET Stretch-Blow Bottle Grade — Blow Moulding — UK</t>
  </si>
  <si>
    <t>mat-tritan-bm</t>
  </si>
  <si>
    <t>Tritan Copolyester (BPA-free clear) — Blow Moulding — UK</t>
  </si>
  <si>
    <t>mat-biope-bm</t>
  </si>
  <si>
    <t>Bio-PE Blow Grade (sugarcane HDPE) — Blow Moulding — UK</t>
  </si>
  <si>
    <t>mat-rhdpe-bm</t>
  </si>
  <si>
    <t>Recycled HDPE Blow Grade (PCR) — Blow Moulding — UK</t>
  </si>
  <si>
    <t>mat-rpp-bm</t>
  </si>
  <si>
    <t>Recycled PP Blow Grade (PCR) — Blow Moulding — UK</t>
  </si>
  <si>
    <t>mat-pe100-pipe</t>
  </si>
  <si>
    <t>PE100 Pipe Grade (black, PE4710) — Extrusion — UK</t>
  </si>
  <si>
    <t>mat-pe80-pipe</t>
  </si>
  <si>
    <t>PE80 Pipe Grade — Extrusion — UK</t>
  </si>
  <si>
    <t>mat-upvc-pipe</t>
  </si>
  <si>
    <t>uPVC Pipe Compound (K67, dry-blend) — Extrusion — UK</t>
  </si>
  <si>
    <t>mat-pvc-cable</t>
  </si>
  <si>
    <t>PVC Cable Compound (flexible, insulation) — Extrusion — UK</t>
  </si>
  <si>
    <t>mat-xlpe-cable</t>
  </si>
  <si>
    <t>XLPE Cable Insulation Compound — Extrusion — UK</t>
  </si>
  <si>
    <t>mat-gpps-ext</t>
  </si>
  <si>
    <t>GPPS Extrusion Sheet Grade — Extrusion — UK</t>
  </si>
  <si>
    <t>mat-abs-ext-sheet</t>
  </si>
  <si>
    <t>ABS Extrusion Sheet Grade — Extrusion — UK</t>
  </si>
  <si>
    <t>mat-pmma-ext-sheet</t>
  </si>
  <si>
    <t>PMMA Extrusion Sheet (acrylic) — Extrusion — UK</t>
  </si>
  <si>
    <t>mat-pc-ext-sheet</t>
  </si>
  <si>
    <t>PC Extrusion/Solid Sheet Grade — Extrusion — UK</t>
  </si>
  <si>
    <t>mat-pvc-medical-tube</t>
  </si>
  <si>
    <t>Medical PVC Tubing Compound (DEHP-free) — Extrusion — UK</t>
  </si>
  <si>
    <t>mat-tpu-medical-tube</t>
  </si>
  <si>
    <t>Medical TPU Tubing (85A) — Extrusion — UK</t>
  </si>
  <si>
    <t>mat-tpe-profile</t>
  </si>
  <si>
    <t>TPE-S Extrusion Profile (60 Shore A) — Extrusion — UK</t>
  </si>
  <si>
    <t>mat-pvc-foam</t>
  </si>
  <si>
    <t>Rigid PVC Foam (Celuka) Profile — Extrusion — UK</t>
  </si>
  <si>
    <t>mat-pp-ext-sheet</t>
  </si>
  <si>
    <t>PP Extrusion Sheet Grade — Extrusion — UK</t>
  </si>
  <si>
    <t>mat-pa12-ext-tube</t>
  </si>
  <si>
    <t>PA12 Extrusion (fuel/brake line tube) — Extrusion — UK</t>
  </si>
  <si>
    <t>mat-mb-colour</t>
  </si>
  <si>
    <t>Colour Masterbatch (universal) — Additive / Masterbatch — UK</t>
  </si>
  <si>
    <t>mat-mb-white-tio2</t>
  </si>
  <si>
    <t>White Masterbatch (70% TiO₂) — Additive / Masterbatch — UK</t>
  </si>
  <si>
    <t>mat-mb-black</t>
  </si>
  <si>
    <t>Black Masterbatch (40% carbon) — Additive / Masterbatch — UK</t>
  </si>
  <si>
    <t>mat-add-uv</t>
  </si>
  <si>
    <t>UV Stabiliser Masterbatch (HALS) — Additive / Masterbatch — UK</t>
  </si>
  <si>
    <t>mat-add-antistat</t>
  </si>
  <si>
    <t>Anti-Static Additive Masterbatch — Additive / Masterbatch — UK</t>
  </si>
  <si>
    <t>mat-add-fr</t>
  </si>
  <si>
    <t>Flame-Retardant Masterbatch (halogen-free) — Additive / Masterbatch — UK</t>
  </si>
  <si>
    <t>mat-add-impact</t>
  </si>
  <si>
    <t>Impact Modifier (acrylic/CPE) — Additive / Masterbatch — UK</t>
  </si>
  <si>
    <t>mat-add-procaid</t>
  </si>
  <si>
    <t>Processing Aid (fluoropolymer PPA) — Additive / Masterbatch — UK</t>
  </si>
  <si>
    <t>mat-hips-tf</t>
  </si>
  <si>
    <t>HIPS Thermoforming Sheet — Thermoforming Sheet — UK</t>
  </si>
  <si>
    <t>mat-abs-tf</t>
  </si>
  <si>
    <t>ABS Thermoforming Sheet — Thermoforming Sheet — UK</t>
  </si>
  <si>
    <t>mat-petg-tf</t>
  </si>
  <si>
    <t>PETG Thermoforming Sheet (clear) — Thermoforming Sheet — UK</t>
  </si>
  <si>
    <t>mat-apet-tf</t>
  </si>
  <si>
    <t>APET Sheet (amorphous, food pack) — Thermoforming Sheet — UK</t>
  </si>
  <si>
    <t>mat-cpet-tf</t>
  </si>
  <si>
    <t>CPET Sheet (crystalline, dual-ovenable) — Thermoforming Sheet — UK</t>
  </si>
  <si>
    <t>mat-rpvc-tf</t>
  </si>
  <si>
    <t>Rigid PVC Thermoforming Sheet — Thermoforming Sheet — UK</t>
  </si>
  <si>
    <t>mat-pp-tf</t>
  </si>
  <si>
    <t>PP Thermoforming Sheet (HMS) — Thermoforming Sheet — UK</t>
  </si>
  <si>
    <t>mat-hdpe-tf</t>
  </si>
  <si>
    <t>HDPE Thermoforming Sheet — Thermoforming Sheet — UK</t>
  </si>
  <si>
    <t>mat-ldpe-tf</t>
  </si>
  <si>
    <t>LDPE Thermoforming Sheet — Thermoforming Sheet — UK</t>
  </si>
  <si>
    <t>mat-ps-foam-tf</t>
  </si>
  <si>
    <t>PS Foam Sheet (foamed tray stock) — Thermoforming Sheet — UK</t>
  </si>
  <si>
    <t>mat-pmma-tf</t>
  </si>
  <si>
    <t>PMMA / Acrylic Sheet (cast/extruded) — Thermoforming Sheet — UK</t>
  </si>
  <si>
    <t>mat-pc-tf</t>
  </si>
  <si>
    <t>PC Thermoforming Sheet — Thermoforming Sheet — UK</t>
  </si>
  <si>
    <t>mat-pei-tf</t>
  </si>
  <si>
    <t>PEI (Ultem) Sheet (aerospace) — Thermoforming Sheet — UK</t>
  </si>
  <si>
    <t>mat-pps-tf</t>
  </si>
  <si>
    <t>PPS Sheet (high-temp) — Thermoforming Sheet — UK</t>
  </si>
  <si>
    <t>mat-abs-pmma-tf</t>
  </si>
  <si>
    <t>ABS/PMMA Co-ex Sheet (capped) — Thermoforming Sheet — UK</t>
  </si>
  <si>
    <t>mat-abs-pc-tf</t>
  </si>
  <si>
    <t>ABS/PC Co-ex Sheet — Thermoforming Sheet — UK</t>
  </si>
  <si>
    <t>mat-pp-tpo-tf</t>
  </si>
  <si>
    <t>PP/TPO Automotive Sheet — Thermoforming Sheet — UK</t>
  </si>
  <si>
    <t>mat-petg-barrier-tf</t>
  </si>
  <si>
    <t>PETG/EVOH Barrier Sheet — Thermoforming Sheet — UK</t>
  </si>
  <si>
    <t>mat-lldpe-roto</t>
  </si>
  <si>
    <t>LLDPE Roto Powder (natural) — Rotational Moulding — UK</t>
  </si>
  <si>
    <t>mat-hdpe-roto</t>
  </si>
  <si>
    <t>HDPE Roto Powder — Rotational Moulding — UK</t>
  </si>
  <si>
    <t>mat-pp-roto</t>
  </si>
  <si>
    <t>PP Roto Powder — Rotational Moulding — UK</t>
  </si>
  <si>
    <t>mat-xlpe-roto</t>
  </si>
  <si>
    <t>Cross-Linked PE (XLPE) Roto — Rotational Moulding — UK</t>
  </si>
  <si>
    <t>mat-pa12-roto</t>
  </si>
  <si>
    <t>PA12 Roto Powder — Rotational Moulding — UK</t>
  </si>
  <si>
    <t>mat-fr-pe-roto</t>
  </si>
  <si>
    <t>Flame-Retardant PE Roto — Rotational Moulding — UK</t>
  </si>
  <si>
    <t>mat-foam-pe-roto</t>
  </si>
  <si>
    <t>Foamable PE Roto (structural foam core) — Rotational Moulding — UK</t>
  </si>
  <si>
    <t>mat-cond-pe-roto</t>
  </si>
  <si>
    <t>Conductive/Antistatic PE Roto — Rotational Moulding — UK</t>
  </si>
  <si>
    <t>mat-rpe-roto</t>
  </si>
  <si>
    <t>Recycled PE Roto Powder — Rotational Moulding — UK</t>
  </si>
  <si>
    <t>mat-epdm</t>
  </si>
  <si>
    <t>EPDM 70 Shore A — Rubber — UK</t>
  </si>
  <si>
    <t>mat-nbr</t>
  </si>
  <si>
    <t>NBR 70 Shore A — Rubber — UK</t>
  </si>
  <si>
    <t>mat-silicone-hcr</t>
  </si>
  <si>
    <t>HCR Silicone 60 Shore A — Rubber — UK</t>
  </si>
  <si>
    <t>mat-lsr</t>
  </si>
  <si>
    <t>LSR 40 Shore A — Rubber — UK</t>
  </si>
  <si>
    <t>mat-nr</t>
  </si>
  <si>
    <t>Natural Rubber SMR20 — Rubber — UK</t>
  </si>
  <si>
    <t>mat-viton-fkm</t>
  </si>
  <si>
    <t>FKM Viton 75 Shore A — Rubber — UK</t>
  </si>
  <si>
    <t>mat-sbr</t>
  </si>
  <si>
    <t>SBR 65 Shore A — Rubber — UK</t>
  </si>
  <si>
    <t>mat-cr</t>
  </si>
  <si>
    <t>CR Neoprene 60 Shore A — Rubber — UK</t>
  </si>
  <si>
    <t>mat-hnbr</t>
  </si>
  <si>
    <t>HNBR 70 Shore A — Rubber — UK</t>
  </si>
  <si>
    <t>mat-iir</t>
  </si>
  <si>
    <t>Butyl Rubber IIR 55 Shore A — Rubber — UK</t>
  </si>
  <si>
    <t>mat-pu-elastomer</t>
  </si>
  <si>
    <t>Polyurethane Elastomer 70 Shore A — Rubber — UK</t>
  </si>
  <si>
    <t>mat-fvmq</t>
  </si>
  <si>
    <t>FVMQ Fluorosilicone 60 Shore A — Rubber — UK</t>
  </si>
  <si>
    <t>mat-acm</t>
  </si>
  <si>
    <t>ACM Polyacrylate 70 Shore A — Rubber — UK</t>
  </si>
  <si>
    <t>mat-aem</t>
  </si>
  <si>
    <t>AEM (Vamac) 60 Shore A — Rubber — UK</t>
  </si>
  <si>
    <t>mat-eco</t>
  </si>
  <si>
    <t>ECO Epichlorohydrin 65 Shore A — Rubber — UK</t>
  </si>
  <si>
    <t>mat-csm</t>
  </si>
  <si>
    <t>CSM Hypalon 65 Shore A — Rubber — UK</t>
  </si>
  <si>
    <t>mat-br</t>
  </si>
  <si>
    <t>BR Polybutadiene (high-cis) 60 Shore A — Rubber — UK</t>
  </si>
  <si>
    <t>mat-bromobutyl</t>
  </si>
  <si>
    <t>Bromobutyl (BIIR) 50 Shore A — Rubber — UK</t>
  </si>
  <si>
    <t>mat-chlorobutyl</t>
  </si>
  <si>
    <t>Chlorobutyl (CIIR) 55 Shore A — Rubber — UK</t>
  </si>
  <si>
    <t>mat-ffkm</t>
  </si>
  <si>
    <t>FFKM Perfluoroelastomer (Kalrez-type) 75 Shore A — Rubber — UK</t>
  </si>
  <si>
    <t>mat-nbr-high-acn</t>
  </si>
  <si>
    <t>NBR High-ACN (fuel) 75 Shore A — Rubber — UK</t>
  </si>
  <si>
    <t>mat-epdm-peroxide</t>
  </si>
  <si>
    <t>EPDM Peroxide-Cured 70 Shore A — Rubber — UK</t>
  </si>
  <si>
    <t>mat-silicone-medical</t>
  </si>
  <si>
    <t>LSR Medical-Grade 30 Shore A — Rubber — UK</t>
  </si>
  <si>
    <t>mat-cfrp-prepreg-t700</t>
  </si>
  <si>
    <t>T700 CF/Epoxy Prepreg (125°C cure) — Composite — UK</t>
  </si>
  <si>
    <t>mat-gfrp-prepreg-e</t>
  </si>
  <si>
    <t>E-glass/Epoxy Prepreg (120°C cure) — Composite — UK</t>
  </si>
  <si>
    <t>mat-cf-dry-3k</t>
  </si>
  <si>
    <t>Carbon Fibre 3K Twill Dry Fabric — Composite — UK</t>
  </si>
  <si>
    <t>mat-gf-dry-e</t>
  </si>
  <si>
    <t>E-glass Woven Dry Fabric (600 g/m²) — Composite — UK</t>
  </si>
  <si>
    <t>mat-epoxy-infusion</t>
  </si>
  <si>
    <t>Epoxy Infusion Resin System (LT cure) — Composite — UK</t>
  </si>
  <si>
    <t>mat-vinylester-rtm</t>
  </si>
  <si>
    <t>Vinyl Ester RTM Resin — Composite — UK</t>
  </si>
  <si>
    <t>mat-aramid-k49</t>
  </si>
  <si>
    <t>Aramid (Kevlar 49) Woven Fabric — Composite — UK</t>
  </si>
  <si>
    <t>mat-cf-uni-t800</t>
  </si>
  <si>
    <t>T800 Unidirectional CF/Epoxy Prepreg — Composite — UK</t>
  </si>
  <si>
    <t>mat-smc-gf</t>
  </si>
  <si>
    <t>SMC (Glass-Filled Sheet Moulding Compound) — Composite — UK</t>
  </si>
  <si>
    <t>mat-bmc</t>
  </si>
  <si>
    <t>BMC (Bulk Moulding Compound) — Composite — UK</t>
  </si>
  <si>
    <t>mat-csm-gf</t>
  </si>
  <si>
    <t>E-glass Chopped Strand Mat (450 g/m²) — Composite — UK</t>
  </si>
  <si>
    <t>mat-cf-peek-organo</t>
  </si>
  <si>
    <t>CF/PEEK Organosheet (Thermoplastic) — Composite — UK</t>
  </si>
  <si>
    <t>mat-nomex-honeycomb</t>
  </si>
  <si>
    <t>Nomex Honeycomb Core — Composite — UK</t>
  </si>
  <si>
    <t>mat-pet-foam-core</t>
  </si>
  <si>
    <t>PET Structural Foam Core — Composite — UK</t>
  </si>
  <si>
    <t>mach-lathe-cnc</t>
  </si>
  <si>
    <t>CNC Lathe (2-axis) — UK</t>
  </si>
  <si>
    <t>machine</t>
  </si>
  <si>
    <t>mach-vmc3</t>
  </si>
  <si>
    <t>CNC VMC 3-axis — UK</t>
  </si>
  <si>
    <t>mach-vmc5</t>
  </si>
  <si>
    <t>CNC VMC 5-axis — UK</t>
  </si>
  <si>
    <t>mach-drill</t>
  </si>
  <si>
    <t>CNC Drilling Centre — UK</t>
  </si>
  <si>
    <t>mach-grind</t>
  </si>
  <si>
    <t>CNC Cylindrical Grinder — UK</t>
  </si>
  <si>
    <t>gear-hob-small</t>
  </si>
  <si>
    <t>CNC Gear Hobber — small (≤m4, ≤Ø200) — UK</t>
  </si>
  <si>
    <t>gear-hob-medium</t>
  </si>
  <si>
    <t>CNC Gear Hobber — medium (≤m8, ≤Ø500) — UK</t>
  </si>
  <si>
    <t>gear-hob-large</t>
  </si>
  <si>
    <t>CNC Gear Hobber — large (≤m25, ≤Ø1600) — UK</t>
  </si>
  <si>
    <t>gear-shaper-small</t>
  </si>
  <si>
    <t>CNC Gear Shaper — small (≤m6, ≤Ø300) — UK</t>
  </si>
  <si>
    <t>gear-shaper-large</t>
  </si>
  <si>
    <t>CNC Gear Shaper — large (≤m12, ≤Ø800) — UK</t>
  </si>
  <si>
    <t>gear-skive-small</t>
  </si>
  <si>
    <t>Power Skiving Machine — small (≤m4, ≤Ø250) — UK</t>
  </si>
  <si>
    <t>gear-skive-medium</t>
  </si>
  <si>
    <t>Power Skiving Machine — medium (≤m8, ≤Ø600) — UK</t>
  </si>
  <si>
    <t>gear-broach</t>
  </si>
  <si>
    <t>Vertical Internal Gear Broach — UK</t>
  </si>
  <si>
    <t>gear-grind-generating</t>
  </si>
  <si>
    <t>Generating Gear Grinder (threaded wheel, ≤m6) — UK</t>
  </si>
  <si>
    <t>gear-grind-profile</t>
  </si>
  <si>
    <t>Profile Gear Grinder (form wheel, ≤m12) — UK</t>
  </si>
  <si>
    <t>gear-shave</t>
  </si>
  <si>
    <t>Gear Shaving Machine — UK</t>
  </si>
  <si>
    <t>gear-hone</t>
  </si>
  <si>
    <t>Gear Honing Machine — UK</t>
  </si>
  <si>
    <t>gear-deburr</t>
  </si>
  <si>
    <t>Gear Chamfer / Deburr Cell — UK</t>
  </si>
  <si>
    <t>gear-induction</t>
  </si>
  <si>
    <t>Gear Induction Hardening Cell (RF + quench + temper) — UK</t>
  </si>
  <si>
    <t>gear-checker</t>
  </si>
  <si>
    <t>CNC Gear Checker (profile / lead / pitch) — UK</t>
  </si>
  <si>
    <t>bench-assembly</t>
  </si>
  <si>
    <t>Assembly Workbench — UK</t>
  </si>
  <si>
    <t>mach-haas-vf2</t>
  </si>
  <si>
    <t>HAAS VF-2 (3-axis Mill) — UK</t>
  </si>
  <si>
    <t>mach-dmg-dmu50</t>
  </si>
  <si>
    <t>DMG Mori DMU 50 (5-axis Mill) — UK</t>
  </si>
  <si>
    <t>mach-haas-umc500</t>
  </si>
  <si>
    <t>HAAS UMC-500 (5-axis Mill) — UK</t>
  </si>
  <si>
    <t>mach-mazak-qt200</t>
  </si>
  <si>
    <t>Mazak Quick Turn 200 (Turning) — UK</t>
  </si>
  <si>
    <t>grav-die-cast-std</t>
  </si>
  <si>
    <t>Gravity Die Casting Machine — UK</t>
  </si>
  <si>
    <t>invest-cast-furnace</t>
  </si>
  <si>
    <t>Investment Casting Furnace — UK</t>
  </si>
  <si>
    <t>heat-treat-furnace</t>
  </si>
  <si>
    <t>Heat Treatment / Ageing Furnace — UK</t>
  </si>
  <si>
    <t>press-100t</t>
  </si>
  <si>
    <t>100T Mechanical Press (general press shop) — UK</t>
  </si>
  <si>
    <t>press-200t</t>
  </si>
  <si>
    <t>200T Mechanical Press (general press shop) — UK</t>
  </si>
  <si>
    <t>press-400t</t>
  </si>
  <si>
    <t>400T Mechanical Press (general press shop) — UK</t>
  </si>
  <si>
    <t>press-630t</t>
  </si>
  <si>
    <t>630T Mechanical Press (general press shop) — UK</t>
  </si>
  <si>
    <t>press-800t</t>
  </si>
  <si>
    <t>800T Mechanical Press (general press shop) — UK</t>
  </si>
  <si>
    <t>press-1000t</t>
  </si>
  <si>
    <t>1000T Mechanical Press (general press shop) — UK</t>
  </si>
  <si>
    <t>press-1250t</t>
  </si>
  <si>
    <t>1250T Mechanical Press (general press shop) — UK</t>
  </si>
  <si>
    <t>press-fineblank-250t</t>
  </si>
  <si>
    <t>250T Fine-Blanking Press (triple-action) — UK</t>
  </si>
  <si>
    <t>press-hotstamp-1000t</t>
  </si>
  <si>
    <t>1000T Hot-Stamping Press (water-cooled dies) — UK</t>
  </si>
  <si>
    <t>furnace-roller-hearth</t>
  </si>
  <si>
    <t>Roller-Hearth Austenitising Furnace (hot stamping) — UK</t>
  </si>
  <si>
    <t>notching-machine</t>
  </si>
  <si>
    <t>CNC Notching Machine (laminations) — UK</t>
  </si>
  <si>
    <t>lamination-anneal-furnace</t>
  </si>
  <si>
    <t>Stress-Relief Annealing Furnace (laminations) — UK</t>
  </si>
  <si>
    <t>backlack-bonding-oven</t>
  </si>
  <si>
    <t>Backlack Bonding Oven/Press (self-bonded stacks) — UK</t>
  </si>
  <si>
    <t>laser-stack-welder</t>
  </si>
  <si>
    <t>Laser Stack Welder (stator OD welds) — UK</t>
  </si>
  <si>
    <t>imm-50t</t>
  </si>
  <si>
    <t>50T Injection Moulding Machine — UK</t>
  </si>
  <si>
    <t>imm-100t</t>
  </si>
  <si>
    <t>100T Injection Moulding Machine — UK</t>
  </si>
  <si>
    <t>imm-200t</t>
  </si>
  <si>
    <t>200T Injection Moulding Machine — UK</t>
  </si>
  <si>
    <t>imm-350t</t>
  </si>
  <si>
    <t>350T Injection Moulding Machine — UK</t>
  </si>
  <si>
    <t>imm-400t</t>
  </si>
  <si>
    <t>400T Injection Moulding Machine — UK</t>
  </si>
  <si>
    <t>imm-500t</t>
  </si>
  <si>
    <t>500T Injection Moulding Machine — UK</t>
  </si>
  <si>
    <t>imm-800t</t>
  </si>
  <si>
    <t>800T Injection Moulding Machine — UK</t>
  </si>
  <si>
    <t>imm-1200t</t>
  </si>
  <si>
    <t>1200T Injection Moulding Machine — UK</t>
  </si>
  <si>
    <t>imm-2000t</t>
  </si>
  <si>
    <t>2000T Injection Moulding Machine — UK</t>
  </si>
  <si>
    <t>imm-3500t</t>
  </si>
  <si>
    <t>3500T Injection Moulding Machine — UK</t>
  </si>
  <si>
    <t>hpdc-500t</t>
  </si>
  <si>
    <t>HPDC 500T — UK</t>
  </si>
  <si>
    <t>hpdc-800t</t>
  </si>
  <si>
    <t>HPDC 800T — UK</t>
  </si>
  <si>
    <t>hpdc-1600t</t>
  </si>
  <si>
    <t>HPDC 1600T — UK</t>
  </si>
  <si>
    <t>hpdc-giga-6100t</t>
  </si>
  <si>
    <t>Giga-Casting Press 6100T (megacasting) — UK</t>
  </si>
  <si>
    <t>hpdc-giga-9000t</t>
  </si>
  <si>
    <t>Giga-Casting Press 9000T (Xiaomi/Tesla-class) — UK</t>
  </si>
  <si>
    <t>sand-cast-line</t>
  </si>
  <si>
    <t>Sand Casting Moulding Line — UK</t>
  </si>
  <si>
    <t>hpdc-160t</t>
  </si>
  <si>
    <t>HPDC 160T (Zinc/Small Al) — UK</t>
  </si>
  <si>
    <t>forge-press-500t</t>
  </si>
  <si>
    <t>500T Mechanical Forge Press — UK</t>
  </si>
  <si>
    <t>forge-press-1600t</t>
  </si>
  <si>
    <t>1600T Mechanical Forge Press — UK</t>
  </si>
  <si>
    <t>forge-press-2500t</t>
  </si>
  <si>
    <t>2500T Mechanical Forge Press — UK</t>
  </si>
  <si>
    <t>forge-press-4000t</t>
  </si>
  <si>
    <t>4000T Hydraulic Forge Press — UK</t>
  </si>
  <si>
    <t>forge-press-8000t</t>
  </si>
  <si>
    <t>8000T Hydraulic Forge Press — UK</t>
  </si>
  <si>
    <t>forge-screw-1000t</t>
  </si>
  <si>
    <t>1000T Screw Press — UK</t>
  </si>
  <si>
    <t>forge-upsetter-1000t</t>
  </si>
  <si>
    <t>1000T Horizontal Upsetter — UK</t>
  </si>
  <si>
    <t>forge-hammer-2t</t>
  </si>
  <si>
    <t>2T Pneumatic Forge Hammer — UK</t>
  </si>
  <si>
    <t>forge-hammer-5t</t>
  </si>
  <si>
    <t>5T Pneumatic Forge Hammer — UK</t>
  </si>
  <si>
    <t>forge-hammer-10t</t>
  </si>
  <si>
    <t>10T Counterblow Forge Hammer — UK</t>
  </si>
  <si>
    <t>forge-ring-mill</t>
  </si>
  <si>
    <t>CNC Seamless Ring Rolling Mill — UK</t>
  </si>
  <si>
    <t>paint-line-std</t>
  </si>
  <si>
    <t>Standard Paint Line (E-coat + Topcoat) — UK</t>
  </si>
  <si>
    <t>plating-line-barrel</t>
  </si>
  <si>
    <t>Barrel Plating Line (zinc, high volume) — UK</t>
  </si>
  <si>
    <t>plating-line-rack</t>
  </si>
  <si>
    <t>Rack Plating / Anodising Line — UK</t>
  </si>
  <si>
    <t>blast-machine</t>
  </si>
  <si>
    <t>Shot Blast Machine (tumble / hanger) — UK</t>
  </si>
  <si>
    <t>mass-finish-bowl</t>
  </si>
  <si>
    <t>Vibratory / Mass Finishing Bowl — UK</t>
  </si>
  <si>
    <t>galvanising-kettle</t>
  </si>
  <si>
    <t>Hot Dip Galvanising Kettle (batch, EN ISO 1461) — UK</t>
  </si>
  <si>
    <t>impregnation-plant</t>
  </si>
  <si>
    <t>Vacuum Resin Impregnation Plant (casting porosity) — UK</t>
  </si>
  <si>
    <t>robot-weld-station</t>
  </si>
  <si>
    <t>Robot Welding Station — UK</t>
  </si>
  <si>
    <t>smt-line</t>
  </si>
  <si>
    <t>SMT Pick &amp; Place + Reflow Line — UK</t>
  </si>
  <si>
    <t>smt-high-speed-line</t>
  </si>
  <si>
    <t>High-Speed SMT Line (Fuji/Juki/ASM) — UK</t>
  </si>
  <si>
    <t>laser-drill-75um</t>
  </si>
  <si>
    <t>Laser Drill — 75 µm Microvia (CO₂/UV) — UK</t>
  </si>
  <si>
    <t>xray-bga-inspection</t>
  </si>
  <si>
    <t>X-Ray BGA Inspection Cell (2D/3D AXI) — UK</t>
  </si>
  <si>
    <t>ict-automotive</t>
  </si>
  <si>
    <t>ICT Bed-of-Nails Test System (Automotive) — UK</t>
  </si>
  <si>
    <t>blow-ebm-100l</t>
  </si>
  <si>
    <t>EBM Blow Moulder (up to 5L) — UK</t>
  </si>
  <si>
    <t>blow-ebm-500l</t>
  </si>
  <si>
    <t>EBM Blow Moulder (5–100L tanks/drums) — UK</t>
  </si>
  <si>
    <t>blow-ebm-2head</t>
  </si>
  <si>
    <t>EBM 2-Head (Bottles 1–5L) — UK</t>
  </si>
  <si>
    <t>blow-ebm-coex3</t>
  </si>
  <si>
    <t>3-Layer Co-Ex EBM — UK</t>
  </si>
  <si>
    <t>blow-ebm-coex5</t>
  </si>
  <si>
    <t>5-Layer Co-Ex EBM (High-Barrier) — UK</t>
  </si>
  <si>
    <t>blow-ebm-large</t>
  </si>
  <si>
    <t>Large EBM Accumulator Head (20–200L) — UK</t>
  </si>
  <si>
    <t>blow-ibm-rotary</t>
  </si>
  <si>
    <t>IBM Rotary Machine (Pharma/Cosmetics) — UK</t>
  </si>
  <si>
    <t>blow-ibm-linear</t>
  </si>
  <si>
    <t>IBM Linear Machine (Medium Volume) — UK</t>
  </si>
  <si>
    <t>blow-sbm-1stage</t>
  </si>
  <si>
    <t>SBM Single-Stage (Preform + Blow) — UK</t>
  </si>
  <si>
    <t>blow-sbm-2stage</t>
  </si>
  <si>
    <t>SBM Two-Stage Reheat (High-Speed PET) — UK</t>
  </si>
  <si>
    <t>blow-deflash-trimmer</t>
  </si>
  <si>
    <t>Deflash Trim Robot / Station — UK</t>
  </si>
  <si>
    <t>extruder-75mm</t>
  </si>
  <si>
    <t>Single Screw Extruder 75mm — UK</t>
  </si>
  <si>
    <t>extruder-150mm</t>
  </si>
  <si>
    <t>Twin Screw Compounding/Extrusion Line 150mm — UK</t>
  </si>
  <si>
    <t>extruder-pipe-line</t>
  </si>
  <si>
    <t>Pipe Extrusion Line 90mm (SSE + vacuum tank + haul-off + saw) — UK</t>
  </si>
  <si>
    <t>extruder-profile-line</t>
  </si>
  <si>
    <t>Profile Extrusion Line 75mm (SSE + calibration table + haul-off) — UK</t>
  </si>
  <si>
    <t>extruder-sheet-line</t>
  </si>
  <si>
    <t>Sheet Extrusion Line (die + 3-roll stack + winder) — UK</t>
  </si>
  <si>
    <t>extruder-cable-line</t>
  </si>
  <si>
    <t>Cable/Wire Line (crosshead + CV/cooling + capstan) — UK</t>
  </si>
  <si>
    <t>extruder-coex-3</t>
  </si>
  <si>
    <t>3-Layer Co-Extrusion Line (3 extruders + feed block/manifold die) — UK</t>
  </si>
  <si>
    <t>extruder-micro-tube</t>
  </si>
  <si>
    <t>Medical Micro-Tubing Line (precision + laser gauge + cleanroom-ready) — UK</t>
  </si>
  <si>
    <t>extrusion-finish-qa</t>
  </si>
  <si>
    <t>Cut-off, Coil &amp; Inspection Station — UK</t>
  </si>
  <si>
    <t>extrusion-leak-test</t>
  </si>
  <si>
    <t>Pipe/Tube Pressure &amp; Leak Test Rig — UK</t>
  </si>
  <si>
    <t>thermoform-small</t>
  </si>
  <si>
    <t>Thermoformer (Small/Single Station) — UK</t>
  </si>
  <si>
    <t>thermoform-large</t>
  </si>
  <si>
    <t>Thermoformer (Inline/Rotary, Large) — UK</t>
  </si>
  <si>
    <t>thermoform-pressure</t>
  </si>
  <si>
    <t>Pressure Former (3–6 bar, cut-sheet) — UK</t>
  </si>
  <si>
    <t>thermoform-twinsheet</t>
  </si>
  <si>
    <t>Twin-Sheet Thermoformer — UK</t>
  </si>
  <si>
    <t>thermoform-rollfed</t>
  </si>
  <si>
    <t>Roll-Fed Inline Thermoformer (packaging) — UK</t>
  </si>
  <si>
    <t>thermoform-oven</t>
  </si>
  <si>
    <t>Standalone Sheet Pre-Heat Oven — UK</t>
  </si>
  <si>
    <t>thermoform-trim-router</t>
  </si>
  <si>
    <t>CNC Trim Router / Trim Robot (5-axis) — UK</t>
  </si>
  <si>
    <t>rotomould-biaxial</t>
  </si>
  <si>
    <t>Biaxial Rotational Moulder (3-arm carousel) — UK</t>
  </si>
  <si>
    <t>rotomould-lab-1arm</t>
  </si>
  <si>
    <t>Single-Arm Rotational Moulder (small/lab) — UK</t>
  </si>
  <si>
    <t>rotomould-shuttle</t>
  </si>
  <si>
    <t>Shuttle Rotational Moulder (1–2 station) — UK</t>
  </si>
  <si>
    <t>rotomould-rocknroll</t>
  </si>
  <si>
    <t>Rock-and-Roll Rotational Moulder — UK</t>
  </si>
  <si>
    <t>rotomould-carousel-4arm</t>
  </si>
  <si>
    <t>4-Arm Fixed Carousel Rotational Moulder — UK</t>
  </si>
  <si>
    <t>ultrasonic-welder</t>
  </si>
  <si>
    <t>Ultrasonic Welder — UK</t>
  </si>
  <si>
    <t>hot-plate-welder</t>
  </si>
  <si>
    <t>Hot Plate Welder — UK</t>
  </si>
  <si>
    <t>vibration-welder</t>
  </si>
  <si>
    <t>Vibration Welder — UK</t>
  </si>
  <si>
    <t>laser-trumpf-3030</t>
  </si>
  <si>
    <t>Trumpf TruLaser 3030 (6kW Fiber) — UK</t>
  </si>
  <si>
    <t>laser-bystronic-3015</t>
  </si>
  <si>
    <t>Bystronic BySmart 3015 (4kW Fiber) — UK</t>
  </si>
  <si>
    <t>punch-amada-emz3610</t>
  </si>
  <si>
    <t>Amada EMZ 3610 Turret Punch (30T) — UK</t>
  </si>
  <si>
    <t>punch-trumpf-5000</t>
  </si>
  <si>
    <t>Trumpf TruPunch 5000 (30T) — UK</t>
  </si>
  <si>
    <t>brake-amada-hfe100</t>
  </si>
  <si>
    <t>Amada HFE 100T Press Brake (3m) — UK</t>
  </si>
  <si>
    <t>brake-trumpf-5230</t>
  </si>
  <si>
    <t>Trumpf TruBend 5230 (230T) — UK</t>
  </si>
  <si>
    <t>press-schuler-400t</t>
  </si>
  <si>
    <t>Schuler 400T Stamping Press — UK</t>
  </si>
  <si>
    <t>press-aida-200t</t>
  </si>
  <si>
    <t>AIDA 200T Stamping Press — UK</t>
  </si>
  <si>
    <t>rollform-dimeco-20st</t>
  </si>
  <si>
    <t>Dimeco Roll Forming Line (20 stations) — UK</t>
  </si>
  <si>
    <t>robot-spotweld-kuka</t>
  </si>
  <si>
    <t>KUKA Spot Welding Robot Cell — UK</t>
  </si>
  <si>
    <t>mig-welder-manual</t>
  </si>
  <si>
    <t>Manual MIG/MAG Welder Station — UK</t>
  </si>
  <si>
    <t>tig-welder-manual</t>
  </si>
  <si>
    <t>Manual TIG Welder Station — UK</t>
  </si>
  <si>
    <t>laser-trumpf-5030</t>
  </si>
  <si>
    <t>Trumpf TruLaser 5030 (10kW Fiber) — UK</t>
  </si>
  <si>
    <t>laser-amada-ensis-3015</t>
  </si>
  <si>
    <t>Amada ENSIS 3015 AJ (3kW Fiber) — UK</t>
  </si>
  <si>
    <t>plasma-hypertherm-xpr300</t>
  </si>
  <si>
    <t>Hypertherm XPR300 Plasma Table — UK</t>
  </si>
  <si>
    <t>plasma-kjellberg-hifocus280</t>
  </si>
  <si>
    <t>Kjellberg HiFocus 280i Plasma Table — UK</t>
  </si>
  <si>
    <t>waterjet-flow-mach500</t>
  </si>
  <si>
    <t>Flow Mach 500 Waterjet (60K psi) — UK</t>
  </si>
  <si>
    <t>waterjet-omax-80x</t>
  </si>
  <si>
    <t>Omax 80X Waterjet (60K psi) — UK</t>
  </si>
  <si>
    <t>shear-hydraulic-3m</t>
  </si>
  <si>
    <t>Hydraulic Guillotine Shear (3m × 6mm) — UK</t>
  </si>
  <si>
    <t>shear-guillotine-6mm</t>
  </si>
  <si>
    <t>Hydraulic Shear Heavy Duty (4m × 6mm) — UK</t>
  </si>
  <si>
    <t>brake-amada-hfe170</t>
  </si>
  <si>
    <t>Amada HFE3i 170T Press Brake (4m) — UK</t>
  </si>
  <si>
    <t>brake-trumpf-trubend3100</t>
  </si>
  <si>
    <t>Trumpf TruBend 3100 (100T) — UK</t>
  </si>
  <si>
    <t>brake-lvd-ppeb135</t>
  </si>
  <si>
    <t>LVD PPEB 135T/30 Press Brake — UK</t>
  </si>
  <si>
    <t>spotweld-gun-manual</t>
  </si>
  <si>
    <t>Pedestal Spot Welding Machine — UK</t>
  </si>
  <si>
    <t>robot-mig-cell</t>
  </si>
  <si>
    <t>Robotic MIG/MAG Welding Cell — UK</t>
  </si>
  <si>
    <t>compression-mould-std</t>
  </si>
  <si>
    <t>Compression Moulding Press 250T — UK</t>
  </si>
  <si>
    <t>transfer-mould-std</t>
  </si>
  <si>
    <t>Transfer Moulding Press 200T — UK</t>
  </si>
  <si>
    <t>lsr-injection-machine</t>
  </si>
  <si>
    <t>LSR Injection Moulding Machine — UK</t>
  </si>
  <si>
    <t>cure-oven-rubber</t>
  </si>
  <si>
    <t>Rubber Cure / Vulcanisation Oven — UK</t>
  </si>
  <si>
    <t>extruder-rubber-60mm</t>
  </si>
  <si>
    <t>Rubber Extruder 60mm (Cold-feed) — UK</t>
  </si>
  <si>
    <t>die-cut-press-rubber</t>
  </si>
  <si>
    <t>Hydraulic Die-Cutting Press 20T — UK</t>
  </si>
  <si>
    <t>autoclave-1200mm</t>
  </si>
  <si>
    <t>Production Autoclave 1200mm dia — UK</t>
  </si>
  <si>
    <t>oven-composite-cure</t>
  </si>
  <si>
    <t>Composite Cure Oven (Fan-Assisted) — UK</t>
  </si>
  <si>
    <t>rtm-press-std</t>
  </si>
  <si>
    <t>RTM / VARTM Injection Press — UK</t>
  </si>
  <si>
    <t>waterjet-5ax-composite</t>
  </si>
  <si>
    <t>5-Axis Waterjet Trim System — UK</t>
  </si>
  <si>
    <t>mach-afp-atl</t>
  </si>
  <si>
    <t>AFP/ATL Composite Cell — UK</t>
  </si>
  <si>
    <t>harness-test-sys</t>
  </si>
  <si>
    <t>Electrical Harness Test System (Continuity + HiPot) — UK</t>
  </si>
  <si>
    <t>mach-vmc3-cn</t>
  </si>
  <si>
    <t>VMC 3-axis CNC (China) — CN</t>
  </si>
  <si>
    <t>mach-vmc3-in</t>
  </si>
  <si>
    <t>VMC 3-axis CNC (India) — IN</t>
  </si>
  <si>
    <t>mach-vmc3-de</t>
  </si>
  <si>
    <t>VMC 3-axis CNC (Germany) — DE</t>
  </si>
  <si>
    <t>mach-vmc3-pl</t>
  </si>
  <si>
    <t>VMC 3-axis CNC (Poland) — PL</t>
  </si>
  <si>
    <t>mach-vmc3-mx</t>
  </si>
  <si>
    <t>VMC 3-axis CNC (Mexico) — MX</t>
  </si>
  <si>
    <t>imm-200t-cn</t>
  </si>
  <si>
    <t>Injection Moulding 200T (China) — CN</t>
  </si>
  <si>
    <t>imm-200t-in</t>
  </si>
  <si>
    <t>Injection Moulding 200T (India) — IN</t>
  </si>
  <si>
    <t>imm-200t-de</t>
  </si>
  <si>
    <t>Injection Moulding 200T (Germany) — DE</t>
  </si>
  <si>
    <t>imm-200t-pl</t>
  </si>
  <si>
    <t>Injection Moulding 200T (Poland) — PL</t>
  </si>
  <si>
    <t>imm-200t-mx</t>
  </si>
  <si>
    <t>Injection Moulding 200T (Mexico) — MX</t>
  </si>
  <si>
    <t>hpdc-500t-cn</t>
  </si>
  <si>
    <t>HPDC 500T (China) — CN</t>
  </si>
  <si>
    <t>hpdc-500t-in</t>
  </si>
  <si>
    <t>HPDC 500T (India) — IN</t>
  </si>
  <si>
    <t>hpdc-500t-mx</t>
  </si>
  <si>
    <t>HPDC 500T (Mexico) — MX</t>
  </si>
  <si>
    <t>press-400t-cn</t>
  </si>
  <si>
    <t>Stamping Press 400T (China) — CN</t>
  </si>
  <si>
    <t>press-400t-in</t>
  </si>
  <si>
    <t>Stamping Press 400T (India) — IN</t>
  </si>
  <si>
    <t>press-400t-pl</t>
  </si>
  <si>
    <t>Stamping Press 400T (Poland) — PL</t>
  </si>
  <si>
    <t>press-400t-mx</t>
  </si>
  <si>
    <t>Stamping Press 400T (Mexico) — MX</t>
  </si>
  <si>
    <t>bench-assembly-cn</t>
  </si>
  <si>
    <t>Manual Assembly Bench (China) — CN</t>
  </si>
  <si>
    <t>bench-assembly-in</t>
  </si>
  <si>
    <t>Manual Assembly Bench (India) — IN</t>
  </si>
  <si>
    <t>bench-assembly-mx</t>
  </si>
  <si>
    <t>Manual Assembly Bench (Mexico) — MX</t>
  </si>
  <si>
    <t>bench-assembly-vn</t>
  </si>
  <si>
    <t>Manual Assembly Bench (Vietnam) — VN</t>
  </si>
  <si>
    <t>bench-assembly-pl</t>
  </si>
  <si>
    <t>Manual Assembly Bench (Poland) — PL</t>
  </si>
  <si>
    <t>lab-uk-skilled</t>
  </si>
  <si>
    <t>Skilled Machinist — UK</t>
  </si>
  <si>
    <t>labour</t>
  </si>
  <si>
    <t>lab-uk-semiskilled</t>
  </si>
  <si>
    <t>Semi-skilled Operator — UK</t>
  </si>
  <si>
    <t>lab-uk-engineer</t>
  </si>
  <si>
    <t>Process Engineer — UK</t>
  </si>
  <si>
    <t>lab-in-skilled</t>
  </si>
  <si>
    <t>Skilled Machinist — India</t>
  </si>
  <si>
    <t>lab-cn-skilled</t>
  </si>
  <si>
    <t>Skilled Machinist — China</t>
  </si>
  <si>
    <t>lab-uk-foundry</t>
  </si>
  <si>
    <t>Foundry Operative — UK</t>
  </si>
  <si>
    <t>lab-uk-inspector</t>
  </si>
  <si>
    <t>CMM / Quality Inspector — UK</t>
  </si>
  <si>
    <t>lab-uk-technician</t>
  </si>
  <si>
    <t>Maintenance / Mould-Setter Technician — UK</t>
  </si>
  <si>
    <t>lab-uk-supervisor</t>
  </si>
  <si>
    <t>Shift / Production Supervisor — UK</t>
  </si>
  <si>
    <t>lab-uk-forge</t>
  </si>
  <si>
    <t>Forge Operator / Hammer-man — UK</t>
  </si>
  <si>
    <t>lab-uk-furnace</t>
  </si>
  <si>
    <t>Furnace / Heat Operator — UK</t>
  </si>
  <si>
    <t>lab-uk-blow</t>
  </si>
  <si>
    <t>Blow Moulding Operator — UK</t>
  </si>
  <si>
    <t>lab-uk-roto</t>
  </si>
  <si>
    <t>Rotational Moulding Operator — UK</t>
  </si>
  <si>
    <t>lab-uk-thermoform</t>
  </si>
  <si>
    <t>Thermoforming Operator — UK</t>
  </si>
  <si>
    <t>lab-uk-trim-router</t>
  </si>
  <si>
    <t>CNC Trim / Router Operator — UK</t>
  </si>
  <si>
    <t>lab-de-skilled</t>
  </si>
  <si>
    <t>Skilled Machinist — Germany</t>
  </si>
  <si>
    <t>lab-pl-skilled</t>
  </si>
  <si>
    <t>Skilled Machinist — Poland</t>
  </si>
  <si>
    <t>lab-mx-skilled</t>
  </si>
  <si>
    <t>Skilled Machinist — Mexico</t>
  </si>
  <si>
    <t>lab-uk-electronics</t>
  </si>
  <si>
    <t>SMT / Electronics Operator — UK</t>
  </si>
  <si>
    <t>lab-de-semiskilled</t>
  </si>
  <si>
    <t>Semi-skilled Operator — Germany</t>
  </si>
  <si>
    <t>lab-de-foundry</t>
  </si>
  <si>
    <t>Foundry Operative — Germany</t>
  </si>
  <si>
    <t>lab-de-electronics</t>
  </si>
  <si>
    <t>SMT / Electronics Operator — Germany</t>
  </si>
  <si>
    <t>lab-de-engineer</t>
  </si>
  <si>
    <t>Process Engineer — Germany</t>
  </si>
  <si>
    <t>lab-pl-semiskilled</t>
  </si>
  <si>
    <t>Semi-skilled Operator — Poland</t>
  </si>
  <si>
    <t>lab-pl-electronics</t>
  </si>
  <si>
    <t>SMT / Electronics Operator — Poland</t>
  </si>
  <si>
    <t>lab-pl-foundry</t>
  </si>
  <si>
    <t>Foundry Operative — Poland</t>
  </si>
  <si>
    <t>lab-cn-semiskilled</t>
  </si>
  <si>
    <t>Semi-skilled Operator — China</t>
  </si>
  <si>
    <t>lab-cn-electronics</t>
  </si>
  <si>
    <t>SMT / Electronics Operator — China</t>
  </si>
  <si>
    <t>lab-cn-engineer</t>
  </si>
  <si>
    <t>Process Engineer — China</t>
  </si>
  <si>
    <t>lab-in-semiskilled</t>
  </si>
  <si>
    <t>Semi-skilled Operator — India</t>
  </si>
  <si>
    <t>lab-in-electronics</t>
  </si>
  <si>
    <t>SMT / Electronics Operator — India</t>
  </si>
  <si>
    <t>lab-in-engineer</t>
  </si>
  <si>
    <t>Process Engineer — India</t>
  </si>
  <si>
    <t>lab-mx-semiskilled</t>
  </si>
  <si>
    <t>Semi-skilled Operator — Mexico</t>
  </si>
  <si>
    <t>lab-mx-electronics</t>
  </si>
  <si>
    <t>SMT / Electronics Operator — Mexico</t>
  </si>
  <si>
    <t>lab-tr-skilled</t>
  </si>
  <si>
    <t>Skilled Machinist — Turkey</t>
  </si>
  <si>
    <t>lab-tr-semiskilled</t>
  </si>
  <si>
    <t>Semi-skilled Operator — Turkey</t>
  </si>
  <si>
    <t>lab-vn-skilled</t>
  </si>
  <si>
    <t>Skilled Machinist — Vietnam</t>
  </si>
  <si>
    <t>lab-vn-semiskilled</t>
  </si>
  <si>
    <t>Semi-skilled Operator — Vietnam</t>
  </si>
  <si>
    <t>lab-kr-skilled</t>
  </si>
  <si>
    <t>Skilled Machinist — South Korea</t>
  </si>
  <si>
    <t>lab-kr-electronics</t>
  </si>
  <si>
    <t>SMT / Electronics Operator — South Korea</t>
  </si>
  <si>
    <t>lab-ro-skilled</t>
  </si>
  <si>
    <t>Skilled Machinist — Romania</t>
  </si>
  <si>
    <t>lab-ro-semiskilled</t>
  </si>
  <si>
    <t>Semi-skilled Operator — Romania</t>
  </si>
  <si>
    <t>id</t>
  </si>
  <si>
    <t>grade</t>
  </si>
  <si>
    <t>densityKgPerM3</t>
  </si>
  <si>
    <t>region</t>
  </si>
  <si>
    <t>effectiveDate</t>
  </si>
  <si>
    <t>sourceNote</t>
  </si>
  <si>
    <t>confidence</t>
  </si>
  <si>
    <t>rows matched</t>
  </si>
  <si>
    <t>scrap £/kg</t>
  </si>
  <si>
    <t>CO2 (not used)</t>
  </si>
  <si>
    <t>built-in source note</t>
  </si>
  <si>
    <t>built-in date</t>
  </si>
  <si>
    <t>6061-T6</t>
  </si>
  <si>
    <t>Aluminium</t>
  </si>
  <si>
    <t>UK</t>
  </si>
  <si>
    <t>Medium</t>
  </si>
  <si>
    <t>LME + UK processor premium, Jun 2026. Index-anchored 2026-07 refresh. | Refresh 2026-09: −£0.060/kg from 0.97kg al £2.910→£2.849/kg; premiums held</t>
  </si>
  <si>
    <t>2026-09</t>
  </si>
  <si>
    <t>1045 / C45 / 080M46 (Medium-Carbon Steel)</t>
  </si>
  <si>
    <t>Carbon Steel</t>
  </si>
  <si>
    <t>UK steel stockholder, Jun 2026. Index-anchored 2026-07 refresh. | Refresh 2026-09: INDEX FLAT — Index flat: Kallanish N-Europe wire rod ’stable’ (Jun 2026), ’decrease slightly’ (Jul), ’remain stable’ / ’flat’ (Sep 2026) — carbon and alloy bar unchanged.</t>
  </si>
  <si>
    <t>316L</t>
  </si>
  <si>
    <t>Stainless Steel</t>
  </si>
  <si>
    <t>UK stainless distributor, Jun 2026. Index-anchored 2026-07 refresh. | Refresh 2026-09: +£0.129/kg from 1kg ss_sur £2.037→£2.164/kg, 0.03kg ni £12.302→£12.378/kg; premiums held</t>
  </si>
  <si>
    <t>4140 / 42CrMo4 / EN19 (Chromoly Alloy Steel)</t>
  </si>
  <si>
    <t>Alloy Steel</t>
  </si>
  <si>
    <t>Ti-6Al-4V</t>
  </si>
  <si>
    <t>Titanium</t>
  </si>
  <si>
    <t>Low</t>
  </si>
  <si>
    <t>Titanium distributor UK, Jun 2026. Index-anchored 2026-07 refresh. | Refresh 2026-09: −£0.367/kg from 0.9kg ti £5.398→£4.989/kg; premiums held</t>
  </si>
  <si>
    <t>Virtual / Pass-through</t>
  </si>
  <si>
    <t>Virtual</t>
  </si>
  <si>
    <t>Placeholder for directCost modules (painting, BIW, PCB, PCBA). Price is irrelevant — directCost overrides.</t>
  </si>
  <si>
    <t>2026-06-14</t>
  </si>
  <si>
    <t>EN8 / 080M40 (Medium Carbon)</t>
  </si>
  <si>
    <t>Index-anchored 2026-07 refresh. General medium-carbon machining bar — shafts, studs, general engineering. | Refresh 2026-09: INDEX FLAT — Index flat: Kallanish N-Europe wire rod ’stable’ (Jun 2026), ’decrease slightly’ (Jul), ’remain stable’ / ’flat’ (Sep 2026) — carbon and alloy bar unchanged.</t>
  </si>
  <si>
    <t>304 Stainless Bar</t>
  </si>
  <si>
    <t>Index-anchored 2026-07 refresh. General austenitic machining bar — fittings, shafts, food/chemical. | Refresh 2026-09: +£0.127/kg from 1kg ss_sur £2.037→£2.164/kg; premiums held</t>
  </si>
  <si>
    <t>303 Free-Machining Stainless Bar</t>
  </si>
  <si>
    <t>Index-anchored 2026-07 refresh. Sulphur-added free-machining austenitic — high-volume turned parts, fasteners. | Refresh 2026-09: +£0.127/kg from 1kg ss_sur £2.037→£2.164/kg; premiums held</t>
  </si>
  <si>
    <t>6082-T6 Aluminium Bar</t>
  </si>
  <si>
    <t>Index-anchored 2026-07 refresh. Structural 6xxx machining bar/plate — brackets, jigs, structural parts. | Refresh 2026-09: −£0.060/kg from 0.97kg al £2.910→£2.849/kg; premiums held</t>
  </si>
  <si>
    <t>2011-T3 Free-Machining Al Bar</t>
  </si>
  <si>
    <t>Index-anchored 2026-07 refresh. Free-machining Al-Cu-Pb — high-speed screw-machine parts, fittings. | Refresh 2026-09: −£0.022/kg from 0.93kg al £2.910→£2.849/kg, 0.05kg cu £10.070→£10.768/kg; premiums held</t>
  </si>
  <si>
    <t>CZ121 / CW614N Free-Machining Brass</t>
  </si>
  <si>
    <t>Copper Alloy</t>
  </si>
  <si>
    <t>Index-anchored 2026-07 refresh. Standard free-machining brass bar — fittings, valve parts, connectors. | Refresh 2026-09: +£0.697/kg from 0.58kg cu £10.070→£10.768/kg, 0.39kg zn £2.164→£2.913/kg, 0.03kg pb £1.442→£1.438/kg; premiums held</t>
  </si>
  <si>
    <t>PB1 Phosphor Bronze Bar</t>
  </si>
  <si>
    <t>Index-anchored 2026-07 refresh. Phosphor bronze bar — bearings, bushes, worm wheels, high-load sliding. | Refresh 2026-09: +£4.710/kg from 0.89kg cu £10.070→£10.768/kg, 0.105kg sn £38.211→£41.201/kg, floored at commodity content £13.91/kg (previous level was below the metal it contains); premiums held</t>
  </si>
  <si>
    <t>POM-C (Acetal / Delrin Stock)</t>
  </si>
  <si>
    <t>Engineering Plastic (Stock)</t>
  </si>
  <si>
    <t>Index-anchored 2026-07. Acetal copolymer rod/sheet — precision gears, bushes, manifolds; excellent machinability. | Refresh 2026-09: NOT SOURCED — pom: Not sourced this period: engineering resin prices are paywalled (PIE/ICIS). Direction only: PC rising through Aug 2026, PA6 rebounding, PA66 under pressure, PET declining — no like-for-like June→Sep figures. Held at the June 2026 price.</t>
  </si>
  <si>
    <t>Nylon 6 (Cast PA6 Stock)</t>
  </si>
  <si>
    <t>Index-anchored 2026-07. Cast nylon rod/slab — wear pads, sprockets, rollers, guide rails. | Refresh 2026-09: NOT SOURCED — pa6: Not sourced this period: engineering resin prices are paywalled (PIE/ICIS). Direction only: PC rising through Aug 2026, PA6 rebounding, PA66 under pressure, PET declining — no like-for-like June→Sep figures. Held at the June 2026 price.</t>
  </si>
  <si>
    <t>PTFE (Virgin Stock)</t>
  </si>
  <si>
    <t>Index-anchored 2026-07. Virgin PTFE rod/sheet — seals, insulators, chemical/low-friction parts. | Refresh 2026-09: SPECIALTY — no public market index for this grade; held at the June 2026 price — refresh by supplier quote</t>
  </si>
  <si>
    <t>PEEK (Unfilled Stock)</t>
  </si>
  <si>
    <t>Index-anchored 2026-07. Unfilled PEEK rod/plate — high-temp/chemical machined parts, medical, aerospace. | Refresh 2026-09: SPECIALTY — no public market index for this grade; held at the June 2026 price — refresh by supplier quote</t>
  </si>
  <si>
    <t>Cast Acrylic (PMMA Stock)</t>
  </si>
  <si>
    <t>Index-anchored 2026-07. Cast acrylic sheet/rod — optical, signage, machined transparent parts. | Refresh 2026-09: NOT SOURCED — pmma: Not sourced this period: engineering resin prices are paywalled (PIE/ICIS). Direction only: PC rising through Aug 2026, PA6 rebounding, PA66 under pressure, PET declining — no like-for-like June→Sep figures. Held at the June 2026 price.</t>
  </si>
  <si>
    <t>UHMW-PE (Stock)</t>
  </si>
  <si>
    <t>Index-anchored 2026-07. Ultra-high-molecular-weight PE sheet — wear strips, chute liners, guides. | Refresh 2026-09: SPECIALTY — no public market index for this grade; held at the June 2026 price — refresh by supplier quote</t>
  </si>
  <si>
    <t>DC01</t>
  </si>
  <si>
    <t>Mild Steel Sheet</t>
  </si>
  <si>
    <t>UK CR mild sheet, delivered small-lot. Index-anchored: CRC €781/t → £0.67/kg mill + £0.19/kg stockholder premium. Basis: Fastmarkets EU HRC €691/t May-26 +€90 CRC, FX 0.855. Yield ~140 MPa. | Refresh 2026-09: +£0.049/kg from 1kg crc £0.668→£0.717/kg; premiums held</t>
  </si>
  <si>
    <t>DC01 GI (Hot-dip Galvanised)</t>
  </si>
  <si>
    <t>Galvanised Steel Sheet</t>
  </si>
  <si>
    <t>UK galv coil, BIW bodywork standard. Jun 2026 Index-anchored 2026-07 (see PRICING BASIS). | Refresh 2026-09: +£0.049/kg from 1kg hdg £0.668→£0.717/kg; premiums held</t>
  </si>
  <si>
    <t>DC03 GA (Galvannealed)</t>
  </si>
  <si>
    <t>UK galvannealed coil, standard BIW inner panels. Jun 2026 Index-anchored 2026-07 (see PRICING BASIS). | Refresh 2026-09: +£0.049/kg from 1kg hdg £0.668→£0.717/kg; premiums held</t>
  </si>
  <si>
    <t>DP600</t>
  </si>
  <si>
    <t>AHSS Sheet</t>
  </si>
  <si>
    <t>UK AHSS coil, Jun 2026 Index-anchored 2026-07 (see PRICING BASIS). | Refresh 2026-09: +£0.049/kg from 1kg crc £0.668→£0.717/kg; premiums held</t>
  </si>
  <si>
    <t>HSLA 340</t>
  </si>
  <si>
    <t>High Strength Steel Sheet</t>
  </si>
  <si>
    <t>UK HSLA coil, Jun 2026 Index-anchored 2026-07 (see PRICING BASIS). | Refresh 2026-09: +£0.049/kg from 1kg crc £0.668→£0.717/kg; premiums held</t>
  </si>
  <si>
    <t>22MnB5 (Hot Press Forming / Boron Steel)</t>
  </si>
  <si>
    <t>Ultra-High Strength Steel</t>
  </si>
  <si>
    <t>UK PHS coil for hot stamping (A/B-pillar, roof rail). Jun 2026 Index-anchored 2026-07 (see PRICING BASIS). | Refresh 2026-09: +£0.049/kg from 1kg crc £0.668→£0.717/kg; premiums held</t>
  </si>
  <si>
    <t>AA5182</t>
  </si>
  <si>
    <t>Aluminium Sheet</t>
  </si>
  <si>
    <t>UK Al sheet, Jun 2026 Index-anchored 2026-07 (see PRICING BASIS). | Refresh 2026-09: −£0.060/kg from 0.97kg al £2.910→£2.849/kg; premiums held</t>
  </si>
  <si>
    <t>304L Stainless Sheet</t>
  </si>
  <si>
    <t>Stainless Steel Sheet</t>
  </si>
  <si>
    <t>UK stainless coil, food/pharma stampings. Jun 2026 Index-anchored 2026-07 (see PRICING BASIS). | Refresh 2026-09: +£0.127/kg from 1kg ss_sur £2.037→£2.164/kg; premiums held</t>
  </si>
  <si>
    <t>AA5052-H32 Sheet</t>
  </si>
  <si>
    <t>UK Al sheet stockholder Jun 2026. 5xxx series — marine/vehicle panels, excellent corrosion resistance. Yield 195 MPa. Index-anchored 2026-07 (see PRICING BASIS). | Refresh 2026-09: −£0.060/kg from 0.97kg al £2.910→£2.849/kg; premiums held</t>
  </si>
  <si>
    <t>AA5083-H111 Sheet</t>
  </si>
  <si>
    <t>UK Al sheet stockholder Jun 2026. 5xxx series — marine structures, shipbuilding. Higher strength than 5052. Yield 228 MPa. Index-anchored 2026-07 (see PRICING BASIS). | Refresh 2026-09: −£0.060/kg from 0.97kg al £2.910→£2.849/kg; premiums held</t>
  </si>
  <si>
    <t>AA6082-T6 Sheet</t>
  </si>
  <si>
    <t>UK Al sheet/plate stockholder Jun 2026. 6xxx series structural alloy — frames, structural parts. Yield 250 MPa. Index-anchored 2026-07 (see PRICING BASIS). | Refresh 2026-09: −£0.060/kg from 0.97kg al £2.910→£2.849/kg; premiums held</t>
  </si>
  <si>
    <t>AISI 430 Ferritic SS Sheet</t>
  </si>
  <si>
    <t>UK SS stockholder Jun 2026. Ferritic (magnetic) stainless — appliance panels, automotive trim. Moderate corrosion resistance. Yield 250 MPa. Index-anchored 2026-07 (see PRICING BASIS). | Refresh 2026-09: +£0.034/kg from 0.7kg hrc £0.591→£0.639/kg; premiums held</t>
  </si>
  <si>
    <t>AISI 316L Stainless Sheet</t>
  </si>
  <si>
    <t>UK SS stockholder Jun 2026. 316L — food processing, medical, marine (Mo addition gives better chloride resistance than 304). Yield 170 MPa. Index-anchored 2026-07 (see PRICING BASIS). | Refresh 2026-09: +£0.129/kg from 1kg ss_sur £2.037→£2.164/kg, 0.03kg ni £12.302→£12.378/kg; premiums held</t>
  </si>
  <si>
    <t>DC01+ZE (Electrogalvanised)</t>
  </si>
  <si>
    <t>Electrogalvanised Steel Sheet</t>
  </si>
  <si>
    <t>UK steel coil Jun 2026. Thin zinc coating — automotive body, appliance housings. Better paintability than hot-dip. Yield 140 MPa. Index-anchored 2026-07 (see PRICING BASIS). | Refresh 2026-09: +£0.049/kg from 1kg crc £0.668→£0.717/kg; premiums held</t>
  </si>
  <si>
    <t>HSLA 420 Sheet</t>
  </si>
  <si>
    <t>UK HSLA coil Jun 2026. 420 MPa min yield — structural reinforcements, crash components. Higher strength premium over HSLA 340. Index-anchored 2026-07 (see PRICING BASIS). | Refresh 2026-09: +£0.049/kg from 1kg crc £0.668→£0.717/kg; premiums held</t>
  </si>
  <si>
    <t>HRPO (Hot Rolled Pickled &amp; Oiled)</t>
  </si>
  <si>
    <t>UK steel coil Jun 2026. Hot-rolled, pickled and oiled — structural fabrication, heavy-gauge brackets, lower cost than CR. Yield 250 MPa. Index-anchored 2026-07 (see PRICING BASIS). | Refresh 2026-09: +£0.049/kg from 1kg hrc £0.591→£0.639/kg; premiums held</t>
  </si>
  <si>
    <t>AA5754-H22 Sheet</t>
  </si>
  <si>
    <t>UK Al sheet stockholder Jun 2026. 5754 H22 — automotive body closures, truck panels. Excellent formability. Yield 140 MPa. Index-anchored 2026-07 (see PRICING BASIS). | Refresh 2026-09: −£0.060/kg from 0.97kg al £2.910→£2.849/kg; premiums held</t>
  </si>
  <si>
    <t>AA6061-T6 Sheet/Plate</t>
  </si>
  <si>
    <t>UK Al sheet stockholder Jun 2026. 6061 T6 — general structural, aerospace, vehicle frames. Yield 276 MPa. Good weldability. Index-anchored 2026-07 (see PRICING BASIS). | Refresh 2026-09: −£0.060/kg from 0.97kg al £2.910→£2.849/kg; premiums held</t>
  </si>
  <si>
    <t>AA6063-T5 Sheet</t>
  </si>
  <si>
    <t>UK Al sheet stockholder Jun 2026. 6063 T5 — architectural panels, window frames, radiators. Yield 145 MPa. Anodises well. Index-anchored 2026-07 (see PRICING BASIS). | Refresh 2026-09: −£0.060/kg from 0.97kg al £2.910→£2.849/kg; premiums held</t>
  </si>
  <si>
    <t>AA3003-H14 Sheet</t>
  </si>
  <si>
    <t>UK Al sheet stockholder Jun 2026. 3003 H14 — heat exchangers, chemical equipment, fuel tanks, cookware. Best formability of common Al alloys. Yield 145 MPa. Index-anchored 2026-07 (see PRICING BASIS). | Refresh 2026-09: −£0.060/kg from 0.97kg al £2.910→£2.849/kg; premiums held</t>
  </si>
  <si>
    <t>C110 ETP Copper Sheet</t>
  </si>
  <si>
    <t>Copper &amp; Brass Sheet</t>
  </si>
  <si>
    <t>UK copper stockholder Jun 2026. C110 ETP copper — busbars, electrical contacts, heat sinks, roofing. 99.9% Cu, 100% IACS. Yield 70 MPa. Index-anchored 2026-07 (see PRICING BASIS). | Refresh 2026-09: +£0.920/kg from 1kg cu £10.070→£10.768/kg, floored at commodity content £10.77/kg (previous level was below the metal it contains); premiums held</t>
  </si>
  <si>
    <t>CZ108 Brass Sheet (70/30)</t>
  </si>
  <si>
    <t>UK brass stockholder Jun 2026. CZ108 70/30 cartridge brass — decorative panels, heat exchangers, plumbing fittings. Excellent cold formability. Yield 105 MPa. Index-anchored 2026-07 (see PRICING BASIS). | Refresh 2026-09: +£1.000/kg from 0.7kg cu £10.070→£10.768/kg, 0.3kg zn £2.164→£2.913/kg, floored at commodity content £8.41/kg (previous level was below the metal it contains); premiums held</t>
  </si>
  <si>
    <t>DP780</t>
  </si>
  <si>
    <t>UK AHSS coil Jul 2026. Dual-phase 780 MPa UTS — crash rails, seat structures. Needs ~1.6× press tonnage &amp; extra restrike vs DP600; springback compensation in die. Yield ~450 MPa. | Refresh 2026-09: +£0.049/kg from 1kg crc £0.668→£0.717/kg; premiums held</t>
  </si>
  <si>
    <t>DP980</t>
  </si>
  <si>
    <t>UK AHSS coil Jul 2026. Dual-phase 980 MPa UTS — B-pillar reinforcements, longitudinals. High die wear, significant springback, limited formability. Yield ~600 MPa. | Refresh 2026-09: +£0.049/kg from 1kg crc £0.668→£0.717/kg; premiums held</t>
  </si>
  <si>
    <t>DP1000</t>
  </si>
  <si>
    <t>UK AHSS coil Jul 2026. Dual-phase 1000 MPa UTS — cold-formed crash structures. Yield ~700 MPa. | Refresh 2026-09: +£0.049/kg from 1kg crc £0.668→£0.717/kg; premiums held</t>
  </si>
  <si>
    <t>TRIP780</t>
  </si>
  <si>
    <t>UK AHSS coil Jul 2026. Transformation-induced plasticity 780 — best strength/formability balance, energy-absorbing members. Retained austenite. Yield ~440 MPa. | Refresh 2026-09: +£0.049/kg from 1kg crc £0.668→£0.717/kg; premiums held</t>
  </si>
  <si>
    <t>CP800 (Complex Phase)</t>
  </si>
  <si>
    <t>UK AHSS coil Jul 2026. Complex-phase 800 — high yield, good edge-stretch/hole expansion for chassis &amp; suspension parts. Yield ~680 MPa. | Refresh 2026-09: +£0.049/kg from 1kg crc £0.668→£0.717/kg; premiums held</t>
  </si>
  <si>
    <t>MS1200 (Martensitic)</t>
  </si>
  <si>
    <t>UK UHSS coil Jul 2026. Martensitic 1200 MPa — roll-formed bumper beams, door beams. Very low formability, roll-form only. Yield ~950 MPa. | Refresh 2026-09: +£0.049/kg from 1kg crc £0.668→£0.717/kg; premiums held</t>
  </si>
  <si>
    <t>MS1500 (Martensitic)</t>
  </si>
  <si>
    <t>UK UHSS coil Jul 2026. Martensitic 1500 MPa — bumper beams, intrusion beams. Roll-forming or hot forming only. Yield ~1200 MPa. | Refresh 2026-09: +£0.049/kg from 1kg crc £0.668→£0.717/kg; premiums held</t>
  </si>
  <si>
    <t>Usibor 1500 (AlSi-coated 22MnB5)</t>
  </si>
  <si>
    <t>Press-Hardening Steel</t>
  </si>
  <si>
    <t>UK PHS coil Jul 2026. AlSi-coated boron for hot stamping — A/B-pillar, rocker, roof rail. ~1500 MPa after press-hardening quench. Requires ~900°C furnace + water-cooled dies. Yield ~1100 MPa. | Refresh 2026-09: +£0.049/kg from 1kg crc £0.668→£0.717/kg; premiums held</t>
  </si>
  <si>
    <t>Usibor 2000</t>
  </si>
  <si>
    <t>UK PHS coil Jul 2026. Next-gen ~2000 MPa press-hardening steel for lightweight safety cage. Highest strength hot-stamping grade. Yield ~1400 MPa. | Refresh 2026-09: +£0.049/kg from 1kg crc £0.668→£0.717/kg; premiums held</t>
  </si>
  <si>
    <t>MS1300 (Martensitic)</t>
  </si>
  <si>
    <t>UK UHSS coil Jul 2026. Martensitic 1300 MPa — roll-formed reinforcements. Yield ~1050 MPa. | Refresh 2026-09: +£0.049/kg from 1kg crc £0.668→£0.717/kg; premiums held</t>
  </si>
  <si>
    <t>QP980 (Quench &amp; Partition)</t>
  </si>
  <si>
    <t>AHSS Sheet (3rd Gen)</t>
  </si>
  <si>
    <t>UK AHSS coil Jul 2026. 3rd-gen quench-and-partition 980 — cold-formable at 980 MPa, high elongation. Structural + formable geometry. Yield ~700 MPa. | Refresh 2026-09: +£0.049/kg from 1kg crc £0.668→£0.717/kg; premiums held</t>
  </si>
  <si>
    <t>Medium-Mn 1180</t>
  </si>
  <si>
    <t>UK AHSS coil Jul 2026. 3rd-gen medium-manganese 1180 — high strength + ductility for cold-formed safety parts. Yield ~850 MPa. | Refresh 2026-09: +£0.049/kg from 1kg crc £0.668→£0.717/kg; premiums held</t>
  </si>
  <si>
    <t>HSLA 550</t>
  </si>
  <si>
    <t>UK HSLA coil Jul 2026. 550 MPa min yield — chassis brackets, cross members, heavy reinforcements. Yield 550 MPa. | Refresh 2026-09: +£0.049/kg from 1kg crc £0.668→£0.717/kg; premiums held</t>
  </si>
  <si>
    <t>BH260 (Bake-Hardening)</t>
  </si>
  <si>
    <t>Bake-Hardening Steel Sheet</t>
  </si>
  <si>
    <t>UK BH coil Jul 2026. Bake-hardening +260 — outer body panels; formable when stamped, gains strength &amp; dent resistance after paint-bake. Yield ~180 MPa (pre-bake). | Refresh 2026-09: +£0.049/kg from 1kg crc £0.668→£0.717/kg; premiums held</t>
  </si>
  <si>
    <t>DX56D IF (Interstitial-Free)</t>
  </si>
  <si>
    <t>IF Steel Sheet</t>
  </si>
  <si>
    <t>UK IF coil Jul 2026. Ultra-formable interstitial-free — deep-drawn complex outer/inner panels (fenders, doors). Highest r-value/drawability. Yield ~140 MPa. | Refresh 2026-09: +£0.049/kg from 1kg crc £0.668→£0.717/kg; premiums held</t>
  </si>
  <si>
    <t>IF-HS 260 (High-Strength IF)</t>
  </si>
  <si>
    <t>UK IF-HS coil Jul 2026. High-strength interstitial-free 260 — formable structural panels needing more strength than plain IF. Yield 260 MPa. | Refresh 2026-09: +£0.049/kg from 1kg crc £0.668→£0.717/kg; premiums held</t>
  </si>
  <si>
    <t>DC04 (CR4 Deep-Drawing)</t>
  </si>
  <si>
    <t>UK CR coil Jul 2026. Deep-drawing quality — enclosures, brackets, moderate draws. Better r-value than DC01. | Refresh 2026-09: +£0.049/kg from 1kg crc £0.668→£0.717/kg; premiums held</t>
  </si>
  <si>
    <t>DC05 (Extra-Deep-Drawing)</t>
  </si>
  <si>
    <t>UK CR coil Jul 2026. Extra-deep-drawing — sinks, housings, deeper draws without splits. | Refresh 2026-09: +£0.049/kg from 1kg crc £0.668→£0.717/kg; premiums held</t>
  </si>
  <si>
    <t>DC06 (Super-Deep-Drawing IF)</t>
  </si>
  <si>
    <t>UK CR/IF coil Jul 2026. Super-deep-drawing IF grade — complex deep pressings, fuel-filler pockets, tanks. Highest formability CR grade. | Refresh 2026-09: +£0.049/kg from 1kg crc £0.668→£0.717/kg; premiums held</t>
  </si>
  <si>
    <t>M270-35A Non-Oriented Electrical (0.35mm)</t>
  </si>
  <si>
    <t>Electrical Steel Sheet</t>
  </si>
  <si>
    <t>UK electrical steel Jul 2026. Low-loss non-oriented Si-steel — EV/industrial motor + generator laminations; thin gauge, low core loss (~2.7 W/kg @1.5T/50Hz). Blanked/notched at high SPM. | Refresh 2026-09: +£0.041/kg from 1kg crno £0.612→£0.653/kg; premiums held</t>
  </si>
  <si>
    <t>M400-50A Non-Oriented Electrical (0.50mm)</t>
  </si>
  <si>
    <t>UK electrical steel Jul 2026. General non-oriented Si-steel — appliance/industrial motors, pumps; 0.50mm, moderate loss. Cost-effective lamination grade. | Refresh 2026-09: +£0.041/kg from 1kg crno £0.612→£0.653/kg; premiums held</t>
  </si>
  <si>
    <t>M105-30P Grain-Oriented Electrical (0.30mm)</t>
  </si>
  <si>
    <t>UK electrical steel Jul 2026. High-permeability grain-oriented Si-steel — transformer cores (E/I laminations, wound cores); very low loss along rolling direction. Premium over NO. | Refresh 2026-09: SPECIALTY — no public market index for this grade; held at the June 2026 price — refresh by supplier quote</t>
  </si>
  <si>
    <t>M235-35A NO Electrical (0.35mm, premium low-loss)</t>
  </si>
  <si>
    <t>UK electrical steel Jul 2026. Premium low-loss NO — high-efficiency EV/industrial traction motors; ~2.35 W/kg @1.5T/50Hz. High-Si, thin gauge. | Refresh 2026-09: +£0.041/kg from 1kg crno £0.612→£0.653/kg; premiums held</t>
  </si>
  <si>
    <t>M330-35A NO Electrical (0.35mm)</t>
  </si>
  <si>
    <t>UK electrical steel Jul 2026. Mid-grade 0.35mm NO — general traction/servo motors; good loss/cost balance. | Refresh 2026-09: +£0.041/kg from 1kg crno £0.612→£0.653/kg; premiums held</t>
  </si>
  <si>
    <t>M250-50A NO Electrical (0.50mm, low-loss)</t>
  </si>
  <si>
    <t>UK electrical steel Jul 2026. Low-loss 0.50mm NO — efficient industrial motors, generators. | Refresh 2026-09: +£0.041/kg from 1kg crno £0.612→£0.653/kg; premiums held</t>
  </si>
  <si>
    <t>M470-50A NO Electrical (0.50mm)</t>
  </si>
  <si>
    <t>UK electrical steel Jul 2026. Standard 0.50mm NO — mains-frequency industrial motors, pumps. Workhorse economy grade. | Refresh 2026-09: +£0.041/kg from 1kg crno £0.612→£0.653/kg; premiums held</t>
  </si>
  <si>
    <t>M600-50A NO Electrical (0.50mm, economy)</t>
  </si>
  <si>
    <t>UK electrical steel Jul 2026. Economy 0.50mm NO — small appliance/fan motors, low duty cycle. | Refresh 2026-09: +£0.041/kg from 1kg crno £0.612→£0.653/kg; premiums held</t>
  </si>
  <si>
    <t>M700-65A NO Electrical (0.65mm, mains)</t>
  </si>
  <si>
    <t>UK electrical steel Jul 2026. Thick 0.65mm NO — low-cost mains motors, ballasts; higher loss, cheapest lamination grade. | Refresh 2026-09: +£0.041/kg from 1kg crno £0.612→£0.653/kg; premiums held</t>
  </si>
  <si>
    <t>NO27 (0.27mm EV Traction)</t>
  </si>
  <si>
    <t>UK electrical steel Jul 2026. 0.27mm thin-gauge NO — high-speed EV traction (200–400 Hz), low iron loss. Notch-tool-wear intensive. | Refresh 2026-09: +£0.041/kg from 1kg crno £0.612→£0.653/kg; premiums held</t>
  </si>
  <si>
    <t>NO25 (0.25mm EV Traction)</t>
  </si>
  <si>
    <t>UK electrical steel Jul 2026. 0.25mm high-efficiency EV motor lamination; very low core loss, high mechanical strength grades available. | Refresh 2026-09: +£0.041/kg from 1kg crno £0.612→£0.653/kg; premiums held</t>
  </si>
  <si>
    <t>NO20 (0.20mm High-Speed EV/aero)</t>
  </si>
  <si>
    <t>UK electrical steel Jul 2026. 0.20mm ultra-thin NO — high-speed (&gt;15k rpm) EV/aerospace traction; lowest loss, premium price, low stacking factor. | Refresh 2026-09: +£0.041/kg from 1kg crno £0.612→£0.653/kg; premiums held</t>
  </si>
  <si>
    <t>M120-27S CGO (0.27mm Grain-Oriented)</t>
  </si>
  <si>
    <t>UK electrical steel Jul 2026. Conventional grain-oriented — distribution/power transformer cores. | Refresh 2026-09: SPECIALTY — no public market index for this grade; held at the June 2026 price — refresh by supplier quote</t>
  </si>
  <si>
    <t>M090-23P HGO Domain-Refined (0.23mm)</t>
  </si>
  <si>
    <t>UK electrical steel Jul 2026. Laser-scribed domain-refined HGO — lowest-loss transformer grade, high-efficiency power transformers. | Refresh 2026-09: SPECIALTY — no public market index for this grade; held at the June 2026 price — refresh by supplier quote</t>
  </si>
  <si>
    <t>Cobalt-Iron (Hiperco 50 / Vacodur 49)</t>
  </si>
  <si>
    <t>UK speciality Jul 2026. CoFe (49Co-2V) — highest saturation (2.3T), aerospace/defence &amp; high-power-density EV traction; needs final anneal in H₂. Premium. | Refresh 2026-09: NOT SOURCED — co: Not sourced this period: no June and September level on the same basis. Held at the June 2026 price.</t>
  </si>
  <si>
    <t>Nickel-Iron Permalloy (80% Ni)</t>
  </si>
  <si>
    <t>UK speciality Jul 2026. 80NiFe — ultra-high permeability small cores, sensors, resolvers, current transformers; low saturation, expensive. | Refresh 2026-09: +£0.061/kg from 0.8kg ni £12.302→£12.378/kg, 0.05kg mo £1.000→£1.000/kg; premiums held</t>
  </si>
  <si>
    <t>Amorphous Ribbon (Metglas 2605SA1)</t>
  </si>
  <si>
    <t>UK speciality Jul 2026. Fe-based amorphous ribbon (~25µm) — ultra-low-loss distribution transformers, high-freq cut cores; brittle, cut/etched not conventionally stamped. | Refresh 2026-09: SPECIALTY — no public market index for this grade; held at the June 2026 price — refresh by supplier quote</t>
  </si>
  <si>
    <t>Semi-Processed NO Electrical (0.50mm)</t>
  </si>
  <si>
    <t>UK electrical steel Jul 2026. Semi-processed NO — magnetic properties developed by the stamper’s post-blank anneal; low coil cost, mandatory stress-relief/decarb anneal. | Refresh 2026-09: +£0.041/kg from 1kg crno £0.612→£0.653/kg; premiums held</t>
  </si>
  <si>
    <t>High-Strength NO Electrical (~700 MPa, 0.30mm rotor)</t>
  </si>
  <si>
    <t>UK electrical steel Jul 2026. High-yield thin-gauge NO for high-speed EV traction rotors (bridge stresses at 15–20k rpm) — BYD/Xiaomi-class hyper-motors. Higher Si+alloy, harder to notch. | Refresh 2026-09: +£0.041/kg from 1kg crno £0.612→£0.653/kg; premiums held</t>
  </si>
  <si>
    <t>Ultra-High-Strength NO Electrical (~960 MPa, 0.20–0.27mm rotor)</t>
  </si>
  <si>
    <t>UK electrical steel Jul 2026. Ultra-high-yield thin NO for &gt;20k rpm rotors (Xiaomi HyperEngine V8s ~27,200 rpm class) — enables slim bridges + high tip speed. Premium, heavy notch-tool wear. | Refresh 2026-09: +£0.041/kg from 1kg crno £0.612→£0.653/kg; premiums held</t>
  </si>
  <si>
    <t>NO15 Ultra-Thin NO Electrical (0.15mm)</t>
  </si>
  <si>
    <t>UK electrical steel Jul 2026. 0.15mm ultra-thin NO — very high-frequency traction (SU7 Ultra V8s / high-speed EV); low eddy loss, low stacking factor, hard to blank (fine burr control). Bonded (backlack) stacks typical. | Refresh 2026-09: +£0.041/kg from 1kg crno £0.612→£0.653/kg; premiums held</t>
  </si>
  <si>
    <t>NO10 Ultra-Thin NO Electrical (0.10mm)</t>
  </si>
  <si>
    <t>UK electrical steel Jul 2026. 0.10mm foil-gauge NO — extreme high-speed / high-frequency rotors (aero/hypercar &amp; top-end EV traction). Lowest iron loss; etched/bonded rather than hard-die blanked at volume. | Refresh 2026-09: +£0.041/kg from 1kg crno £0.612→£0.653/kg; premiums held</t>
  </si>
  <si>
    <t>6.5% Si High-Frequency Electrical (JNEX/Super-Core class, 0.10mm)</t>
  </si>
  <si>
    <t>UK speciality Jul 2026. 6.5% silicon steel (JFE JNEX / Super-Core class) — near-zero magnetostriction, lowest high-frequency core loss for high-rpm/high-pole EV &amp; aerospace motors, reactors. Brittle, specialised processing. | Refresh 2026-09: +£0.041/kg from 1kg crno £0.612→£0.653/kg; premiums held</t>
  </si>
  <si>
    <t>Ultra-High-Strength NO Electrical (~1100 MPa, 30k-rpm rotor)</t>
  </si>
  <si>
    <t>UK electrical steel Jul 2026. ~1100 MPa yield thin-gauge NO for ~30,000 rpm flagship rotors (BYD Yangwang U7/U8/U9 quad-motor, Xiaomi flagship) — holds slim bridges at extreme tip speed. Premium alloy, severe notch-tool wear. | Refresh 2026-09: +£0.041/kg from 1kg crno £0.612→£0.653/kg; premiums held</t>
  </si>
  <si>
    <t>Cobalt-Iron Thin-Gauge (0.10mm, Vacoflux/Hiperco)</t>
  </si>
  <si>
    <t>UK speciality Jul 2026. 0.10mm cobalt-iron (49Co-2V) — highest saturation (2.3T) + high-frequency capability for maximum power-density motors (aerospace, hypercar/flagship EV traction); H₂ final anneal, very expensive. | Refresh 2026-09: NOT SOURCED — co: Not sourced this period: no June and September level on the same basis. Held at the June 2026 price.</t>
  </si>
  <si>
    <t>Rectangular Enamelled Hairpin Copper (winding)</t>
  </si>
  <si>
    <t>Winding Copper (Hairpin)</t>
  </si>
  <si>
    <t>UK Jul 2026. Flat enamelled (grade-2/corona-resistant) rectangular copper wire for hairpin/bar-wound EV traction stators — stamped/bent hairpins, laser-welded crowns. ETP + enamel + forming premium over C110. | Refresh 2026-09: +£0.699/kg from 1kg cu £10.070→£10.768/kg; premiums held</t>
  </si>
  <si>
    <t>Rectangular Enamelled Hairpin Aluminium (winding)</t>
  </si>
  <si>
    <t>Winding Aluminium (Hairpin)</t>
  </si>
  <si>
    <t>UK Jul 2026. Flat enamelled aluminium hairpin conductor — cost/weight-down alternative to copper in some EV traction motors; lower conductivity, larger slot fill. | Refresh 2026-09: −£0.060/kg from 0.97kg al £2.910→£2.849/kg; premiums held</t>
  </si>
  <si>
    <t>Aluminium Busbar (EV / battery)</t>
  </si>
  <si>
    <t>UK Jul 2026. 1050/6101 aluminium busbar stock — battery-pack and inverter interconnects, cell-to-body (CTB/CTC) module bars; lighter/cheaper than copper, larger cross-section. | Refresh 2026-09: −£0.060/kg from 0.97kg al £2.910→£2.849/kg; premiums held</t>
  </si>
  <si>
    <t>C67S / 1.1231 (CR Spring Strip)</t>
  </si>
  <si>
    <t>Spring Steel Strip</t>
  </si>
  <si>
    <t>UK spring strip Jul 2026. Hardened-and-tempered carbon spring strip — stamped flat springs, clips, retainers, blades; high yield after HT. | Refresh 2026-09: +£0.049/kg from 1kg crc £0.668→£0.717/kg; premiums held</t>
  </si>
  <si>
    <t>301 Spring-Temper Stainless Strip</t>
  </si>
  <si>
    <t>UK stainless spring strip Jul 2026. Work-hardened 301 (1/2–full hard) — corrosion-resistant springs, contacts, diaphragms, EMI fingers. | Refresh 2026-09: +£0.127/kg from 1kg ss_sur £2.037→£2.164/kg; premiums held</t>
  </si>
  <si>
    <t>Zn-Ni Electrogalvanised</t>
  </si>
  <si>
    <t>Coated Steel Sheet</t>
  </si>
  <si>
    <t>UK coated coil Jul 2026. Zinc-nickel electroplated — superior corrosion + heat resistance for underbody/fasteners. Better than plain EG. Yield ~150 MPa. | Refresh 2026-09: +£0.049/kg from 1kg hdg £0.668→£0.717/kg; premiums held</t>
  </si>
  <si>
    <t>ZM (Zn-Mg-Al) Coated</t>
  </si>
  <si>
    <t>UK coated coil Jul 2026. Zinc-magnesium-aluminium coating — 2–3× corrosion life of GI at lower coat weight; battery trays, underbody. Yield ~180 MPa. | Refresh 2026-09: +£0.049/kg from 1kg hdg £0.668→£0.717/kg; premiums held</t>
  </si>
  <si>
    <t>Tinplate (ETP)</t>
  </si>
  <si>
    <t>UK tinplate Jul 2026. Electrolytic tin-plated low-carbon — cans, enclosures, shielding. Solderable, corrosion-resistant. Yield ~230 MPa. | Refresh 2026-09: +£0.049/kg from 1kg crc £0.668→£0.717/kg; premiums held</t>
  </si>
  <si>
    <t>AA6016-T4 Sheet (Auto Skin)</t>
  </si>
  <si>
    <t>UK Al auto sheet Jul 2026. 6016 T4 — the dominant aluminium outer-panel skin (bonnet, door, fender); bake-hardens in paint oven, good hemming. Yield ~120 MPa (T4). | Refresh 2026-09: −£0.060/kg from 0.97kg al £2.910→£2.849/kg; premiums held</t>
  </si>
  <si>
    <t>AA6111-T4 Sheet (Auto Skin)</t>
  </si>
  <si>
    <t>UK Al auto sheet Jul 2026. 6111 T4 — higher-strength outer skin for dent resistance; NA OEM closures. Yield ~160 MPa (T4). | Refresh 2026-09: −£0.060/kg from 0.97kg al £2.910→£2.849/kg; premiums held</t>
  </si>
  <si>
    <t>AA7075-T6 Sheet/Plate</t>
  </si>
  <si>
    <t>UK Al plate Jul 2026. 7075 T6 — aerospace-grade high-strength structural (bumper beams, reinforcements). Poor formability/weldability; cold form in W-temper. Yield ~505 MPa. | Refresh 2026-09: +£0.004/kg from 0.89kg al £2.910→£2.849/kg, 0.06kg zn £2.164→£2.913/kg, 0.02kg cu £10.070→£10.768/kg; premiums held</t>
  </si>
  <si>
    <t>Low-CO₂ "Green" Steel (H₂-DRI, DC01 equiv.)</t>
  </si>
  <si>
    <t>Low-Carbon Steel Sheet</t>
  </si>
  <si>
    <t>UK green-steel offer Jul 2026. Hydrogen direct-reduced / high-scrap EAF route — DC01-equivalent properties at ~70–90% lower embodied CO₂. Premium ~15–25% over conventional. Yield ~140 MPa. | Refresh 2026-09: +£0.049/kg from 1kg crc £0.668→£0.717/kg; premiums held</t>
  </si>
  <si>
    <t>Recycled-Content Al 5xxx (Secondary)</t>
  </si>
  <si>
    <t>UK secondary-Al sheet Jul 2026. High recycled-content 5xxx — non-visible inner panels/brackets; ~5% cheaper and far lower CO₂ than primary. Slightly wider property tolerance. Yield ~130 MPa. | Refresh 2026-09: −£0.052/kg from 0.85kg al £2.910→£2.849/kg; premiums held</t>
  </si>
  <si>
    <t>PP Copolymer</t>
  </si>
  <si>
    <t>Thermoplastic</t>
  </si>
  <si>
    <t>UK resin distributor, Jun 2026 Index-anchored 2026-07 (see RESIN PRICING BASIS). | Refresh 2026-09: +£0.027/kg from 1kg pp £0.960→£0.987/kg; premiums held</t>
  </si>
  <si>
    <t>ABS</t>
  </si>
  <si>
    <t>UK resin distributor, Jun 2026 Index-anchored 2026-07 (see RESIN PRICING BASIS). | Refresh 2026-09: −£0.065/kg from 1kg abs £0.775→£0.710/kg; premiums held</t>
  </si>
  <si>
    <t>PA66 GF30</t>
  </si>
  <si>
    <t>UK resin distributor, Jun 2026 Index-anchored 2026-07 (see RESIN PRICING BASIS). | Refresh 2026-09: NOT SOURCED — pa66: Not sourced this period: engineering resin prices are paywalled (PIE/ICIS). Direction only: PC rising through Aug 2026, PA6 rebounding, PA66 under pressure, PET declining — no like-for-like June→Sep figures. Held at the June 2026 price.</t>
  </si>
  <si>
    <t>PC (Lexan)</t>
  </si>
  <si>
    <t>UK resin distributor, Jun 2026 Index-anchored 2026-07 (see RESIN PRICING BASIS). | Refresh 2026-09: NOT SOURCED — pc: Not sourced this period: engineering resin prices are paywalled (PIE/ICIS). Direction only: PC rising through Aug 2026, PA6 rebounding, PA66 under pressure, PET declining — no like-for-like June→Sep figures. Held at the June 2026 price.</t>
  </si>
  <si>
    <t>HDPE</t>
  </si>
  <si>
    <t>UK resin distributor, Jun 2026 Index-anchored 2026-07 (see RESIN PRICING BASIS). | Refresh 2026-09: −£0.013/kg from 1kg hdpe £1.060→£1.047/kg; premiums held</t>
  </si>
  <si>
    <t>POM / Acetal (Delrin)</t>
  </si>
  <si>
    <t>UK resin distributor, Jun 2026. coolFactor ~2.8 s/mm² Index-anchored 2026-07 (see RESIN PRICING BASIS). | Refresh 2026-09: NOT SOURCED — pom: Not sourced this period: engineering resin prices are paywalled (PIE/ICIS). Direction only: PC rising through Aug 2026, PA6 rebounding, PA66 under pressure, PET declining — no like-for-like June→Sep figures. Held at the June 2026 price.</t>
  </si>
  <si>
    <t>PBT GF30</t>
  </si>
  <si>
    <t>UK resin distributor, Jun 2026. Common connector/housing material. Index-anchored 2026-07 (see RESIN PRICING BASIS). | Refresh 2026-09: NOT SOURCED — pbt: Not sourced this period: engineering resin prices are paywalled (PIE/ICIS). Direction only: PC rising through Aug 2026, PA6 rebounding, PA66 under pressure, PET declining — no like-for-like June→Sep figures. Held at the June 2026 price.</t>
  </si>
  <si>
    <t>TPU Shore 85A</t>
  </si>
  <si>
    <t>Thermoplastic Elastomer</t>
  </si>
  <si>
    <t>UK resin distributor, Jun 2026. coolFactor ~4.0 s/mm² Index-anchored 2026-07 (see RESIN PRICING BASIS). | Refresh 2026-09: NOT SOURCED — tpu: Not sourced this period: engineering resin prices are paywalled (PIE/ICIS). Direction only: PC rising through Aug 2026, PA6 rebounding, PA66 under pressure, PET declining — no like-for-like June→Sep figures. Held at the June 2026 price.</t>
  </si>
  <si>
    <t>LDPE (2426H)</t>
  </si>
  <si>
    <t>UK resin distributor Jun 2026. EBM film bags. coolFactor ~3.5 s/mm² Index-anchored 2026-07 (see RESIN PRICING BASIS). | Refresh 2026-09: +£0.217/kg from 1kg ldpe £0.870→£1.087/kg; premiums held</t>
  </si>
  <si>
    <t>LLDPE C6</t>
  </si>
  <si>
    <t>UK resin distributor Jun 2026. Stretch/packaging film, rotomoulding. coolFactor ~3.5 s/mm² Index-anchored 2026-07 (see RESIN PRICING BASIS). | Refresh 2026-09: +£0.117/kg from 1kg lldpe £0.930→£1.047/kg; premiums held</t>
  </si>
  <si>
    <t>PP Homopolymer (MFI 12)</t>
  </si>
  <si>
    <t>UK resin distributor Jun 2026. High stiffness housings, caps. coolFactor ~3.16 s/mm² Index-anchored 2026-07 (see RESIN PRICING BASIS). | Refresh 2026-09: +£0.027/kg from 1kg pp £0.960→£0.987/kg; premiums held</t>
  </si>
  <si>
    <t>PP Impact Copolymer (PP-B)</t>
  </si>
  <si>
    <t>UK resin distributor Jun 2026. Bumpers, battery cases. coolFactor ~3.16 s/mm² Index-anchored 2026-07 (see RESIN PRICING BASIS). | Refresh 2026-09: +£0.027/kg from 1kg pp £0.960→£0.987/kg; premiums held</t>
  </si>
  <si>
    <t>PP GF30 (Short Glass)</t>
  </si>
  <si>
    <t>UK resin distributor Jun 2026. 30% short-glass PP — stiff housings, fan shrouds, pump bodies, brackets. coolFactor ~3.0 s/mm² Index-anchored 2026-07 (see RESIN PRICING BASIS). | Refresh 2026-09: +£0.019/kg from 0.7kg pp £0.960→£0.987/kg; premiums held</t>
  </si>
  <si>
    <t>PET Bottle Grade (1101)</t>
  </si>
  <si>
    <t>UK resin distributor Jun 2026. SBM beverage bottles. coolFactor ~3.0 s/mm² Index-anchored 2026-07 (see RESIN PRICING BASIS). | Refresh 2026-09: NOT SOURCED — pet: Not sourced this period: engineering resin prices are paywalled (PIE/ICIS). Direction only: PC rising through Aug 2026, PA6 rebounding, PA66 under pressure, PET declining — no like-for-like June→Sep figures. Held at the June 2026 price.</t>
  </si>
  <si>
    <t>PET GF30 (Engineering)</t>
  </si>
  <si>
    <t>UK resin distributor Jun 2026. Gears, precision parts. coolFactor ~2.5 s/mm² Index-anchored 2026-07 (see RESIN PRICING BASIS). | Refresh 2026-09: NOT SOURCED — pet: Not sourced this period: engineering resin prices are paywalled (PIE/ICIS). Direction only: PC rising through Aug 2026, PA6 rebounding, PA66 under pressure, PET declining — no like-for-like June→Sep figures. Held at the June 2026 price.</t>
  </si>
  <si>
    <t>Rigid PVC (uPVC pipe grade)</t>
  </si>
  <si>
    <t>UK resin distributor Jun 2026. Pipes, window profiles. coolFactor ~2.5 s/mm² Index-anchored 2026-07 (see RESIN PRICING BASIS). | Refresh 2026-09: −£0.066/kg from 0.85kg pvc £0.453→£0.375/kg; premiums held</t>
  </si>
  <si>
    <t>Flexible PVC (fPVC plasticised)</t>
  </si>
  <si>
    <t>UK resin distributor Jun 2026. Cables, hoses, medical tubing. coolFactor ~3.0 s/mm² Index-anchored 2026-07 (see RESIN PRICING BASIS). | Refresh 2026-09: −£0.047/kg from 0.6kg pvc £0.453→£0.375/kg; premiums held</t>
  </si>
  <si>
    <t>GPPS (Crystal PS)</t>
  </si>
  <si>
    <t>UK resin distributor Jun 2026. Clear, rigid, brittle. CD cases, cutlery. coolFactor ~2.0 s/mm² Index-anchored 2026-07 (see RESIN PRICING BASIS). | Refresh 2026-09: +£0.369/kg from 1kg gpps £1.000→£1.369/kg; premiums held</t>
  </si>
  <si>
    <t>HIPS (High Impact PS)</t>
  </si>
  <si>
    <t>UK resin distributor Jun 2026. TV housings, fridge liners, thermoforming sheet. coolFactor ~2.0 s/mm² Index-anchored 2026-07 (see RESIN PRICING BASIS). | Refresh 2026-09: +£0.399/kg from 1kg hips £0.970→£1.369/kg; premiums held</t>
  </si>
  <si>
    <t>PC/ABS Blend (automotive grade)</t>
  </si>
  <si>
    <t>UK resin distributor Jun 2026. Automotive interior, electronics housings. coolFactor ~2.2 s/mm² Index-anchored 2026-07 (see RESIN PRICING BASIS). | Refresh 2026-09: −£0.026/kg from 0.6kg pc £1.000→£1.000/kg, 0.4kg abs £0.775→£0.710/kg; premiums held</t>
  </si>
  <si>
    <t>PA6 Unfilled</t>
  </si>
  <si>
    <t>UK resin distributor Jun 2026. Gears, under-hood. Moisture sensitive — dry before moulding. coolFactor ~2.0 s/mm² Index-anchored 2026-07 (see RESIN PRICING BASIS). | Refresh 2026-09: NOT SOURCED — pa6: Not sourced this period: engineering resin prices are paywalled (PIE/ICIS). Direction only: PC rising through Aug 2026, PA6 rebounding, PA66 under pressure, PET declining — no like-for-like June→Sep figures. Held at the June 2026 price.</t>
  </si>
  <si>
    <t>PA6 GF30</t>
  </si>
  <si>
    <t>UK resin distributor Jun 2026. Structural PA6 with glass fill. coolFactor ~2.0 s/mm² Index-anchored 2026-07 (see RESIN PRICING BASIS). | Refresh 2026-09: NOT SOURCED — pa6: Not sourced this period: engineering resin prices are paywalled (PIE/ICIS). Direction only: PC rising through Aug 2026, PA6 rebounding, PA66 under pressure, PET declining — no like-for-like June→Sep figures. Held at the June 2026 price.</t>
  </si>
  <si>
    <t>PA66 Unfilled</t>
  </si>
  <si>
    <t>UK resin distributor Jun 2026. Higher temp than PA6. Connectors, structural. coolFactor ~2.0 s/mm² Index-anchored 2026-07 (see RESIN PRICING BASIS). | Refresh 2026-09: NOT SOURCED — pa66: Not sourced this period: engineering resin prices are paywalled (PIE/ICIS). Direction only: PC rising through Aug 2026, PA6 rebounding, PA66 under pressure, PET declining — no like-for-like June→Sep figures. Held at the June 2026 price.</t>
  </si>
  <si>
    <t>PEEK Unfilled</t>
  </si>
  <si>
    <t>High-Performance Thermoplastic</t>
  </si>
  <si>
    <t>UK speciality resin supplier Jun 2026. Aerospace/medical/oil&amp;gas. High temp (Tg~143°C, use to 250°C). coolFactor ~2.5 s/mm² Index-anchored 2026-07 (see RESIN PRICING BASIS). | Refresh 2026-09: SPECIALTY — no public market index for this grade; held at the June 2026 price — refresh by supplier quote</t>
  </si>
  <si>
    <t>PEEK GF30</t>
  </si>
  <si>
    <t>UK speciality resin supplier Jun 2026. High-stiffness structural PEEK. Index-anchored 2026-07 (see RESIN PRICING BASIS). | Refresh 2026-09: SPECIALTY — no public market index for this grade; held at the June 2026 price — refresh by supplier quote</t>
  </si>
  <si>
    <t>ASA (Weatherable)</t>
  </si>
  <si>
    <t>UK resin distributor. Index-anchored 2026-07 (see RESIN PRICING BASIS). UV-stable styrenic — exterior trim, grilles, mirror caps, roof rails. coolFactor ~2.0 s/mm². | Refresh 2026-09: −£0.065/kg from 1kg abs £0.775→£0.710/kg; premiums held</t>
  </si>
  <si>
    <t>SAN (Styrene-Acrylonitrile)</t>
  </si>
  <si>
    <t>UK resin distributor. Index-anchored 2026-07. Rigid, clear, chemical-resistant — housewares, cosmetics, lenses. coolFactor ~2.0 s/mm². | Refresh 2026-09: −£0.065/kg from 1kg abs £0.775→£0.710/kg; premiums held</t>
  </si>
  <si>
    <t>PP-T20 (20% Talc-filled)</t>
  </si>
  <si>
    <t>UK resin distributor. Index-anchored 2026-07. Stiffened PP — instrument-panel carriers, interior trim, HVAC. coolFactor ~3.0 s/mm². | Refresh 2026-09: +£0.022/kg from 0.8kg pp £0.960→£0.987/kg; premiums held</t>
  </si>
  <si>
    <t>PP-T30 (30% Mineral/Talc-filled)</t>
  </si>
  <si>
    <t>UK resin distributor. Index-anchored 2026-07. High-stiffness PP — bumper carriers, door panels, under-body shields. coolFactor ~3.0 s/mm². | Refresh 2026-09: +£0.019/kg from 0.7kg pp £0.960→£0.987/kg; premiums held</t>
  </si>
  <si>
    <t>PP-LGF30 (Long-Glass PP)</t>
  </si>
  <si>
    <t>UK resin distributor. Index-anchored 2026-07. Long-glass-fibre PP — structural front-end carriers, door modules, seat structures (metal replacement). coolFactor ~3.0 s/mm². | Refresh 2026-09: +£0.019/kg from 0.7kg pp £0.960→£0.987/kg; premiums held</t>
  </si>
  <si>
    <t>TPO (Thermoplastic Olefin)</t>
  </si>
  <si>
    <t>UK resin distributor. Index-anchored 2026-07. Soft-touch olefinic — bumper fascia, cladding, skin/airbag covers. coolFactor ~3.2 s/mm². | Refresh 2026-09: +£0.019/kg from 0.7kg pp £0.960→£0.987/kg, 0.25kg epdm £1.000→£1.000/kg; premiums held</t>
  </si>
  <si>
    <t>TPV (Santoprene-type)</t>
  </si>
  <si>
    <t>UK resin distributor. Index-anchored 2026-07. Vulcanised TPE — weatherseals, boots, glass encapsulation, grommets. coolFactor ~4.0 s/mm². | Refresh 2026-09: +£0.011/kg from 0.4kg pp £0.960→£0.987/kg, 0.4kg epdm £1.000→£1.000/kg; premiums held</t>
  </si>
  <si>
    <t>PMMA (Acrylic)</t>
  </si>
  <si>
    <t>UK resin distributor. Index-anchored 2026-07. Optical-clear acrylic — lenses, light guides, tail-lamp, badges. coolFactor ~2.5 s/mm². | Refresh 2026-09: NOT SOURCED — pmma: Not sourced this period: engineering resin prices are paywalled (PIE/ICIS). Direction only: PC rising through Aug 2026, PA6 rebounding, PA66 under pressure, PET declining — no like-for-like June→Sep figures. Held at the June 2026 price.</t>
  </si>
  <si>
    <t>PPS GF40</t>
  </si>
  <si>
    <t>UK speciality resin supplier. Index-anchored 2026-07. Polyphenylene-sulfide — under-hood, e-motor components, sensors, pumps, EV. Continuous use ~200°C. coolFactor ~2.5 s/mm². | Refresh 2026-09: NOT SOURCED — pps: Not sourced this period: engineering resin prices are paywalled (PIE/ICIS). Direction only: PC rising through Aug 2026, PA6 rebounding, PA66 under pressure, PET declining — no like-for-like June→Sep figures. Held at the June 2026 price.</t>
  </si>
  <si>
    <t>PPA GF35 (High-Temp Polyamide)</t>
  </si>
  <si>
    <t>UK speciality resin supplier. Index-anchored 2026-07. Semi-aromatic PPA — high-temp connectors, e-mobility, thermal management. coolFactor ~2.2 s/mm². | Refresh 2026-09: SPECIALTY — no public market index for this grade; held at the June 2026 price — refresh by supplier quote</t>
  </si>
  <si>
    <t>PEI (Ultem, Unfilled)</t>
  </si>
  <si>
    <t>UK speciality resin supplier. Index-anchored 2026-07. Polyetherimide — high-temp electrical, aerospace interiors, sterilisable medical. coolFactor ~2.5 s/mm². | Refresh 2026-09: SPECIALTY — no public market index for this grade; held at the June 2026 price — refresh by supplier quote</t>
  </si>
  <si>
    <t>PEI GF30</t>
  </si>
  <si>
    <t>UK speciality resin supplier. Index-anchored 2026-07. Glass-reinforced PEI — structural high-temp. coolFactor ~2.5 s/mm². | Refresh 2026-09: SPECIALTY — no public market index for this grade; held at the June 2026 price — refresh by supplier quote</t>
  </si>
  <si>
    <t>LCP GF30 (Liquid-Crystal Polymer)</t>
  </si>
  <si>
    <t>UK speciality resin supplier. Index-anchored 2026-07. Ultra-thin-wall flow — fine-pitch connectors, SMT sockets, sensors. coolFactor ~1.8 s/mm². | Refresh 2026-09: SPECIALTY — no public market index for this grade; held at the June 2026 price — refresh by supplier quote</t>
  </si>
  <si>
    <t>PA66 GF35</t>
  </si>
  <si>
    <t>UK resin distributor. Index-anchored 2026-07. 35% glass PA66 — structural brackets, engine mounts, pedals. coolFactor ~2.0 s/mm². | Refresh 2026-09: NOT SOURCED — pa66: Not sourced this period: engineering resin prices are paywalled (PIE/ICIS). Direction only: PC rising through Aug 2026, PA6 rebounding, PA66 under pressure, PET declining — no like-for-like June→Sep figures. Held at the June 2026 price.</t>
  </si>
  <si>
    <t>PA66 GF50</t>
  </si>
  <si>
    <t>UK resin distributor. Index-anchored 2026-07. 50% glass PA66 — highest-stiffness metal-replacement structural parts. coolFactor ~2.0 s/mm². | Refresh 2026-09: NOT SOURCED — pa66: Not sourced this period: engineering resin prices are paywalled (PIE/ICIS). Direction only: PC rising through Aug 2026, PA6 rebounding, PA66 under pressure, PET declining — no like-for-like June→Sep figures. Held at the June 2026 price.</t>
  </si>
  <si>
    <t>PA66 Mineral-filled (Low-Warp)</t>
  </si>
  <si>
    <t>UK resin distributor. Index-anchored 2026-07. Mineral-filled PA66 — low-warp precision housings, covers. coolFactor ~2.0 s/mm². | Refresh 2026-09: NOT SOURCED — pa66: Not sourced this period: engineering resin prices are paywalled (PIE/ICIS). Direction only: PC rising through Aug 2026, PA6 rebounding, PA66 under pressure, PET declining — no like-for-like June→Sep figures. Held at the June 2026 price.</t>
  </si>
  <si>
    <t>PA12 (Nylon 12)</t>
  </si>
  <si>
    <t>UK resin distributor. Index-anchored 2026-07. Low-moisture, flexible polyamide — fuel/brake lines, air-brake tubing, quick-connectors. coolFactor ~2.2 s/mm². | Refresh 2026-09: SPECIALTY — no public market index for this grade; held at the June 2026 price — refresh by supplier quote</t>
  </si>
  <si>
    <t>PC/PBT Blend</t>
  </si>
  <si>
    <t>UK resin distributor. Index-anchored 2026-07. Impact + chemical resistance — bumper beams, exterior body panels, sill covers. coolFactor ~2.3 s/mm². | Refresh 2026-09: NOT SOURCED — pc, pbt: Not sourced this period: engineering resin prices are paywalled (PIE/ICIS). Direction only: PC rising through Aug 2026, PA6 rebounding, PA66 under pressure, PET declining — no like-for-like June→Sep figures. Held at the June 2026 price.</t>
  </si>
  <si>
    <t>mPPE / PPO (Noryl-type)</t>
  </si>
  <si>
    <t>UK resin distributor. Index-anchored 2026-07. Modified PPE — dimensional stability, low moisture — EV battery components, e-mobility, panels. coolFactor ~2.2 s/mm². | Refresh 2026-09: SPECIALTY — no public market index for this grade; held at the June 2026 price — refresh by supplier quote</t>
  </si>
  <si>
    <t>PC FR (UL94 V0)</t>
  </si>
  <si>
    <t>UK resin distributor. Index-anchored 2026-07. Flame-retardant PC — EV enclosures, chargers, HV connectors, electronics. coolFactor ~2.5 s/mm². | Refresh 2026-09: NOT SOURCED — pc: Not sourced this period: engineering resin prices are paywalled (PIE/ICIS). Direction only: PC rising through Aug 2026, PA6 rebounding, PA66 under pressure, PET declining — no like-for-like June→Sep figures. Held at the June 2026 price.</t>
  </si>
  <si>
    <t>PA66 GF25 FR (UL94 V0)</t>
  </si>
  <si>
    <t>UK resin distributor. Index-anchored 2026-07. Halogen-free FR glass-filled PA66 — HV connectors, busbar carriers, EV. coolFactor ~2.0 s/mm². | Refresh 2026-09: NOT SOURCED — pa66: Not sourced this period: engineering resin prices are paywalled (PIE/ICIS). Direction only: PC rising through Aug 2026, PA6 rebounding, PA66 under pressure, PET declining — no like-for-like June→Sep figures. Held at the June 2026 price.</t>
  </si>
  <si>
    <t>PCR PP (Post-Consumer Recycled)</t>
  </si>
  <si>
    <t>UK recycler. Index-anchored 2026-07. Recycled PP — non-visible trim, wheel-arch liners, under-body. ~10% cheaper than virgin, far lower CO₂; wider property tolerance. coolFactor ~3.16 s/mm². | Refresh 2026-09: +£0.016/kg from 0.6kg pp £0.960→£0.987/kg; premiums held</t>
  </si>
  <si>
    <t>Bio-PA610 (Castor-based)</t>
  </si>
  <si>
    <t>UK resin distributor. Index-anchored 2026-07. Partly bio-based polyamide — low moisture uptake, sustainable structural/fuel-system parts. coolFactor ~2.1 s/mm². | Refresh 2026-09: SPECIALTY — no public market index for this grade; held at the June 2026 price — refresh by supplier quote</t>
  </si>
  <si>
    <t>PC Glazing Grade (Automotive)</t>
  </si>
  <si>
    <t>UK resin distributor. Index-anchored 2026-07. Hard-coat-ready PC for polycarbonate glazing — panoramic roofs, fixed side windows, lightweighting vs glass. coolFactor ~2.5 s/mm². | Refresh 2026-09: NOT SOURCED — pc: Not sourced this period: engineering resin prices are paywalled (PIE/ICIS). Direction only: PC rising through Aug 2026, PA6 rebounding, PA66 under pressure, PET declining — no like-for-like June→Sep figures. Held at the June 2026 price.</t>
  </si>
  <si>
    <t>ADC12 / A383</t>
  </si>
  <si>
    <t>Die Cast Aluminium</t>
  </si>
  <si>
    <t>UK Al alloy ingot, Jun 2026. Index-anchored 2026-07 (see CASTING PRICING BASIS). | Refresh 2026-09: −£0.035/kg from 0.85kg al £2.910→£2.849/kg, 0.11kg si £1.000→£1.000/kg, 0.025kg cu £10.070→£10.768/kg; premiums held</t>
  </si>
  <si>
    <t>A380 / EN AC-46000 (Al-Si Die-Cast Alloy)</t>
  </si>
  <si>
    <t>UK Al alloy ingot, Jun 2026. Index-anchored 2026-07 (see CASTING PRICING BASIS). | Refresh 2026-09: −£0.028/kg from 0.85kg al £2.910→£2.849/kg, 0.085kg si £1.000→£1.000/kg, 0.035kg cu £10.070→£10.768/kg; premiums held</t>
  </si>
  <si>
    <t>EN-GJL-250</t>
  </si>
  <si>
    <t>Grey Cast Iron</t>
  </si>
  <si>
    <t>UK iron foundry, Jun 2026. Index-anchored 2026-07 (see CASTING PRICING BASIS). | Refresh 2026-09: NOT SOURCED — pigiron, scrap: Not sourced this period: no June 2026 foundry pig iron or steel scrap price found on a like-for-like basis (Turkish HMS ’June’ figure found was a 2020 article; UK yard prices not comparable). Held at the June 2026 price.</t>
  </si>
  <si>
    <t>LM25 / A356</t>
  </si>
  <si>
    <t>Gravity/Sand Aluminium</t>
  </si>
  <si>
    <t>UK Al alloy ingot, Jun 2026. Index-anchored 2026-07 (see CASTING PRICING BASIS). | Refresh 2026-09: −£0.057/kg from 0.92kg al £2.910→£2.849/kg, 0.07kg si £1.000→£1.000/kg; premiums held</t>
  </si>
  <si>
    <t>EN-GJL-350</t>
  </si>
  <si>
    <t>C905 Phosphor Bronze</t>
  </si>
  <si>
    <t>UK copper alloy distributor, Jun 2026. Index-anchored 2026-07 (see CASTING PRICING BASIS). | Refresh 2026-09: +£4.760/kg from 0.88kg cu £10.070→£10.768/kg, 0.1kg sn £38.211→£41.201/kg, 0.02kg zn £2.164→£2.913/kg, floored at commodity content £13.65/kg (previous level was below the metal it contains); premiums held</t>
  </si>
  <si>
    <t>AZ91D Magnesium Die Cast</t>
  </si>
  <si>
    <t>Magnesium Alloy</t>
  </si>
  <si>
    <t>UK Mg alloy ingot, Jun 2026. Index-anchored 2026-07 (see CASTING PRICING BASIS). | Refresh 2026-09: −£0.184/kg from 0.9kg mg £1.972→£1.773/kg, 0.09kg al £2.910→£2.849/kg; premiums held</t>
  </si>
  <si>
    <t>CF8 / 304 Cast Stainless</t>
  </si>
  <si>
    <t>Cast Stainless Steel</t>
  </si>
  <si>
    <t>UK stainless foundry, Jun 2026. Index-anchored 2026-07 (see CASTING PRICING BASIS). | Refresh 2026-09: +£0.127/kg from 1kg ss_sur £2.037→£2.164/kg; premiums held</t>
  </si>
  <si>
    <t>ADC12 Secondary (recycled)</t>
  </si>
  <si>
    <t>UK secondary Al alloy ingot — lower purity, suitable for non-structural castings. Index-anchored 2026-07 (see CASTING PRICING BASIS). | Refresh 2026-09: −£0.052/kg from 0.85kg al £2.910→£2.849/kg; premiums held</t>
  </si>
  <si>
    <t>AlSi10Mg (A360/Scalmalloy)</t>
  </si>
  <si>
    <t>Premium structural HPDC alloy, T5 heat treated. UK Al alloy ingot Jun 2026. Index-anchored 2026-07 (see CASTING PRICING BASIS). | Refresh 2026-09: −£0.055/kg from 0.89kg al £2.910→£2.849/kg, 0.1kg si £1.000→£1.000/kg; premiums held</t>
  </si>
  <si>
    <t>A365 / AlSi7Mg</t>
  </si>
  <si>
    <t>Structural automotive HPDC alloy (EDU housings, battery trays). UK Jun 2026. Index-anchored 2026-07 (see CASTING PRICING BASIS). | Refresh 2026-09: −£0.057/kg from 0.92kg al £2.910→£2.849/kg, 0.07kg si £1.000→£1.000/kg; premiums held</t>
  </si>
  <si>
    <t>Zamak 3 (Zinc Die Cast)</t>
  </si>
  <si>
    <t>Zinc Die Cast</t>
  </si>
  <si>
    <t>Zamak 3 zinc alloy ingot, UK distributor Jun 2026. Index-anchored 2026-07 (see CASTING PRICING BASIS). | Refresh 2026-09: +£0.716/kg from 0.96kg zn £2.164→£2.913/kg, 0.04kg al £2.910→£2.849/kg; premiums held</t>
  </si>
  <si>
    <t>Zamak 5 (Zinc Die Cast, Hi-Strength)</t>
  </si>
  <si>
    <t>Zamak 5 zinc alloy ingot, higher strength than Zamak 3. UK Jun 2026. Index-anchored 2026-07 (see CASTING PRICING BASIS). | Refresh 2026-09: +£0.716/kg from 0.96kg zn £2.164→£2.913/kg, 0.04kg al £2.910→£2.849/kg; premiums held</t>
  </si>
  <si>
    <t>EN-GJS-400-15 (Ductile Iron)</t>
  </si>
  <si>
    <t>Ductile Cast Iron</t>
  </si>
  <si>
    <t>Spheroidal graphite cast iron — highest volume casting material globally. UK foundry Jun 2026. Index-anchored 2026-07 (see CASTING PRICING BASIS). | Refresh 2026-09: NOT SOURCED — pigiron, scrap: Not sourced this period: no June 2026 foundry pig iron or steel scrap price found on a like-for-like basis (Turkish HMS ’June’ figure found was a 2020 article; UK yard prices not comparable). Held at the June 2026 price.</t>
  </si>
  <si>
    <t>EN-GJS-600-3 (Ductile Iron Hi-Strength)</t>
  </si>
  <si>
    <t>High-strength ductile iron for crankshafts, diff housings. UK foundry Jun 2026. Index-anchored 2026-07 (see CASTING PRICING BASIS). | Refresh 2026-09: NOT SOURCED — pigiron, scrap: Not sourced this period: no June 2026 foundry pig iron or steel scrap price found on a like-for-like basis (Turkish HMS ’June’ figure found was a 2020 article; UK yard prices not comparable). Held at the June 2026 price.</t>
  </si>
  <si>
    <t>Aural-5 (AlSi9MnMg, Rheinfelden)</t>
  </si>
  <si>
    <t>Structural HPDC Aluminium</t>
  </si>
  <si>
    <t>Index-anchored 2026-07 (see CASTING PRICING BASIS). Ductile structural HPDC — shock towers, self-pierce-rivetable body nodes; T5/T7 heat treat. | Refresh 2026-09: −£0.055/kg from 0.89kg al £2.910→£2.849/kg, 0.1kg si £1.000→£1.000/kg; premiums held</t>
  </si>
  <si>
    <t>Silafont-36 (AlSi10MnMg)</t>
  </si>
  <si>
    <t>Index-anchored 2026-07 (see CASTING PRICING BASIS). Crash-relevant structural HPDC — battery trays, longitudinal rails, megacastings; high elongation after T7. | Refresh 2026-09: −£0.055/kg from 0.89kg al £2.910→£2.849/kg, 0.1kg si £1.000→£1.000/kg; premiums held</t>
  </si>
  <si>
    <t>Castasil-37 (AlSi9MnMoZr)</t>
  </si>
  <si>
    <t>Index-anchored 2026-07 (see CASTING PRICING BASIS). As-cast high-ductility HPDC needing no heat treatment — cross-car beams, structural brackets; dimensionally stable. | Refresh 2026-09: −£0.055/kg from 0.89kg al £2.910→£2.849/kg, 0.1kg si £1.000→£1.000/kg; premiums held</t>
  </si>
  <si>
    <t>Magsimal-59 (AlMg5Si2Mn)</t>
  </si>
  <si>
    <t>Index-anchored 2026-07 (see CASTING PRICING BASIS). High-strength/high-ductility as-cast HPDC — chassis nodes, suspension parts; excellent corrosion resistance. | Refresh 2026-09: −£0.066/kg from 0.92kg al £2.910→£2.849/kg, 0.05kg mg £1.972→£1.773/kg; premiums held</t>
  </si>
  <si>
    <t>Low-CO₂ Recycled HPDC (AlSi10MnMg)</t>
  </si>
  <si>
    <t>Index-anchored 2026-07 (see CASTING PRICING BASIS). ≥75% recycled-content structural HPDC alloy — same mechanicals as Silafont, ~3–4 kg CO₂/kg vs ~8–20 for primary; OEM green-casting programmes. | Refresh 2026-09: −£0.055/kg from 0.89kg al £2.910→£2.849/kg, 0.1kg si £1.000→£1.000/kg; premiums held</t>
  </si>
  <si>
    <t>Heat-Treat-Free Giga-Casting Alloy (Xiaomi Titan / Tesla-class)</t>
  </si>
  <si>
    <t>Index-anchored 2026-07 (see CASTING PRICING BASIS). Self-developed heat-treat-free AlSi(Mn)Mg family for single-piece rear/front-underbody megacastings on 6,000–9,000T+ giga-presses (Xiaomi "Titan Metal", Tesla HTF, BYD). As-cast ductility, no distortion-prone T7; represents the OEM self-alloyed class — override price with the actual supply quote. | Refresh 2026-09: −£0.055/kg from 0.89kg al £2.910→£2.849/kg, 0.1kg si £1.000→£1.000/kg; premiums held</t>
  </si>
  <si>
    <t>A413 / AlSi12 (Eutectic Die Cast)</t>
  </si>
  <si>
    <t>Index-anchored 2026-07 (see CASTING PRICING BASIS). Near-eutectic high-fluidity alloy — thin-wall pressure-tight housings, pump bodies, intricate die castings. | Refresh 2026-09: −£0.053/kg from 0.87kg al £2.910→£2.849/kg, 0.12kg si £1.000→£1.000/kg; premiums held</t>
  </si>
  <si>
    <t>A319 / AlSi6Cu4</t>
  </si>
  <si>
    <t>Index-anchored 2026-07 (see CASTING PRICING BASIS). General-purpose Al-Si-Cu — sand/permanent-mould engine blocks, manifolds, cylinder heads; good machinability. | Refresh 2026-09: +£0.210/kg from 0.89kg al £2.910→£2.849/kg, 0.06kg si £1.000→£1.000/kg, 0.04kg cu £10.070→£10.768/kg, floored at commodity content £2.97/kg (previous level was below the metal it contains); premiums held</t>
  </si>
  <si>
    <t>A390 / AlSi17Cu (Hypereutectic)</t>
  </si>
  <si>
    <t>Index-anchored 2026-07 (see CASTING PRICING BASIS). Hypereutectic wear-resistant alloy — compressor scrolls, pistons, cylinder liners; low CTE, high hardness. | Refresh 2026-09: −£0.017/kg from 0.78kg al £2.910→£2.849/kg, 0.17kg si £1.000→£1.000/kg, 0.045kg cu £10.070→£10.768/kg; premiums held</t>
  </si>
  <si>
    <t>A357 / AlSi7Mg0.6 (Premium T6)</t>
  </si>
  <si>
    <t>Index-anchored 2026-07 (see CASTING PRICING BASIS). Premium high-integrity T6 alloy — aerospace structural, motorsport wheels, suspension uprights; HIP-capable. | Refresh 2026-09: −£0.057/kg from 0.92kg al £2.910→£2.849/kg, 0.07kg si £1.000→£1.000/kg; premiums held</t>
  </si>
  <si>
    <t>EN-GJL-200 (Grey Iron)</t>
  </si>
  <si>
    <t>Index-anchored 2026-07 (see CASTING PRICING BASIS). General-purpose grey iron — housings, covers, counterweights; good damping and machinability. | Refresh 2026-09: NOT SOURCED — pigiron, scrap: Not sourced this period: no June 2026 foundry pig iron or steel scrap price found on a like-for-like basis (Turkish HMS ’June’ figure found was a 2020 article; UK yard prices not comparable). Held at the June 2026 price.</t>
  </si>
  <si>
    <t>EN-GJL-300 (Grey Iron Hi-Strength)</t>
  </si>
  <si>
    <t>Index-anchored 2026-07 (see CASTING PRICING BASIS). Higher-strength grey iron — engine blocks, brake discs/drums, machine-tool structures. | Refresh 2026-09: NOT SOURCED — pigiron, scrap: Not sourced this period: no June 2026 foundry pig iron or steel scrap price found on a like-for-like basis (Turkish HMS ’June’ figure found was a 2020 article; UK yard prices not comparable). Held at the June 2026 price.</t>
  </si>
  <si>
    <t>EN-GJS-500-7 (Ductile Iron)</t>
  </si>
  <si>
    <t>Index-anchored 2026-07 (see CASTING PRICING BASIS). Mid-grade ductile iron — steering knuckles, hubs, brackets; balance of strength and ductility. | Refresh 2026-09: NOT SOURCED — pigiron, scrap: Not sourced this period: no June 2026 foundry pig iron or steel scrap price found on a like-for-like basis (Turkish HMS ’June’ figure found was a 2020 article; UK yard prices not comparable). Held at the June 2026 price.</t>
  </si>
  <si>
    <t>EN-GJS-700-2 (Ductile Iron Hi-Strength)</t>
  </si>
  <si>
    <t>Index-anchored 2026-07 (see CASTING PRICING BASIS). High-strength ductile iron — heavy-duty gears, crankshafts, hydraulic bodies. | Refresh 2026-09: NOT SOURCED — pigiron, scrap: Not sourced this period: no June 2026 foundry pig iron or steel scrap price found on a like-for-like basis (Turkish HMS ’June’ figure found was a 2020 article; UK yard prices not comparable). Held at the June 2026 price.</t>
  </si>
  <si>
    <t>EN-GJV-450 (Compacted Graphite Iron)</t>
  </si>
  <si>
    <t>Compacted Graphite Iron</t>
  </si>
  <si>
    <t>Index-anchored 2026-07 (see CASTING PRICING BASIS). CGI — high-output diesel cylinder blocks/heads, exhaust manifolds; ~75% stronger than grey iron with better thermal fatigue. | Refresh 2026-09: NOT SOURCED — pigiron, scrap: Not sourced this period: no June 2026 foundry pig iron or steel scrap price found on a like-for-like basis (Turkish HMS ’June’ figure found was a 2020 article; UK yard prices not comparable). Held at the June 2026 price.</t>
  </si>
  <si>
    <t>EN-GJS-SiMo (Heat-Resistant Ductile)</t>
  </si>
  <si>
    <t>Index-anchored 2026-07 (see CASTING PRICING BASIS). SiMo heat-resistant ductile iron — exhaust manifolds, turbocharger housings; stable to ~800°C. | Refresh 2026-09: NOT SOURCED — pigiron, scrap: Not sourced this period: no June 2026 foundry pig iron or steel scrap price found on a like-for-like basis (Turkish HMS ’June’ figure found was a 2020 article; UK yard prices not comparable). Held at the June 2026 price.</t>
  </si>
  <si>
    <t>EN-GJS-800 ADI (Austempered Ductile Iron)</t>
  </si>
  <si>
    <t>Index-anchored 2026-07 (see CASTING PRICING BASIS). Austempered ductile iron — gears, crankshafts, suspension arms; steel-like strength at lower weight/cost, austempering heat-treat included. | Refresh 2026-09: NOT SOURCED — pigiron, scrap: Not sourced this period: no June 2026 foundry pig iron or steel scrap price found on a like-for-like basis (Turkish HMS ’June’ figure found was a 2020 article; UK yard prices not comparable). Held at the June 2026 price.</t>
  </si>
  <si>
    <t>AM60B Magnesium Die Cast</t>
  </si>
  <si>
    <t>Index-anchored 2026-07 (see CASTING PRICING BASIS). High-ductility Mg — steering wheels, seat frames, instrument-panel beams; better elongation than AZ91. | Refresh 2026-09: −£0.190/kg from 0.94kg mg £1.972→£1.773/kg, 0.055kg al £2.910→£2.849/kg; premiums held</t>
  </si>
  <si>
    <t>AM50A Magnesium Die Cast</t>
  </si>
  <si>
    <t>Index-anchored 2026-07 (see CASTING PRICING BASIS). Highest-ductility standard Mg die-cast alloy — safety-critical energy-absorbing structures, IP beams, brackets. | Refresh 2026-09: −£0.190/kg from 0.94kg mg £1.972→£1.773/kg, 0.055kg al £2.910→£2.849/kg; premiums held</t>
  </si>
  <si>
    <t>AE44 Magnesium (Creep-Resistant)</t>
  </si>
  <si>
    <t>Index-anchored 2026-07 (see CASTING PRICING BASIS). Rare-earth (Ce/La) creep-resistant Mg — powertrain, engine cradles, transmission cases at elevated temperature; RE adder over AZ/AM grades. | Refresh 2026-09: −£0.185/kg from 0.92kg mg £1.972→£1.773/kg, 0.04kg al £2.910→£2.849/kg; premiums held</t>
  </si>
  <si>
    <t>ZA-8 (Zinc-Aluminium Die Cast)</t>
  </si>
  <si>
    <t>Index-anchored 2026-07 (see CASTING PRICING BASIS). Hot-chamber ZA-8 — higher strength/creep than Zamak; hardware, gears, bushings. | Refresh 2026-09: +£0.683/kg from 0.91kg zn £2.164→£2.913/kg, 0.08kg al £2.910→£2.849/kg, 0.01kg cu £10.070→£10.768/kg; premiums held</t>
  </si>
  <si>
    <t>ZA-27 (High-Strength Zinc-Aluminium)</t>
  </si>
  <si>
    <t>Index-anchored 2026-07 (see CASTING PRICING BASIS). Highest-strength ZA alloy — bronze-replacement bearings, high-load gravity/sand castings; lower density than Zamak. | Refresh 2026-09: +£0.529/kg from 0.71kg zn £2.164→£2.913/kg, 0.27kg al £2.910→£2.849/kg, 0.02kg cu £10.070→£10.768/kg; premiums held</t>
  </si>
  <si>
    <t>GS-C25 (Cast Carbon Steel)</t>
  </si>
  <si>
    <t>Cast Carbon Steel</t>
  </si>
  <si>
    <t>Index-anchored 2026-07 (see CASTING PRICING BASIS). General-purpose cast carbon steel — structural brackets, valve bodies, machine frames; weldable, machinable. | Refresh 2026-09: NOT SOURCED — scrap: Not sourced this period: no June 2026 foundry pig iron or steel scrap price found on a like-for-like basis (Turkish HMS ’June’ figure found was a 2020 article; UK yard prices not comparable). Held at the June 2026 price.</t>
  </si>
  <si>
    <t>17-4PH (Investment Cast Stainless)</t>
  </si>
  <si>
    <t>Index-anchored 2026-07 (see CASTING PRICING BASIS). Precipitation-hardening martensitic stainless investment casting — pump/valve internals, aerospace fittings, high strength + corrosion resistance. | Refresh 2026-09: +£0.101/kg from 0.6kg ss_sur £2.037→£2.164/kg, 0.035kg cu £10.070→£10.768/kg; premiums held</t>
  </si>
  <si>
    <t>Inconel 718 (Investment Cast Superalloy)</t>
  </si>
  <si>
    <t>Nickel Superalloy Casting</t>
  </si>
  <si>
    <t>Index-anchored 2026-07 (see CASTING PRICING BASIS). Ni-Cr-Fe superalloy investment casting — turbine/hot-section, high-temperature structural; nickel + cobalt dominated, low casting yield. | Refresh 2026-09: +£0.040/kg from 0.53kg ni £12.302→£12.378/kg, 0.03kg mo £1.000→£1.000/kg; premiums held</t>
  </si>
  <si>
    <t>1020 / S20C</t>
  </si>
  <si>
    <t>Carbon Steel Billet</t>
  </si>
  <si>
    <t>UK steel billet, Jun 2026. Index-anchored 2026-07 (see FORGING PRICING BASIS). | Refresh 2026-09: INDEX FLAT — Index flat: Kallanish N-Europe wire rod ’stable’ (Jun 2026), ’decrease slightly’ (Jul), ’remain stable’ / ’flat’ (Sep 2026) — carbon and alloy bar unchanged.</t>
  </si>
  <si>
    <t>4340 / 40NiCrMo22 / EN24 (Ni-Cr-Mo Alloy Steel)</t>
  </si>
  <si>
    <t>Alloy Steel Billet</t>
  </si>
  <si>
    <t>UK alloy billet, Jun 2026. Index-anchored 2026-07 (see FORGING PRICING BASIS). | Refresh 2026-09: −£0.002/kg from 1kg bar £0.861→£0.858/kg, 0.018kg ni £12.302→£12.378/kg, 0.0025kg mo £1.000→£1.000/kg; premiums held</t>
  </si>
  <si>
    <t>1141 / 1144 (Free-Machining)</t>
  </si>
  <si>
    <t>Index-anchored 2026-07 (see FORGING PRICING BASIS). Resulphurised free-machining carbon steel — high-volume machined forgings, studs, couplings. | Refresh 2026-09: INDEX FLAT — Index flat: Kallanish N-Europe wire rod ’stable’ (Jun 2026), ’decrease slightly’ (Jul), ’remain stable’ / ’flat’ (Sep 2026) — carbon and alloy bar unchanged.</t>
  </si>
  <si>
    <t>38MnVS6 (Microalloyed)</t>
  </si>
  <si>
    <t>Microalloyed Steel Billet</t>
  </si>
  <si>
    <t>Index-anchored 2026-07 (see FORGING PRICING BASIS). Air-hardening V-microalloyed steel — con-rods, crankshafts; controlled-cooled from forge heat, no separate Q&amp;T. | Refresh 2026-09: INDEX FLAT — Index flat: Kallanish N-Europe wire rod ’stable’ (Jun 2026), ’decrease slightly’ (Jul), ’remain stable’ / ’flat’ (Sep 2026) — carbon and alloy bar unchanged.</t>
  </si>
  <si>
    <t>4130 / 25CrMo4</t>
  </si>
  <si>
    <t>Index-anchored 2026-07 (see FORGING PRICING BASIS). Weldable chromoly — aerospace/pressure fittings, tube-and-node structures. | Refresh 2026-09: INDEX FLAT — Index flat: Kallanish N-Europe wire rod ’stable’ (Jun 2026), ’decrease slightly’ (Jul), ’remain stable’ / ’flat’ (Sep 2026) — carbon and alloy bar unchanged.</t>
  </si>
  <si>
    <t>8620 (Case-Hardening)</t>
  </si>
  <si>
    <t>Index-anchored 2026-07 (see FORGING PRICING BASIS). Carburising gear steel — pinions, ring gears, bearings; tough core + hard case. | Refresh 2026-09: −£0.003/kg from 1kg bar £0.861→£0.858/kg, 0.005kg ni £12.302→£12.378/kg; premiums held</t>
  </si>
  <si>
    <t>20MnCr5 (Gear Steel)</t>
  </si>
  <si>
    <t>Index-anchored 2026-07 (see FORGING PRICING BASIS). European case-hardening gear steel — transmission gears, shafts; excellent hardenability and grain control. | Refresh 2026-09: INDEX FLAT — Index flat: Kallanish N-Europe wire rod ’stable’ (Jun 2026), ’decrease slightly’ (Jul), ’remain stable’ / ’flat’ (Sep 2026) — carbon and alloy bar unchanged.</t>
  </si>
  <si>
    <t>52100 / 100Cr6 (Bearing Steel)</t>
  </si>
  <si>
    <t>Index-anchored 2026-07 (see FORGING PRICING BASIS). High-carbon chromium bearing steel — rings, rollers, races; clean, through-hardening. | Refresh 2026-09: INDEX FLAT — Index flat: Kallanish N-Europe wire rod ’stable’ (Jun 2026), ’decrease slightly’ (Jul), ’remain stable’ / ’flat’ (Sep 2026) — carbon and alloy bar unchanged.</t>
  </si>
  <si>
    <t>300M (UHS Aerospace)</t>
  </si>
  <si>
    <t>Index-anchored 2026-07 (see FORGING PRICING BASIS). Ultra-high-strength Si-modified 4340 — landing gear, aerospace structural; VAR remelt, tight cleanliness. | Refresh 2026-09: −£0.002/kg from 1kg bar £0.861→£0.858/kg, 0.018kg ni £12.302→£12.378/kg, 0.0025kg mo £1.000→£1.000/kg; premiums held</t>
  </si>
  <si>
    <t>410 (Martensitic Stainless Bar)</t>
  </si>
  <si>
    <t>Stainless Steel Billet</t>
  </si>
  <si>
    <t>Index-anchored 2026-07 (see FORGING PRICING BASIS). Hardenable martensitic stainless — valve stems, fasteners, turbine blades; moderate corrosion resistance. | Refresh 2026-09: +£0.034/kg from 0.7kg hrc £0.591→£0.639/kg; premiums held</t>
  </si>
  <si>
    <t>304L (Austenitic Stainless Bar)</t>
  </si>
  <si>
    <t>Index-anchored 2026-07 (see FORGING PRICING BASIS). General-purpose austenitic forging bar — flanges, fittings, food/chemical; Ni/Cr surcharge driven. | Refresh 2026-09: +£0.127/kg from 1kg ss_sur £2.037→£2.164/kg; premiums held</t>
  </si>
  <si>
    <t>316L (Austenitic Stainless Bar)</t>
  </si>
  <si>
    <t>Index-anchored 2026-07 (see FORGING PRICING BASIS). Mo-bearing austenitic — marine/chemical flanges, valve bodies; higher pitting resistance than 304. | Refresh 2026-09: +£0.129/kg from 1kg ss_sur £2.037→£2.164/kg, 0.03kg ni £12.302→£12.378/kg; premiums held</t>
  </si>
  <si>
    <t>17-4PH (PH Stainless Bar)</t>
  </si>
  <si>
    <t>Index-anchored 2026-07 (see FORGING PRICING BASIS). Precipitation-hardening martensitic stainless — aerospace fittings, pump/valve, high strength + corrosion. | Refresh 2026-09: +£0.101/kg from 0.6kg ss_sur £2.037→£2.164/kg, 0.035kg cu £10.070→£10.768/kg; premiums held</t>
  </si>
  <si>
    <t>15-5PH (PH Stainless Bar)</t>
  </si>
  <si>
    <t>Index-anchored 2026-07 (see FORGING PRICING BASIS). Transverse-toughness PH stainless — aerospace structural, landing-gear fittings; cleaner than 17-4. | Refresh 2026-09: +£0.101/kg from 0.6kg ss_sur £2.037→£2.164/kg, 0.035kg cu £10.070→£10.768/kg; premiums held</t>
  </si>
  <si>
    <t>6061 (Al Forging Stock)</t>
  </si>
  <si>
    <t>Aluminium Forging Billet</t>
  </si>
  <si>
    <t>Index-anchored 2026-07 (see FORGING PRICING BASIS). General-purpose forged aluminium — brackets, fittings, structural; T6 heat-treatable, weldable. | Refresh 2026-09: −£0.060/kg from 0.97kg al £2.910→£2.849/kg; premiums held</t>
  </si>
  <si>
    <t>6082 (Al Forging Stock)</t>
  </si>
  <si>
    <t>Index-anchored 2026-07 (see FORGING PRICING BASIS). European structural forging alloy — suspension arms, chassis brackets; higher strength than 6061. | Refresh 2026-09: −£0.060/kg from 0.97kg al £2.910→£2.849/kg; premiums held</t>
  </si>
  <si>
    <t>7075 (Al Forging Stock)</t>
  </si>
  <si>
    <t>Index-anchored 2026-07 (see FORGING PRICING BASIS). High-strength Al-Zn — aerospace/defence structural forgings, motorsport uprights; T73 for SCC resistance. | Refresh 2026-09: +£0.004/kg from 0.89kg al £2.910→£2.849/kg, 0.06kg zn £2.164→£2.913/kg, 0.02kg cu £10.070→£10.768/kg; premiums held</t>
  </si>
  <si>
    <t>2618 (Al-Cu Piston/Aero)</t>
  </si>
  <si>
    <t>Index-anchored 2026-07 (see FORGING PRICING BASIS). Elevated-temperature Al-Cu — forged pistons, compressor/turbo wheels; creep-resistant to ~200°C. | Refresh 2026-09: −£0.022/kg from 0.93kg al £2.910→£2.849/kg, 0.05kg cu £10.070→£10.768/kg; premiums held</t>
  </si>
  <si>
    <t>CP Titanium Grade 2 (Forging Bar)</t>
  </si>
  <si>
    <t>Titanium Forging Billet</t>
  </si>
  <si>
    <t>Index-anchored 2026-07 (see FORGING PRICING BASIS). Commercially-pure titanium — chemical/marine, medical, corrosion service; readily forged/formed. | Refresh 2026-09: −£0.408/kg from 1kg ti £5.398→£4.989/kg; premiums held</t>
  </si>
  <si>
    <t>Ti-6Al-4V Grade 5 (Forging Bar)</t>
  </si>
  <si>
    <t>Index-anchored 2026-07 (see FORGING PRICING BASIS). Workhorse aerospace/medical titanium — airframe/engine forgings, implants; high strength-to-weight, β-forged for toughness. | Refresh 2026-09: −£0.367/kg from 0.9kg ti £5.398→£4.989/kg; premiums held</t>
  </si>
  <si>
    <t>Inconel 718 (Forging Bar)</t>
  </si>
  <si>
    <t>Nickel Superalloy Billet</t>
  </si>
  <si>
    <t>Index-anchored 2026-07 (see FORGING PRICING BASIS). Age-hardenable Ni-Cr superalloy — turbine discs, shafts, rings; VIM/VAR remelt, high hot-strength. | Refresh 2026-09: +£0.040/kg from 0.53kg ni £12.302→£12.378/kg, 0.03kg mo £1.000→£1.000/kg; premiums held</t>
  </si>
  <si>
    <t>Waspaloy (Forging Bar)</t>
  </si>
  <si>
    <t>Index-anchored 2026-07 (see FORGING PRICING BASIS). Co-strengthened Ni superalloy — hot-section turbine discs, seals; retains strength to ~700°C, Co adder over 718. | Refresh 2026-09: +£0.044/kg from 0.58kg ni £12.302→£12.378/kg, 0.13kg co £1.000→£1.000/kg, 0.04kg mo £1.000→£1.000/kg; premiums held</t>
  </si>
  <si>
    <t>Inconel 625 (Forging Bar)</t>
  </si>
  <si>
    <t>Index-anchored 2026-07 (see FORGING PRICING BASIS). Solid-solution Ni-Cr-Mo — marine/chemical, exhaust, subsea; excellent corrosion + weldability, non-age-hardening. | Refresh 2026-09: +£0.046/kg from 0.61kg ni £12.302→£12.378/kg, 0.09kg mo £1.000→£1.000/kg; premiums held</t>
  </si>
  <si>
    <t>Hastelloy C-276 (Forging Bar)</t>
  </si>
  <si>
    <t>Index-anchored 2026-07 (see FORGING PRICING BASIS). Ni-Mo-Cr — severe chemical/acid, flue-gas, subsea valves; outstanding pitting/crevice resistance, high Mo adder. | Refresh 2026-09: +£0.043/kg from 0.57kg ni £12.302→£12.378/kg, 0.16kg mo £1.000→£1.000/kg; premiums held</t>
  </si>
  <si>
    <t>Monel 400 (Forging Bar)</t>
  </si>
  <si>
    <t>Nickel Alloy Billet</t>
  </si>
  <si>
    <t>Index-anchored 2026-07 (see FORGING PRICING BASIS). Ni-Cu — marine shafting, valves, seawater service; resists chlorides and HF, non-hardenable. | Refresh 2026-09: +£0.267/kg from 0.66kg ni £12.302→£12.378/kg, 0.31kg cu £10.070→£10.768/kg; premiums held</t>
  </si>
  <si>
    <t>Ti-6Al-2Sn-4Zr-2Mo (Forging Bar)</t>
  </si>
  <si>
    <t>Index-anchored 2026-07 (see FORGING PRICING BASIS). Near-α high-temp titanium — compressor discs/blades to ~540°C, engine forgings; premium over Ti-6Al-4V. | Refresh 2026-09: −£0.351/kg from 0.86kg ti £5.398→£4.989/kg; premiums held</t>
  </si>
  <si>
    <t>7050 (Al-Zn Aero Forging Stock)</t>
  </si>
  <si>
    <t>Index-anchored 2026-07 (see FORGING PRICING BASIS). High-strength aerospace 7xxx — thick-section airframe fittings, bulkheads; better SCC resistance than 7075. | Refresh 2026-09: +£0.004/kg from 0.89kg al £2.910→£2.849/kg, 0.06kg zn £2.164→£2.913/kg, 0.02kg cu £10.070→£10.768/kg; premiums held</t>
  </si>
  <si>
    <t>AZ31B (Mg Forging Bar)</t>
  </si>
  <si>
    <t>Magnesium Forging Billet</t>
  </si>
  <si>
    <t>Index-anchored 2026-07 (see FORGING PRICING BASIS). Wrought Mg-Al-Zn — lightweight brackets, aerospace/defence, portable structures; forged warm (~300–400°C). | Refresh 2026-09: −£0.192/kg from 0.96kg mg £1.972→£1.773/kg, 0.03kg al £2.910→£2.849/kg; premiums held</t>
  </si>
  <si>
    <t>CZ122 / CW617N (Forging Brass)</t>
  </si>
  <si>
    <t>Copper Alloy Billet</t>
  </si>
  <si>
    <t>Index-anchored 2026-07 (see FORGING PRICING BASIS). Hot-stamping brass — valve bodies, fittings, plumbing; excellent forgeability and machinability. | Refresh 2026-09: +£0.697/kg from 0.58kg cu £10.070→£10.768/kg, 0.39kg zn £2.164→£2.913/kg, 0.03kg pb £1.442→£1.438/kg; premiums held</t>
  </si>
  <si>
    <t>E-coat (Cathodic)</t>
  </si>
  <si>
    <t>Paint</t>
  </si>
  <si>
    <t>UK coating supplier, Jun 2026. Index-anchored 2026-07 refresh. | Refresh 2026-09: INDEX FLAT — Index flat: automotive coatings increases (PPG up to 20% Apr, BASF 7% May 2026) took effect before the June anchor; no Q3 2026 automotive coatings increase announced.</t>
  </si>
  <si>
    <t>2K Primer</t>
  </si>
  <si>
    <t>Waterborne Basecoat</t>
  </si>
  <si>
    <t>2K Clearcoat</t>
  </si>
  <si>
    <t>Powder Coat (Polyester)</t>
  </si>
  <si>
    <t>UK powder coat supplier, Jun 2026. Index-anchored 2026-07 refresh. | Refresh 2026-09: INDEX FLAT — Index flat: automotive coatings increases (PPG up to 20% Apr, BASF 7% May 2026) took effect before the June anchor; no Q3 2026 automotive coatings increase announced.</t>
  </si>
  <si>
    <t>1K Etch Primer</t>
  </si>
  <si>
    <t>Index-anchored 2026-07. Single-pack etch/adhesion primer — pretreat for aluminium/mixed substrates. | Refresh 2026-09: INDEX FLAT — Index flat: automotive coatings increases (PPG up to 20% Apr, BASF 7% May 2026) took effect before the June anchor; no Q3 2026 automotive coatings increase announced.</t>
  </si>
  <si>
    <t>Solventborne Basecoat</t>
  </si>
  <si>
    <t>Index-anchored 2026-07. Solventborne colour basecoat — refinish/low-volume lines where waterborne cure is impractical. | Refresh 2026-09: INDEX FLAT — Index flat: automotive coatings increases (PPG up to 20% Apr, BASF 7% May 2026) took effect before the June anchor; no Q3 2026 automotive coatings increase announced.</t>
  </si>
  <si>
    <t>UV-Cure Clearcoat</t>
  </si>
  <si>
    <t>Index-anchored 2026-07. UV-cure clearcoat — instant cure, high scratch resistance, headlamp lenses and trim. | Refresh 2026-09: INDEX FLAT — Index flat: automotive coatings increases (PPG up to 20% Apr, BASF 7% May 2026) took effect before the June anchor; no Q3 2026 automotive coatings increase announced.</t>
  </si>
  <si>
    <t>PVC Underbody / Anti-Chip Sealer</t>
  </si>
  <si>
    <t>Index-anchored 2026-07. Sprayable PVC underbody/anti-chip coating — sills, wheel arches, stone-chip protection. | Refresh 2026-09: −£0.031/kg from 0.4kg pvc £0.453→£0.375/kg; premiums held</t>
  </si>
  <si>
    <t>PP Blow Grade (MFI 1.0, random co-polymer)</t>
  </si>
  <si>
    <t>Blow Moulding</t>
  </si>
  <si>
    <t>UK resin distributor Jun 2026. PP blow grade (random co-polymer, MFI 1.0) — automotive ducts, coolant reservoirs, squeeze bottles. CoolFactor ~3.16 s/mm². Index-anchored 2026-07 refresh. | Refresh 2026-09: +£0.027/kg from 1kg pp £0.960→£0.987/kg; premiums held</t>
  </si>
  <si>
    <t>PETG Clear Blow Grade</t>
  </si>
  <si>
    <t>UK resin distributor Jun 2026. PETG — clear cosmetic/food bottles, chemical containers. Excellent clarity. CoolFactor ~3.0 s/mm². Index-anchored 2026-07 refresh. | Refresh 2026-09: SPECIALTY — no public market index for this grade; held at the June 2026 price — refresh by supplier quote</t>
  </si>
  <si>
    <t>PVC Rigid Blow Grade (uPVC bottle grade)</t>
  </si>
  <si>
    <t>UK resin distributor Jun 2026. Rigid PVC blow grade — detergent/shampoo/food bottles. Good chemical resistance. CoolFactor ~2.5 s/mm². Index-anchored 2026-07 refresh. | Refresh 2026-09: −£0.066/kg from 0.85kg pvc £0.453→£0.375/kg; premiums held</t>
  </si>
  <si>
    <t>TPE Blow Grade 40 Shore A</t>
  </si>
  <si>
    <t>UK resin distributor Jun 2026. TPE blow grade — soft-touch squeeze bottles, medical bulbs, automotive boots, flexible ducts. Shore 40A. Index-anchored 2026-07 refresh. | Refresh 2026-09: SPECIALTY — no public market index for this grade; held at the June 2026 price — refresh by supplier quote</t>
  </si>
  <si>
    <t>EVA Blow Grade (14% VA)</t>
  </si>
  <si>
    <t>UK resin distributor Jun 2026. EVA 14% vinyl acetate — flexible squeeze bottles, wine casks, co-extrusion tie layers. CoolFactor ~3.3 s/mm². Index-anchored 2026-07 refresh. | Refresh 2026-09: +£0.173/kg from 0.8kg ldpe £0.870→£1.087/kg; premiums held</t>
  </si>
  <si>
    <t>HDPE Blow Grade (jerry can / drum)</t>
  </si>
  <si>
    <t>Index-anchored 2026-07. Blow-moulding HDPE (high MW) — jerry cans, drums, IBC bottles, industrial containers. The workhorse blow resin. CoolFactor ~3.0 s/mm². | Refresh 2026-09: −£0.013/kg from 1kg hdpe £1.060→£1.047/kg; premiums held</t>
  </si>
  <si>
    <t>HDPE Coex Fuel-Tank Grade (6-layer/EVOH)</t>
  </si>
  <si>
    <t>Index-anchored 2026-07. Multilayer HDPE/EVOH barrier grade — automotive fuel tanks, permeation-controlled containers. CoolFactor ~3.0 s/mm². | Refresh 2026-09: −£0.013/kg from 1kg hdpe £1.060→£1.047/kg; premiums held</t>
  </si>
  <si>
    <t>PA6 Blow Grade (charge-air / ducts)</t>
  </si>
  <si>
    <t>Index-anchored 2026-07. High-melt-strength PA6 — 3D-blown charge-air ducts, turbo hoses, under-bonnet. CoolFactor ~2.4 s/mm². | Refresh 2026-09: NOT SOURCED — pa6: Not sourced this period: engineering resin prices are paywalled (PIE/ICIS). Direction only: PC rising through Aug 2026, PA6 rebounding, PA66 under pressure, PET declining — no like-for-like June→Sep figures. Held at the June 2026 price.</t>
  </si>
  <si>
    <t>PC Blow Grade (clear/impact)</t>
  </si>
  <si>
    <t>Index-anchored 2026-07. Blow-grade polycarbonate — water bottles (5-gal), light globes, impact-clear containers. CoolFactor ~2.5 s/mm². | Refresh 2026-09: NOT SOURCED — pc: Not sourced this period: engineering resin prices are paywalled (PIE/ICIS). Direction only: PC rising through Aug 2026, PA6 rebounding, PA66 under pressure, PET declining — no like-for-like June→Sep figures. Held at the June 2026 price.</t>
  </si>
  <si>
    <t>LDPE Blow Grade</t>
  </si>
  <si>
    <t>Index-anchored 2026-07. Soft squeeze bottles, tubes — low stiffness, high ESCR. CoolFactor ~3.5 s/mm². | Refresh 2026-09: +£0.217/kg from 1kg ldpe £0.870→£1.087/kg; premiums held</t>
  </si>
  <si>
    <t>LLDPE Blow Grade</t>
  </si>
  <si>
    <t>Index-anchored 2026-07. Tough small containers, toys — better ESCR/impact than HDPE. CoolFactor ~3.4 s/mm². | Refresh 2026-09: +£0.117/kg from 1kg lldpe £0.930→£1.047/kg; premiums held</t>
  </si>
  <si>
    <t>PET Stretch-Blow Bottle Grade</t>
  </si>
  <si>
    <t>Index-anchored 2026-07. SBM water/CSD/juice bottles (preform reheat-blow). IV ~0.80. CoolFactor ~3.0 s/mm². | Refresh 2026-09: NOT SOURCED — pet: Not sourced this period: engineering resin prices are paywalled (PIE/ICIS). Direction only: PC rising through Aug 2026, PA6 rebounding, PA66 under pressure, PET declining — no like-for-like June→Sep figures. Held at the June 2026 price.</t>
  </si>
  <si>
    <t>Tritan Copolyester (BPA-free clear)</t>
  </si>
  <si>
    <t>Index-anchored 2026-07. Premium clarity + impact, BPA-free — reusable bottles, tumblers, medical. CoolFactor ~3.0 s/mm². | Refresh 2026-09: SPECIALTY — no public market index for this grade; held at the June 2026 price — refresh by supplier quote</t>
  </si>
  <si>
    <t>Bio-PE Blow Grade (sugarcane HDPE)</t>
  </si>
  <si>
    <t>Index-anchored 2026-07. Drop-in renewable HDPE (I’m green) — cosmetics/food bottles, low-CO₂ packaging. CoolFactor ~3.0 s/mm². | Refresh 2026-09: SPECIALTY — no public market index for this grade; held at the June 2026 price — refresh by supplier quote</t>
  </si>
  <si>
    <t>Recycled HDPE Blow Grade (PCR)</t>
  </si>
  <si>
    <t>Index-anchored 2026-07. Post-consumer HDPE — non-food bottles, detergent, drums; wider property spread. CoolFactor ~3.0 s/mm². | Refresh 2026-09: −£0.008/kg from 0.6kg hdpe £1.060→£1.047/kg; premiums held</t>
  </si>
  <si>
    <t>Recycled PP Blow Grade (PCR)</t>
  </si>
  <si>
    <t>Index-anchored 2026-07. Post-consumer PP — non-visible/industrial containers; lower CO₂, wider tolerance. CoolFactor ~3.16 s/mm². | Refresh 2026-09: +£0.016/kg from 0.6kg pp £0.960→£0.987/kg; premiums held</t>
  </si>
  <si>
    <t>PE100 Pipe Grade (black, PE4710)</t>
  </si>
  <si>
    <t>Extrusion</t>
  </si>
  <si>
    <t>UK pipe-resin benchmark 2026-07. High-MW bimodal HDPE — pressure water/gas pipe (PE4710). Die swell ~15%. | Refresh 2026-09: −£0.013/kg from 1kg hdpe £1.060→£1.047/kg; premiums held</t>
  </si>
  <si>
    <t>PE80 Pipe Grade</t>
  </si>
  <si>
    <t>UK pipe-resin benchmark 2026-07. Medium-density pipe grade — gas/drainage pipe. | Refresh 2026-09: −£0.013/kg from 1kg hdpe £1.060→£1.047/kg; premiums held</t>
  </si>
  <si>
    <t>uPVC Pipe Compound (K67, dry-blend)</t>
  </si>
  <si>
    <t>UK PVC compounder 2026-07. Rigid PVC-U pressure/soil pipe compound (Ca-Zn stabilised). Low die swell ~5%. Heat-sensitive — limits output. | Refresh 2026-09: −£0.066/kg from 0.85kg pvc £0.453→£0.375/kg; premiums held</t>
  </si>
  <si>
    <t>PVC Cable Compound (flexible, insulation)</t>
  </si>
  <si>
    <t>UK cable-compound benchmark 2026-07. Plasticised PVC insulation/sheathing — building wire, flex cords. | Refresh 2026-09: −£0.047/kg from 0.6kg pvc £0.453→£0.375/kg; premiums held</t>
  </si>
  <si>
    <t>XLPE Cable Insulation Compound</t>
  </si>
  <si>
    <t>UK cable-compound benchmark 2026-07. Crosslinkable PE (peroxide/silane) — MV/HV cable insulation. Cured, non-recyclable scrap. | Refresh 2026-09: +£0.217/kg from 1kg ldpe £0.870→£1.087/kg; premiums held</t>
  </si>
  <si>
    <t>GPPS Extrusion Sheet Grade</t>
  </si>
  <si>
    <t>UK resin distributor 2026-07. General-purpose PS — clear thermoforming/sign sheet. Low die swell. | Refresh 2026-09: +£0.369/kg from 1kg gpps £1.000→£1.369/kg; premiums held</t>
  </si>
  <si>
    <t>ABS Extrusion Sheet Grade</t>
  </si>
  <si>
    <t>UK resin distributor 2026-07. Extrusion ABS — automotive/appliance thermoforming sheet, capstock. | Refresh 2026-09: −£0.065/kg from 1kg abs £0.775→£0.710/kg; premiums held</t>
  </si>
  <si>
    <t>PMMA Extrusion Sheet (acrylic)</t>
  </si>
  <si>
    <t>UK resin distributor 2026-07. Extruded acrylic sheet — glazing, signage, light guides. Low die swell. | Refresh 2026-09: NOT SOURCED — pmma: Not sourced this period: engineering resin prices are paywalled (PIE/ICIS). Direction only: PC rising through Aug 2026, PA6 rebounding, PA66 under pressure, PET declining — no like-for-like June→Sep figures. Held at the June 2026 price.</t>
  </si>
  <si>
    <t>PC Extrusion/Solid Sheet Grade</t>
  </si>
  <si>
    <t>UK resin distributor 2026-07. Extruded polycarbonate solid/multiwall sheet — glazing, machine guards. High melt temp → high energy. | Refresh 2026-09: NOT SOURCED — pc: Not sourced this period: engineering resin prices are paywalled (PIE/ICIS). Direction only: PC rising through Aug 2026, PA6 rebounding, PA66 under pressure, PET declining — no like-for-like June→Sep figures. Held at the June 2026 price.</t>
  </si>
  <si>
    <t>Medical PVC Tubing Compound (DEHP-free)</t>
  </si>
  <si>
    <t>UK medical-compound benchmark 2026-07. Non-phthalate plasticised PVC — IV/medical tubing, ISO 10993. | Refresh 2026-09: −£0.047/kg from 0.6kg pvc £0.453→£0.375/kg; premiums held</t>
  </si>
  <si>
    <t>Medical TPU Tubing (85A)</t>
  </si>
  <si>
    <t>UK medical-compound benchmark 2026-07. Aliphatic/aromatic TPU — catheters, medical tube; biocompatible. | Refresh 2026-09: NOT SOURCED — tpu: Not sourced this period: engineering resin prices are paywalled (PIE/ICIS). Direction only: PC rising through Aug 2026, PA6 rebounding, PA66 under pressure, PET declining — no like-for-like June→Sep figures. Held at the June 2026 price.</t>
  </si>
  <si>
    <t>TPE-S Extrusion Profile (60 Shore A)</t>
  </si>
  <si>
    <t>UK resin distributor 2026-07. Styrenic TPE — soft-touch seals, glazing gaskets (recyclable EPDM alternative). Die swell ~10%. | Refresh 2026-09: SPECIALTY — no public market index for this grade; held at the June 2026 price — refresh by supplier quote</t>
  </si>
  <si>
    <t>Rigid PVC Foam (Celuka) Profile</t>
  </si>
  <si>
    <t>UK PVC compounder 2026-07. Free-foam/Celuka rigid PVC — trim board, cladding, furniture profile. Low bulk density. | Refresh 2026-09: −£0.066/kg from 0.85kg pvc £0.453→£0.375/kg; premiums held</t>
  </si>
  <si>
    <t>PP Extrusion Sheet Grade</t>
  </si>
  <si>
    <t>UK resin distributor 2026-07. High-melt-strength PP — thermoforming/packaging sheet, corrugated board. | Refresh 2026-09: +£0.027/kg from 1kg pp £0.960→£0.987/kg; premiums held</t>
  </si>
  <si>
    <t>PA12 Extrusion (fuel/brake line tube)</t>
  </si>
  <si>
    <t>UK speciality resin 2026-07. Nylon 12 — automotive fuel/brake/air-brake tube, multi-layer barrier line. | Refresh 2026-09: SPECIALTY — no public market index for this grade; held at the June 2026 price — refresh by supplier quote</t>
  </si>
  <si>
    <t>Colour Masterbatch (universal)</t>
  </si>
  <si>
    <t>Additive / Masterbatch</t>
  </si>
  <si>
    <t>UK MB supplier 2026-07. Universal colour concentrate; let-down ~2–4%. | Refresh 2026-09: +£0.130/kg from 0.6kg ldpe £0.870→£1.087/kg; premiums held</t>
  </si>
  <si>
    <t>White Masterbatch (70% TiO₂)</t>
  </si>
  <si>
    <t>UK MB supplier 2026-07. High-TiO₂ white; let-down ~3–6%. | Refresh 2026-09: +£0.087/kg from 0.6kg tio2 £1.000→£1.000/kg, 0.4kg ldpe £0.870→£1.087/kg; premiums held</t>
  </si>
  <si>
    <t>Black Masterbatch (40% carbon)</t>
  </si>
  <si>
    <t>UK MB supplier 2026-07. Carbon-black concentrate (also UV shield); let-down ~2–3%. | Refresh 2026-09: +£0.130/kg from 0.4kg carbonblack £1.000→£1.000/kg, 0.6kg ldpe £0.870→£1.087/kg; premiums held</t>
  </si>
  <si>
    <t>UV Stabiliser Masterbatch (HALS)</t>
  </si>
  <si>
    <t>UK additive supplier 2026-07. HALS/UV-absorber concentrate for outdoor profiles/pipe; let-down ~1–3%. | Refresh 2026-09: SPECIALTY — no public market index for this grade; held at the June 2026 price — refresh by supplier quote</t>
  </si>
  <si>
    <t>Anti-Static Additive Masterbatch</t>
  </si>
  <si>
    <t>UK additive supplier 2026-07. Migratory/permanent anti-stat; let-down ~1–2%. | Refresh 2026-09: SPECIALTY — no public market index for this grade; held at the June 2026 price — refresh by supplier quote</t>
  </si>
  <si>
    <t>Flame-Retardant Masterbatch (halogen-free)</t>
  </si>
  <si>
    <t>UK additive supplier 2026-07. Non-halogen FR for cable/profile; high let-down ~10–25% (property-driven). | Refresh 2026-09: SPECIALTY — no public market index for this grade; held at the June 2026 price — refresh by supplier quote</t>
  </si>
  <si>
    <t>Impact Modifier (acrylic/CPE)</t>
  </si>
  <si>
    <t>UK additive supplier 2026-07. Impact modifier for rigid PVC/PP; let-down ~4–8%. | Refresh 2026-09: SPECIALTY — no public market index for this grade; held at the June 2026 price — refresh by supplier quote</t>
  </si>
  <si>
    <t>Processing Aid (fluoropolymer PPA)</t>
  </si>
  <si>
    <t>UK additive supplier 2026-07. Fluoropolymer PPA — eliminates melt fracture, boosts output; let-down ~0.05–0.1%. | Refresh 2026-09: SPECIALTY — no public market index for this grade; held at the June 2026 price — refresh by supplier quote</t>
  </si>
  <si>
    <t>HIPS Thermoforming Sheet</t>
  </si>
  <si>
    <t>Thermoforming Sheet</t>
  </si>
  <si>
    <t>UK sheet extruder 2026-07. High-impact PS gauge sheet — cups, trays, signage, refrigerator liners. Wide forming window; skeleton fully regrindable. | Refresh 2026-09: +£0.399/kg from 1kg hips £0.970→£1.369/kg; premiums held</t>
  </si>
  <si>
    <t>ABS Thermoforming Sheet</t>
  </si>
  <si>
    <t>UK sheet extruder 2026-07. Automotive/appliance ABS gauge sheet — interior trim, cargo liners, luggage; SPI texture capable. | Refresh 2026-09: −£0.065/kg from 1kg abs £0.775→£0.710/kg; premiums held</t>
  </si>
  <si>
    <t>PETG Thermoforming Sheet (clear)</t>
  </si>
  <si>
    <t>UK sheet extruder 2026-07. Glycol-modified PET — clear packaging, medical trays, retail; easy deep draw, no pre-dry. | Refresh 2026-09: SPECIALTY — no public market index for this grade; held at the June 2026 price — refresh by supplier quote</t>
  </si>
  <si>
    <t>APET Sheet (amorphous, food pack)</t>
  </si>
  <si>
    <t>UK sheet extruder 2026-07. Amorphous PET — clear food trays/clamshells, blister; highest-volume packaging sheet. rPET content common. | Refresh 2026-09: NOT SOURCED — pet: Not sourced this period: engineering resin prices are paywalled (PIE/ICIS). Direction only: PC rising through Aug 2026, PA6 rebounding, PA66 under pressure, PET declining — no like-for-like June→Sep figures. Held at the June 2026 price.</t>
  </si>
  <si>
    <t>CPET Sheet (crystalline, dual-ovenable)</t>
  </si>
  <si>
    <t>UK sheet extruder 2026-07. Crystallising PET — dual-ovenable ready-meal trays (-40 to +220°C); needs hot tool + long crystallisation cycle. | Refresh 2026-09: NOT SOURCED — pet: Not sourced this period: engineering resin prices are paywalled (PIE/ICIS). Direction only: PC rising through Aug 2026, PA6 rebounding, PA66 under pressure, PET declining — no like-for-like June→Sep figures. Held at the June 2026 price.</t>
  </si>
  <si>
    <t>Rigid PVC Thermoforming Sheet</t>
  </si>
  <si>
    <t>UK sheet extruder 2026-07. Rigid PVC gauge sheet — blister packs, ID/credit cards, medical; low forming temp, heat-sensitive. | Refresh 2026-09: −£0.066/kg from 0.85kg pvc £0.453→£0.375/kg; premiums held</t>
  </si>
  <si>
    <t>PP Thermoforming Sheet (HMS)</t>
  </si>
  <si>
    <t>UK sheet extruder 2026-07. High-melt-strength PP — hot-fill cups, deli tubs, medical; narrow window, needs sag control. Lightest sheet. | Refresh 2026-09: +£0.027/kg from 1kg pp £0.960→£0.987/kg; premiums held</t>
  </si>
  <si>
    <t>HDPE Thermoforming Sheet</t>
  </si>
  <si>
    <t>UK sheet extruder 2026-07. HDPE gauge sheet — industrial trays, liners, kayaks (heavy-gauge); heavy sag, low melt strength. | Refresh 2026-09: −£0.013/kg from 1kg hdpe £1.060→£1.047/kg; premiums held</t>
  </si>
  <si>
    <t>LDPE Thermoforming Sheet</t>
  </si>
  <si>
    <t>UK sheet extruder 2026-07. LDPE gauge sheet — soft protective trays, flexible packaging inserts. Very low melt strength. | Refresh 2026-09: +£0.217/kg from 1kg ldpe £0.870→£1.087/kg; premiums held</t>
  </si>
  <si>
    <t>PS Foam Sheet (foamed tray stock)</t>
  </si>
  <si>
    <t>UK sheet extruder 2026-07. Expanded PS foam sheet — egg cartons, meat/produce trays, insulation; low density, high stiffness-per-kg. | Refresh 2026-09: +£0.369/kg from 1kg gpps £1.000→£1.369/kg; premiums held</t>
  </si>
  <si>
    <t>PMMA / Acrylic Sheet (cast/extruded)</t>
  </si>
  <si>
    <t>UK sheet distributor 2026-07. Acrylic sheet — baths/spas, skylights, lightboxes, displays; excellent clarity, low sag (high melt strength). | Refresh 2026-09: NOT SOURCED — pmma: Not sourced this period: engineering resin prices are paywalled (PIE/ICIS). Direction only: PC rising through Aug 2026, PA6 rebounding, PA66 under pressure, PET declining — no like-for-like June→Sep figures. Held at the June 2026 price.</t>
  </si>
  <si>
    <t>PC Thermoforming Sheet</t>
  </si>
  <si>
    <t>UK sheet distributor 2026-07. Polycarbonate sheet — machine guards, glazing, riot shields, aircraft interiors; high forming temp → high oven energy, must pre-dry. | Refresh 2026-09: NOT SOURCED — pc: Not sourced this period: engineering resin prices are paywalled (PIE/ICIS). Direction only: PC rising through Aug 2026, PA6 rebounding, PA66 under pressure, PET declining — no like-for-like June→Sep figures. Held at the June 2026 price.</t>
  </si>
  <si>
    <t>PEI (Ultem) Sheet (aerospace)</t>
  </si>
  <si>
    <t>UK speciality 2026-07. Polyetherimide sheet — aircraft interior panels/ducting (FST/OSU compliant); very high forming temp ~250°C. | Refresh 2026-09: SPECIALTY — no public market index for this grade; held at the June 2026 price — refresh by supplier quote</t>
  </si>
  <si>
    <t>PPS Sheet (high-temp)</t>
  </si>
  <si>
    <t>UK speciality 2026-07. Polyphenylene sulphide sheet — chemical/high-temp trays, under-bonnet; ~285°C forming, semi-crystalline. | Refresh 2026-09: SPECIALTY — no public market index for this grade; held at the June 2026 price — refresh by supplier quote</t>
  </si>
  <si>
    <t>ABS/PMMA Co-ex Sheet (capped)</t>
  </si>
  <si>
    <t>UK sheet extruder 2026-07. ABS substrate + acrylic cap — sanitaryware, caravan/RV panels, spas; UV/scratch cap. Multilayer regrind limited. | Refresh 2026-09: −£0.039/kg from 0.6kg abs £0.775→£0.710/kg, 0.4kg pmma £1.000→£1.000/kg; premiums held</t>
  </si>
  <si>
    <t>ABS/PC Co-ex Sheet</t>
  </si>
  <si>
    <t>UK sheet extruder 2026-07. PC/ABS blend/co-ex — automotive exterior, luggage, high-impact housings; higher forming temp than ABS. | Refresh 2026-09: −£0.026/kg from 0.6kg pc £1.000→£1.000/kg, 0.4kg abs £0.775→£0.710/kg; premiums held</t>
  </si>
  <si>
    <t>PP/TPO Automotive Sheet</t>
  </si>
  <si>
    <t>UK sheet extruder 2026-07. TPO-skinned PP — automotive interior skins, load floors, underbody shields; soft-touch grain, recyclable. | Refresh 2026-09: +£0.019/kg from 0.7kg pp £0.960→£0.987/kg, 0.25kg epdm £1.000→£1.000/kg; premiums held</t>
  </si>
  <si>
    <t>PETG/EVOH Barrier Sheet</t>
  </si>
  <si>
    <t>UK sheet extruder 2026-07. Multilayer PET/EVOH/tie barrier — MAP food trays, extended shelf-life; EVOH barrier core. Regrind cross-contamination limits recovery. | Refresh 2026-09: SPECIALTY — no public market index for this grade; held at the June 2026 price — refresh by supplier quote</t>
  </si>
  <si>
    <t>LLDPE Roto Powder (natural)</t>
  </si>
  <si>
    <t>Rotational Moulding</t>
  </si>
  <si>
    <t>Index-anchored 2026-07. Primary roto resin — tanks, containers, playground; ground to ~35 mesh (add grinding premium).  | Refresh 2026-09: +£0.117/kg from 1kg lldpe £0.930→£1.047/kg; premiums held</t>
  </si>
  <si>
    <t>HDPE Roto Powder</t>
  </si>
  <si>
    <t>Index-anchored 2026-07. Stiffer roto grade — large tanks, agricultural, marine. Higher modulus than LLDPE. | Refresh 2026-09: −£0.013/kg from 1kg hdpe £1.060→£1.047/kg; premiums held</t>
  </si>
  <si>
    <t>PP Roto Powder</t>
  </si>
  <si>
    <t>Index-anchored 2026-07. Higher-temp roto grade — chemical/hot-fill tanks, ducting. Narrower processing window. | Refresh 2026-09: +£0.027/kg from 1kg pp £0.960→£0.987/kg; premiums held</t>
  </si>
  <si>
    <t>Cross-Linked PE (XLPE) Roto</t>
  </si>
  <si>
    <t>Index-anchored 2026-07. Cross-linked PE — fuel/chemical tanks, ESCR-critical; not regrindable, needs longer bake. | Refresh 2026-09: −£0.013/kg from 1kg hdpe £1.060→£1.047/kg; premiums held</t>
  </si>
  <si>
    <t>PA12 Roto Powder</t>
  </si>
  <si>
    <t>Index-anchored 2026-07. High-performance roto — air ducts, fuel tanks, aerospace; high melt temp, long cycle. | Refresh 2026-09: SPECIALTY — no public market index for this grade; held at the June 2026 price — refresh by supplier quote</t>
  </si>
  <si>
    <t>Flame-Retardant PE Roto</t>
  </si>
  <si>
    <t>Index-anchored 2026-07. FR-compounded PE — enclosures, transit, rail (UL94/EN45545). Additive-loaded. | Refresh 2026-09: +£0.082/kg from 0.7kg lldpe £0.930→£1.047/kg; premiums held</t>
  </si>
  <si>
    <t>Foamable PE Roto (structural foam core)</t>
  </si>
  <si>
    <t>Index-anchored 2026-07. Chemical-blowing-agent PE for foamed sandwich walls — stiffness-per-kg, insulation. | Refresh 2026-09: +£0.094/kg from 0.8kg lldpe £0.930→£1.047/kg; premiums held</t>
  </si>
  <si>
    <t>Conductive/Antistatic PE Roto</t>
  </si>
  <si>
    <t>Index-anchored 2026-07. Carbon-loaded PE — ATEX/ESD tanks, fuel handling; surface resistivity &lt;10^6 Ω. | Refresh 2026-09: +£0.094/kg from 0.8kg lldpe £0.930→£1.047/kg; premiums held</t>
  </si>
  <si>
    <t>Recycled PE Roto Powder</t>
  </si>
  <si>
    <t>Index-anchored 2026-07. Recyclate roto grade — non-critical tanks, planters, civils; wider property spread. | Refresh 2026-09: −£0.008/kg from 0.6kg hdpe £1.060→£1.047/kg; premiums held</t>
  </si>
  <si>
    <t>EPDM 70 Shore A</t>
  </si>
  <si>
    <t>Rubber</t>
  </si>
  <si>
    <t>UK rubber compounder Jun 2026. EPDM seals, hoses, weatherstrips. Shore 70A. Index-anchored 2026-07 refresh. | Refresh 2026-09: NOT SOURCED — epdm, carbonblack: Not sourced this period: synthetic rubber moves were weekly and mixed (ERJ, w/e 23 Sep 2026: SBR −2.3%, EPDM −1%, NBR +1%); no June→Sep level. Held at the June 2026 price.</t>
  </si>
  <si>
    <t>NBR 70 Shore A</t>
  </si>
  <si>
    <t>UK rubber compounder Jun 2026. Nitrile rubber — oil/fuel seals, O-rings. Shore 70A. Index-anchored 2026-07 refresh. | Refresh 2026-09: NOT SOURCED — nbr, carbonblack: Not sourced this period: synthetic rubber moves were weekly and mixed (ERJ, w/e 23 Sep 2026: SBR −2.3%, EPDM −1%, NBR +1%); no June→Sep level. Held at the June 2026 price.</t>
  </si>
  <si>
    <t>HCR Silicone 60 Shore A</t>
  </si>
  <si>
    <t>UK silicone supplier Jun 2026. High Consistency Rubber — compression/transfer moulding. Shore 60A. Index-anchored 2026-07 refresh. | Refresh 2026-09: NOT SOURCED — silicone: Not sourced this period: synthetic rubber moves were weekly and mixed (ERJ, w/e 23 Sep 2026: SBR −2.3%, EPDM −1%, NBR +1%); no June→Sep level. Held at the June 2026 price.</t>
  </si>
  <si>
    <t>LSR 40 Shore A</t>
  </si>
  <si>
    <t>UK silicone supplier Jun 2026. Liquid Silicone Rubber — injection moulding, medical/auto seals. Shore 40A. Index-anchored 2026-07 refresh. | Refresh 2026-09: NOT SOURCED — silicone: Not sourced this period: synthetic rubber moves were weekly and mixed (ERJ, w/e 23 Sep 2026: SBR −2.3%, EPDM −1%, NBR +1%); no June→Sep level. Held at the June 2026 price.</t>
  </si>
  <si>
    <t>Natural Rubber SMR20</t>
  </si>
  <si>
    <t>UK rubber importer Jun 2026. Natural rubber SMR20 grade — tyre compounds, anti-vibration mounts. Index-anchored 2026-07 refresh. | Refresh 2026-09: +£0.119/kg from 0.5kg nr £1.697→£1.935/kg, 0.25kg carbonblack £1.000→£1.000/kg; premiums held</t>
  </si>
  <si>
    <t>FKM Viton 75 Shore A</t>
  </si>
  <si>
    <t>UK fluoroelastomer supplier Jun 2026. FKM Viton — high-temp/chemical seals (&gt;200°C). Shore 75A. Index-anchored 2026-07 refresh. | Refresh 2026-09: SPECIALTY — no public market index for this grade; held at the June 2026 price — refresh by supplier quote</t>
  </si>
  <si>
    <t>SBR 65 Shore A</t>
  </si>
  <si>
    <t>UK rubber compounder Jun 2026. Styrene Butadiene Rubber — general-purpose seals, gaskets, belts, anti-vibration pads. Shore 65A. Index-anchored 2026-07 refresh. | Refresh 2026-09: NOT SOURCED — sbr, carbonblack: Not sourced this period: synthetic rubber moves were weekly and mixed (ERJ, w/e 23 Sep 2026: SBR −2.3%, EPDM −1%, NBR +1%); no June→Sep level. Held at the June 2026 price.</t>
  </si>
  <si>
    <t>CR Neoprene 60 Shore A</t>
  </si>
  <si>
    <t>UK rubber compounder Jun 2026. Chloroprene/Neoprene — oil/weather-resistant seals, CV boots, hoses, cable sheaths. Shore 60A. Index-anchored 2026-07 refresh. | Refresh 2026-09: +£0.049/kg from 1kg crc £0.668→£0.717/kg; premiums held</t>
  </si>
  <si>
    <t>HNBR 70 Shore A</t>
  </si>
  <si>
    <t>UK rubber compounder Jun 2026. Hydrogenated Nitrile — high-temp oil seals to 150°C+, cam cover gaskets, power steering. Shore 70A. Index-anchored 2026-07 refresh. | Refresh 2026-09: SPECIALTY — no public market index for this grade; held at the June 2026 price — refresh by supplier quote</t>
  </si>
  <si>
    <t>Butyl Rubber IIR 55 Shore A</t>
  </si>
  <si>
    <t>UK rubber importer Jun 2026. Butyl rubber — excellent gas impermeability, tire inner liners, vibration dampers, membrane seals. Shore 55A. Index-anchored 2026-07 refresh. | Refresh 2026-09: SPECIALTY — no public market index for this grade; held at the June 2026 price — refresh by supplier quote</t>
  </si>
  <si>
    <t>Polyurethane Elastomer 70 Shore A</t>
  </si>
  <si>
    <t>UK PU elastomer supplier Jun 2026. Cast/moulded polyurethane — wear-resistant seals, guide bushes, rollers, suspension bump stops. Shore 70A. Index-anchored 2026-07 refresh. | Refresh 2026-09: SPECIALTY — no public market index for this grade; held at the June 2026 price — refresh by supplier quote</t>
  </si>
  <si>
    <t>FVMQ Fluorosilicone 60 Shore A</t>
  </si>
  <si>
    <t>Index-anchored 2026-07. Fluorosilicone — fuel/oil resistance with silicone low-temp flexibility; aerospace/fuel-system seals. Shore 60A. | Refresh 2026-09: SPECIALTY — no public market index for this grade; held at the June 2026 price — refresh by supplier quote</t>
  </si>
  <si>
    <t>ACM Polyacrylate 70 Shore A</t>
  </si>
  <si>
    <t>Index-anchored 2026-07. Polyacrylate — hot-oil transmission/engine seals to ~150°C, better than NBR. Shore 70A. | Refresh 2026-09: SPECIALTY — no public market index for this grade; held at the June 2026 price — refresh by supplier quote</t>
  </si>
  <si>
    <t>AEM (Vamac) 60 Shore A</t>
  </si>
  <si>
    <t>Index-anchored 2026-07. Ethylene-acrylic — automotive hoses, boots, seals; heat + oil + weather resistance. Shore 60A. | Refresh 2026-09: SPECIALTY — no public market index for this grade; held at the June 2026 price — refresh by supplier quote</t>
  </si>
  <si>
    <t>ECO Epichlorohydrin 65 Shore A</t>
  </si>
  <si>
    <t>Index-anchored 2026-07. Epichlorohydrin — fuel hoses, diaphragms; excellent fuel/ozone resistance and low permeability. Shore 65A. | Refresh 2026-09: SPECIALTY — no public market index for this grade; held at the June 2026 price — refresh by supplier quote</t>
  </si>
  <si>
    <t>CSM Hypalon 65 Shore A</t>
  </si>
  <si>
    <t>Index-anchored 2026-07. Chlorosulphonated PE — chemical/weather/ozone-resistant seals, roofing, cable jackets. Shore 65A. | Refresh 2026-09: SPECIALTY — no public market index for this grade; held at the June 2026 price — refresh by supplier quote</t>
  </si>
  <si>
    <t>BR Polybutadiene (high-cis) 60 Shore A</t>
  </si>
  <si>
    <t>Index-anchored 2026-07. High-cis polybutadiene — blended with NR/SBR for abrasion resistance &amp; low rolling resistance; tyres, anti-vibration, rollers. Shore 60A. | Refresh 2026-09: NOT SOURCED — butadiene, carbonblack: Not sourced this period: synthetic rubber moves were weekly and mixed (ERJ, w/e 23 Sep 2026: SBR −2.3%, EPDM −1%, NBR +1%); no June→Sep level. Held at the June 2026 price.</t>
  </si>
  <si>
    <t>Bromobutyl (BIIR) 50 Shore A</t>
  </si>
  <si>
    <t>Index-anchored 2026-07. Brominated butyl — tyre inner liners, pharma closures/stoppers, curing bladders; low permeability + faster cure than plain IIR. Shore 50A. | Refresh 2026-09: SPECIALTY — no public market index for this grade; held at the June 2026 price — refresh by supplier quote</t>
  </si>
  <si>
    <t>Chlorobutyl (CIIR) 55 Shore A</t>
  </si>
  <si>
    <t>Index-anchored 2026-07. Chlorinated butyl — tyre inner liners, pharma stoppers, heat-resistant seals; co-vulcanisable with diene rubbers. Shore 55A. | Refresh 2026-09: SPECIALTY — no public market index for this grade; held at the June 2026 price — refresh by supplier quote</t>
  </si>
  <si>
    <t>FFKM Perfluoroelastomer (Kalrez-type) 75 Shore A</t>
  </si>
  <si>
    <t>Index-anchored 2026-07. Perfluoroelastomer — extreme chemical + &gt;300°C seals for semicon, aerospace, oil&amp;gas; the highest-cost elastomer, tiny O-rings. Shore 75A. | Refresh 2026-09: SPECIALTY — no public market index for this grade; held at the June 2026 price — refresh by supplier quote</t>
  </si>
  <si>
    <t>NBR High-ACN (fuel) 75 Shore A</t>
  </si>
  <si>
    <t>Index-anchored 2026-07. High-acrylonitrile nitrile — maximum fuel/oil resistance for fuel hoses, gaskets; stiffer, worse low-temp than standard NBR. Shore 75A. | Refresh 2026-09: NOT SOURCED — nbr, carbonblack: Not sourced this period: synthetic rubber moves were weekly and mixed (ERJ, w/e 23 Sep 2026: SBR −2.3%, EPDM −1%, NBR +1%); no June→Sep level. Held at the June 2026 price.</t>
  </si>
  <si>
    <t>EPDM Peroxide-Cured 70 Shore A</t>
  </si>
  <si>
    <t>Index-anchored 2026-07. Peroxide-cured EPDM — better heat-ageing &amp; compression set than sulphur-cured; coolant/steam seals, under-bonnet. Shore 70A. | Refresh 2026-09: NOT SOURCED — epdm, carbonblack: Not sourced this period: synthetic rubber moves were weekly and mixed (ERJ, w/e 23 Sep 2026: SBR −2.3%, EPDM −1%, NBR +1%); no June→Sep level. Held at the June 2026 price.</t>
  </si>
  <si>
    <t>LSR Medical-Grade 30 Shore A</t>
  </si>
  <si>
    <t>Index-anchored 2026-07. USP Class VI / ISO 10993 liquid silicone — medical seals, valves, baby/health products; biocompatible, premium over industrial LSR. Shore 30A. | Refresh 2026-09: NOT SOURCED — silicone: Not sourced this period: synthetic rubber moves were weekly and mixed (ERJ, w/e 23 Sep 2026: SBR −2.3%, EPDM −1%, NBR +1%); no June→Sep level. Held at the June 2026 price.</t>
  </si>
  <si>
    <t>T700 CF/Epoxy Prepreg (125°C cure)</t>
  </si>
  <si>
    <t>Composite</t>
  </si>
  <si>
    <t>UK composite supplier Jun 2026. T700/250F prepreg — structural automotive/aerospace hand layup. Vf~0.60. Index-anchored 2026-07 refresh. | Refresh 2026-09: NOT SOURCED — cf, epoxy: Not sourced this period: composites inputs (epoxy China 12,500–12,900 CNY/t Sep 2026; glass fibre ’mild downward pressure’) have no June level on the same basis. Held at the June 2026 price.</t>
  </si>
  <si>
    <t>E-glass/Epoxy Prepreg (120°C cure)</t>
  </si>
  <si>
    <t>UK composite supplier Jun 2026. E-glass/epoxy prepreg — semi-structural panels, marine. Vf~0.55. Index-anchored 2026-07 refresh. | Refresh 2026-09: NOT SOURCED — gf, epoxy: Not sourced this period: composites inputs (epoxy China 12,500–12,900 CNY/t Sep 2026; glass fibre ’mild downward pressure’) have no June level on the same basis. Held at the June 2026 price.</t>
  </si>
  <si>
    <t>Carbon Fibre 3K Twill Dry Fabric</t>
  </si>
  <si>
    <t>UK composite supplier Jun 2026. 3K 2×2 twill dry CF — RTM, VARTM, filament winding. Pair with infusion resin. Index-anchored 2026-07 refresh. | Refresh 2026-09: NOT SOURCED — cf: Not sourced this period: composites inputs (epoxy China 12,500–12,900 CNY/t Sep 2026; glass fibre ’mild downward pressure’) have no June level on the same basis. Held at the June 2026 price.</t>
  </si>
  <si>
    <t>E-glass Woven Dry Fabric (600 g/m²)</t>
  </si>
  <si>
    <t>UK composite supplier Jun 2026. Woven E-glass 600 g/m² — marine, wind, automotive GFRP. Index-anchored 2026-07 refresh. | Refresh 2026-09: NOT SOURCED — gf: Not sourced this period: composites inputs (epoxy China 12,500–12,900 CNY/t Sep 2026; glass fibre ’mild downward pressure’) have no June level on the same basis. Held at the June 2026 price.</t>
  </si>
  <si>
    <t>Epoxy Infusion Resin System (LT cure)</t>
  </si>
  <si>
    <t>UK composite supplier Jun 2026. Low-temp infusion epoxy (Gurit / Hexion). RTM/VARTM. Vf 0.50–0.60. Index-anchored 2026-07 refresh. | Refresh 2026-09: NOT SOURCED — epoxy: Not sourced this period: composites inputs (epoxy China 12,500–12,900 CNY/t Sep 2026; glass fibre ’mild downward pressure’) have no June level on the same basis. Held at the June 2026 price.</t>
  </si>
  <si>
    <t>Vinyl Ester RTM Resin</t>
  </si>
  <si>
    <t>UK composite supplier Jun 2026. Vinyl ester RTM resin — marine, pipes, corrosion-resistant structures. Index-anchored 2026-07 refresh. | Refresh 2026-09: NOT SOURCED — upr: Not sourced this period: composites inputs (epoxy China 12,500–12,900 CNY/t Sep 2026; glass fibre ’mild downward pressure’) have no June level on the same basis. Held at the June 2026 price.</t>
  </si>
  <si>
    <t>Aramid (Kevlar 49) Woven Fabric</t>
  </si>
  <si>
    <t>UK composite supplier Jun 2026. Kevlar 49 — ballistic protection, aircraft flooring, helmets. Index-anchored 2026-07 refresh. | Refresh 2026-09: SPECIALTY — no public market index for this grade; held at the June 2026 price — refresh by supplier quote</t>
  </si>
  <si>
    <t>T800 Unidirectional CF/Epoxy Prepreg</t>
  </si>
  <si>
    <t>Index-anchored 2026-07. Intermediate-modulus UD prepreg — primary aerospace/motorsport structures, autoclave cure. Vf~0.60. | Refresh 2026-09: NOT SOURCED — cf, epoxy: Not sourced this period: composites inputs (epoxy China 12,500–12,900 CNY/t Sep 2026; glass fibre ’mild downward pressure’) have no June level on the same basis. Held at the June 2026 price.</t>
  </si>
  <si>
    <t>SMC (Glass-Filled Sheet Moulding Compound)</t>
  </si>
  <si>
    <t>Index-anchored 2026-07. Glass/polyester SMC — compression-moulded body panels, structural covers, EV battery lids. | Refresh 2026-09: NOT SOURCED — upr, gf: Not sourced this period: composites inputs (epoxy China 12,500–12,900 CNY/t Sep 2026; glass fibre ’mild downward pressure’) have no June level on the same basis. Held at the June 2026 price.</t>
  </si>
  <si>
    <t>BMC (Bulk Moulding Compound)</t>
  </si>
  <si>
    <t>Index-anchored 2026-07. Glass/polyester BMC — electrical housings, headlamp reflectors, motor components; injection/compression moulded. | Refresh 2026-09: NOT SOURCED — upr, gf: Not sourced this period: composites inputs (epoxy China 12,500–12,900 CNY/t Sep 2026; glass fibre ’mild downward pressure’) have no June level on the same basis. Held at the June 2026 price.</t>
  </si>
  <si>
    <t>E-glass Chopped Strand Mat (450 g/m²)</t>
  </si>
  <si>
    <t>Index-anchored 2026-07. Chopped strand mat — hand-layup/spray-up GFRP, marine hulls, tanks, enclosures. | Refresh 2026-09: NOT SOURCED — gf: Not sourced this period: composites inputs (epoxy China 12,500–12,900 CNY/t Sep 2026; glass fibre ’mild downward pressure’) have no June level on the same basis. Held at the June 2026 price.</t>
  </si>
  <si>
    <t>CF/PEEK Organosheet (Thermoplastic)</t>
  </si>
  <si>
    <t>Index-anchored 2026-07. Continuous CF-reinforced PEEK laminate — stamp-formable aerospace brackets/clips, recyclable, weldable. | Refresh 2026-09: SPECIALTY — no public market index for this grade; held at the June 2026 price — refresh by supplier quote</t>
  </si>
  <si>
    <t>Nomex Honeycomb Core</t>
  </si>
  <si>
    <t>Index-anchored 2026-07. Aramid-paper honeycomb — sandwich-panel core for aircraft floors/interiors; density is core bulk (~48 kg/m³). | Refresh 2026-09: SPECIALTY — no public market index for this grade; held at the June 2026 price — refresh by supplier quote</t>
  </si>
  <si>
    <t>PET Structural Foam Core</t>
  </si>
  <si>
    <t>Index-anchored 2026-07. Recyclable PET foam core — wind blades, marine, transport sandwich panels; density is core bulk (~100 kg/m³). | Refresh 2026-09: SPECIALTY — no public market index for this grade; held at the June 2026 price — refresh by supplier quote</t>
  </si>
  <si>
    <t>machineClass</t>
  </si>
  <si>
    <t>annualAvailableHours</t>
  </si>
  <si>
    <t>machineUtilization</t>
  </si>
  <si>
    <t>elements add to</t>
  </si>
  <si>
    <t>rebuilt £/hr − total</t>
  </si>
  <si>
    <t>CNC Lathe (2-axis)</t>
  </si>
  <si>
    <t>UK Tier-2 CNC turning centre (Doosan/Hyundai class). Target £40/hr. Jun 2026</t>
  </si>
  <si>
    <t>2026-09-29</t>
  </si>
  <si>
    <t>CNC VMC 3-axis</t>
  </si>
  <si>
    <t>UK Tier-2 3-axis VMC (HAAS VF/VM class). Target £55/hr. Jun 2026</t>
  </si>
  <si>
    <t>CNC VMC 5-axis</t>
  </si>
  <si>
    <t>UK Tier-1 5-axis machining centre (DMG/Hermle class). Target £85/hr. Jun 2026</t>
  </si>
  <si>
    <t>CNC Drilling Centre</t>
  </si>
  <si>
    <t>UK Tier-2 CNC drilling/tapping centre. Target £30/hr. Jun 2026</t>
  </si>
  <si>
    <t>CNC Cylindrical Grinder</t>
  </si>
  <si>
    <t>UK Tier-2 CNC cylindrical grinder. Target £55/hr (precision, high coolant cost). Jun 2026</t>
  </si>
  <si>
    <t>CNC Gear Hobber — small (≤m4, ≤Ø200)</t>
  </si>
  <si>
    <t>REPRESENTATIVE — UK small CNC hobber class. Target ~£56/hr. Replace with plant data.</t>
  </si>
  <si>
    <t>CNC Gear Hobber — medium (≤m8, ≤Ø500)</t>
  </si>
  <si>
    <t>REPRESENTATIVE — UK medium CNC hobber class. Target ~£78/hr. Replace with plant data.</t>
  </si>
  <si>
    <t>CNC Gear Hobber — large (≤m25, ≤Ø1600)</t>
  </si>
  <si>
    <t>REPRESENTATIVE — UK large CNC hobber class. Target ~£140/hr. Replace with plant data.</t>
  </si>
  <si>
    <t>CNC Gear Shaper — small (≤m6, ≤Ø300)</t>
  </si>
  <si>
    <t>REPRESENTATIVE — UK small CNC shaper class. Target ~£56/hr. Replace with plant data.</t>
  </si>
  <si>
    <t>CNC Gear Shaper — large (≤m12, ≤Ø800)</t>
  </si>
  <si>
    <t>REPRESENTATIVE — UK large CNC shaper class. Target ~£95/hr. Replace with plant data.</t>
  </si>
  <si>
    <t>Power Skiving Machine — small (≤m4, ≤Ø250)</t>
  </si>
  <si>
    <t>REPRESENTATIVE — UK small power skiving class. Target ~£85/hr. Replace with plant data.</t>
  </si>
  <si>
    <t>Power Skiving Machine — medium (≤m8, ≤Ø600)</t>
  </si>
  <si>
    <t>REPRESENTATIVE — UK medium power skiving class. Target ~£120/hr. Replace with plant data.</t>
  </si>
  <si>
    <t>Vertical Internal Gear Broach</t>
  </si>
  <si>
    <t>REPRESENTATIVE — UK internal gear/spline broach class. Target ~£63/hr. Replace with plant data.</t>
  </si>
  <si>
    <t>Generating Gear Grinder (threaded wheel, ≤m6)</t>
  </si>
  <si>
    <t>REPRESENTATIVE — UK generating (threaded-wheel) gear grinder class. Target ~£130/hr. Replace with plant data.</t>
  </si>
  <si>
    <t>Profile Gear Grinder (form wheel, ≤m12)</t>
  </si>
  <si>
    <t>REPRESENTATIVE — UK profile (form-wheel) gear grinder class. Target ~£170/hr. Replace with plant data.</t>
  </si>
  <si>
    <t>Gear Shaving Machine</t>
  </si>
  <si>
    <t>REPRESENTATIVE — UK gear shaving class. Target ~£45/hr. Replace with plant data.</t>
  </si>
  <si>
    <t>Gear Honing Machine</t>
  </si>
  <si>
    <t>REPRESENTATIVE — UK gear honing class (NVH finishing). Target ~£80/hr. Replace with plant data.</t>
  </si>
  <si>
    <t>Gear Chamfer / Deburr Cell</t>
  </si>
  <si>
    <t>REPRESENTATIVE — UK chamfer/deburr cell class. Target ~£26/hr. Replace with plant data.</t>
  </si>
  <si>
    <t>Gear Induction Hardening Cell (RF + quench + temper)</t>
  </si>
  <si>
    <t>REPRESENTATIVE — UK gear induction hardening cell. Energy-heavy (RF generator + quench recirculation). Target ~£55/hr. Replace with plant data.</t>
  </si>
  <si>
    <t>CNC Gear Checker (profile / lead / pitch)</t>
  </si>
  <si>
    <t>REPRESENTATIVE — UK CNC gear metrology class (Klingelnberg/Gleason type). Target ~£56/hr. Replace with plant data.</t>
  </si>
  <si>
    <t>Assembly Workbench</t>
  </si>
  <si>
    <t>Assembly bench — low machine rate; cost primarily driven by labour</t>
  </si>
  <si>
    <t>HAAS VF-2 (3-axis Mill)</t>
  </si>
  <si>
    <t>HAAS VF-2 benchmark, UK Tier-2 machining shop</t>
  </si>
  <si>
    <t>DMG Mori DMU 50 (5-axis Mill)</t>
  </si>
  <si>
    <t>DMG Mori DMU 50 benchmark, UK Tier-1 precision shop</t>
  </si>
  <si>
    <t>HAAS UMC-500 (5-axis Mill)</t>
  </si>
  <si>
    <t>HAAS UMC-500 benchmark, UK Tier-2 machining shop</t>
  </si>
  <si>
    <t>Mazak Quick Turn 200 (Turning)</t>
  </si>
  <si>
    <t>Mazak Quick Turn 200 benchmark, UK Tier-2 machining shop</t>
  </si>
  <si>
    <t>Gravity Die Casting Machine</t>
  </si>
  <si>
    <t>Standard gravity die casting machine, UK foundry benchmark</t>
  </si>
  <si>
    <t>Investment Casting Furnace</t>
  </si>
  <si>
    <t>Investment casting furnace, UK foundry benchmark</t>
  </si>
  <si>
    <t>Heat Treatment / Ageing Furnace</t>
  </si>
  <si>
    <t>T5/T6 solution + ageing furnace, UK foundry benchmark</t>
  </si>
  <si>
    <t>100T Mechanical Press (general press shop)</t>
  </si>
  <si>
    <t>UK general press-shop benchmark (standard/amortised mechanical press), Jun 2026</t>
  </si>
  <si>
    <t>200T Mechanical Press (general press shop)</t>
  </si>
  <si>
    <t>400T Mechanical Press (general press shop)</t>
  </si>
  <si>
    <t>UK general press-shop benchmark (standard/amortised mechanical press; new servo transfer line: use press-schuler-400t), Jun 2026</t>
  </si>
  <si>
    <t>630T Mechanical Press (general press shop)</t>
  </si>
  <si>
    <t>800T Mechanical Press (general press shop)</t>
  </si>
  <si>
    <t>1000T Mechanical Press (general press shop)</t>
  </si>
  <si>
    <t>UK general press-shop benchmark (large stamping press — deep-draw panels, structural), Jun 2026</t>
  </si>
  <si>
    <t>1250T Mechanical Press (general press shop)</t>
  </si>
  <si>
    <t>UK general press-shop benchmark (heavy stamping press — large body/chassis panels), Jun 2026</t>
  </si>
  <si>
    <t>250T Fine-Blanking Press (triple-action)</t>
  </si>
  <si>
    <t>UK fine-blanking benchmark. Triple-action FB press — full-shear precision edges (gears, levers, seat recliners). Jun 2026</t>
  </si>
  <si>
    <t>1000T Hot-Stamping Press (water-cooled dies)</t>
  </si>
  <si>
    <t>UK hot-stamping line press. Forms + quenches austenitised boron blanks in water-cooled dies (B-pillar, rocker). Quench-dwell limited. Jun 2026</t>
  </si>
  <si>
    <t>Roller-Hearth Austenitising Furnace (hot stamping)</t>
  </si>
  <si>
    <t>UK hot-stamping furnace. ~900–950°C austenitising roller hearth. Capital/standby only — per-part austenitising heat is a separate energy consumable. Jun 2026</t>
  </si>
  <si>
    <t>CNC Notching Machine (laminations)</t>
  </si>
  <si>
    <t>UK electrical-steel benchmark. Single-slot rotary notching for prototype / low-volume stator &amp; rotor laminations (no hard progressive die). Jun 2026</t>
  </si>
  <si>
    <t>Stress-Relief Annealing Furnace (laminations)</t>
  </si>
  <si>
    <t>UK electrical-steel benchmark. ~750–850°C continuous N₂/H₂ stress-relief/decarb anneal to restore core loss after blanking. Per-part heat is a separate energy consumable. Jun 2026</t>
  </si>
  <si>
    <t>Backlack Bonding Oven/Press (self-bonded stacks)</t>
  </si>
  <si>
    <t>UK electrical-steel benchmark. Heat+pressure cure of self-bonding (backlack) varnish — lowest-loss laminated stacks, EV traction. Jun 2026</t>
  </si>
  <si>
    <t>Laser Stack Welder (stator OD welds)</t>
  </si>
  <si>
    <t>UK electrical-steel benchmark. Laser welding of stacked stator laminations along the OD — fast, but weld shorts a few edge laminations (small loss penalty). Jun 2026</t>
  </si>
  <si>
    <t>50T Injection Moulding Machine</t>
  </si>
  <si>
    <t>UK plastics benchmark (small precision/technical mouldings), Jun 2026</t>
  </si>
  <si>
    <t>100T Injection Moulding Machine</t>
  </si>
  <si>
    <t>UK plastics benchmark, Jun 2026</t>
  </si>
  <si>
    <t>200T Injection Moulding Machine</t>
  </si>
  <si>
    <t>350T Injection Moulding Machine</t>
  </si>
  <si>
    <t>400T Injection Moulding Machine</t>
  </si>
  <si>
    <t>500T Injection Moulding Machine</t>
  </si>
  <si>
    <t>800T Injection Moulding Machine</t>
  </si>
  <si>
    <t>1200T Injection Moulding Machine</t>
  </si>
  <si>
    <t>UK plastics benchmark (large structural mouldings), Jun 2026</t>
  </si>
  <si>
    <t>2000T Injection Moulding Machine</t>
  </si>
  <si>
    <t>UK plastics benchmark (large automotive mouldings — door panels, cladding), Jun 2026</t>
  </si>
  <si>
    <t>3500T Injection Moulding Machine</t>
  </si>
  <si>
    <t>UK plastics benchmark (very large automotive — bumpers, IPs, tailgates; high clamp tonnage), Jun 2026</t>
  </si>
  <si>
    <t>HPDC 500T</t>
  </si>
  <si>
    <t>UK foundry benchmark, Jun 2026</t>
  </si>
  <si>
    <t>HPDC 800T</t>
  </si>
  <si>
    <t>HPDC 1600T</t>
  </si>
  <si>
    <t>Giga-Casting Press 6100T (megacasting)</t>
  </si>
  <si>
    <t>Giga-press benchmark. 6,100T locking force — single-piece rear/front underbody megacastings (Tesla-class, BYD). Very high capital; huge cell (vacuum, thermal control, laser trim). Jun 2026</t>
  </si>
  <si>
    <t>Giga-Casting Press 9000T (Xiaomi/Tesla-class)</t>
  </si>
  <si>
    <t>Giga-press benchmark. 9,000T+ locking force (Xiaomi 9,100T "die-casting cluster", Tesla, largest OEM presses) — full one-piece underbody. Highest capital in the tool. Jun 2026</t>
  </si>
  <si>
    <t>Sand Casting Moulding Line</t>
  </si>
  <si>
    <t>HPDC 160T (Zinc/Small Al)</t>
  </si>
  <si>
    <t>Small HPDC / zinc die casting machine, UK foundry benchmark</t>
  </si>
  <si>
    <t>500T Mechanical Forge Press</t>
  </si>
  <si>
    <t>UK forge shop benchmark, Jun 2026</t>
  </si>
  <si>
    <t>1600T Mechanical Forge Press</t>
  </si>
  <si>
    <t>UK forge shop benchmark (mid-size crank press), Jun 2026</t>
  </si>
  <si>
    <t>2500T Mechanical Forge Press</t>
  </si>
  <si>
    <t>UK forge shop benchmark (automotive crank/con-rod press), Jun 2026</t>
  </si>
  <si>
    <t>4000T Hydraulic Forge Press</t>
  </si>
  <si>
    <t>UK forge shop benchmark (large hydraulic press), Jun 2026</t>
  </si>
  <si>
    <t>8000T Hydraulic Forge Press</t>
  </si>
  <si>
    <t>UK forge shop benchmark (heavy structural/aero press), Jun 2026</t>
  </si>
  <si>
    <t>1000T Screw Press</t>
  </si>
  <si>
    <t>UK forge shop benchmark (screw press — precision/near-net), Jun 2026</t>
  </si>
  <si>
    <t>1000T Horizontal Upsetter</t>
  </si>
  <si>
    <t>UK forge shop benchmark (upset forging — gears, valves, flanges), Jun 2026</t>
  </si>
  <si>
    <t>2T Pneumatic Forge Hammer</t>
  </si>
  <si>
    <t>UK forge shop benchmark (small drop hammer), Jun 2026</t>
  </si>
  <si>
    <t>5T Pneumatic Forge Hammer</t>
  </si>
  <si>
    <t>10T Counterblow Forge Hammer</t>
  </si>
  <si>
    <t>UK forge shop benchmark (heavy counterblow hammer), Jun 2026</t>
  </si>
  <si>
    <t>CNC Seamless Ring Rolling Mill</t>
  </si>
  <si>
    <t>UK forge shop benchmark (radial-axial ring mill), Jun 2026</t>
  </si>
  <si>
    <t>Standard Paint Line (E-coat + Topcoat)</t>
  </si>
  <si>
    <t>UK OEM paint line benchmark, Jun 2026. The £80k energy line is the whole line — gas-fired cure and dry-off ovens plus heated tanks, roughly 580 kW over 3,280 productive hours. Surface-treatment stage energy is therefore ALREADY here and must not be added again on top (see surface-treatment-rate.ts).</t>
  </si>
  <si>
    <t>Barrel Plating Line (zinc, high volume)</t>
  </si>
  <si>
    <t>REPRESENTATIVE — UK barrel zinc line class: tanks, rectifiers, barrels, effluent plant and discharge consent. Rectifier-dominated electrical load, no ovens. Target ~£46/hr. Replace with plant data.</t>
  </si>
  <si>
    <t>Rack Plating / Anodising Line</t>
  </si>
  <si>
    <t>REPRESENTATIVE — UK rack plating and sulphuric anodising class. Higher capital and lower throughput than barrel: parts are jigged individually. Target ~£67/hr. Replace with plant data.</t>
  </si>
  <si>
    <t>Shot Blast Machine (tumble / hanger)</t>
  </si>
  <si>
    <t>REPRESENTATIVE — UK descaling/cleaning cell class: blast wheels, shot recovery and separation, dust extraction. Maintenance is high relative to capital because blades, liners and the separator are consumable wear parts. Replace with plant data.</t>
  </si>
  <si>
    <t>Vibratory / Mass Finishing Bowl</t>
  </si>
  <si>
    <t>REPRESENTATIVE — UK deburr/polish cell class: bowl, media separation, compound dosing, water treatment. Low capital, long cycles; media and compound are the real variable cost and are charged as stage chemistry. Replace with plant data.</t>
  </si>
  <si>
    <t>Hot Dip Galvanising Kettle (batch, EN ISO 1461)</t>
  </si>
  <si>
    <t>REPRESENTATIVE — UK batch galvanising plant class: kettle, furnace, flux and pickle tanks, fume extraction, effluent. Energy dominates because the kettle is held molten continuously whether or not work is passing. The ZINC is NOT in this rate — it is a separate pass-through that scales with surface area, not with kettle time.</t>
  </si>
  <si>
    <t>Vacuum Resin Impregnation Plant (casting porosity)</t>
  </si>
  <si>
    <t>REPRESENTATIVE — UK casting impregnation cell class: vacuum vessel, resin recovery, wash and cure stations. Casting-specific; its value is the pressure-test reject it prevents rather than anything it adds to the part. Replace with plant data.</t>
  </si>
  <si>
    <t>Robot Welding Station</t>
  </si>
  <si>
    <t>UK body shop benchmark, Jun 2026</t>
  </si>
  <si>
    <t>SMT Pick &amp; Place + Reflow Line</t>
  </si>
  <si>
    <t>UK EMS benchmark, Jun 2026</t>
  </si>
  <si>
    <t>High-Speed SMT Line (Fuji/Juki/ASM)</t>
  </si>
  <si>
    <t>High-speed SMT line 80000+ CPH. Automotive EMS benchmark. Target £150/hr. Jun 2026</t>
  </si>
  <si>
    <t>Laser Drill — 75 µm Microvia (CO₂/UV)</t>
  </si>
  <si>
    <t>CO₂/UV laser drill for HDI microvias (≥75 µm). UK PCB fab benchmark. Target £120/hr. Jun 2026</t>
  </si>
  <si>
    <t>X-Ray BGA Inspection Cell (2D/3D AXI)</t>
  </si>
  <si>
    <t>2D/3D automated X-ray inspection for BGA solder joints. EMS automotive benchmark. Target £90/hr. Jun 2026</t>
  </si>
  <si>
    <t>ICT Bed-of-Nails Test System (Automotive)</t>
  </si>
  <si>
    <t>In-circuit test fixture for IATF 16949 automotive boards. Target £110/hr. Jun 2026</t>
  </si>
  <si>
    <t>EBM Blow Moulder (up to 5L)</t>
  </si>
  <si>
    <t>UK plastics benchmark. EBM for bottles/containers up to 5L. Jun 2026</t>
  </si>
  <si>
    <t>EBM Blow Moulder (5–100L tanks/drums)</t>
  </si>
  <si>
    <t>UK plastics benchmark. EBM for large industrial containers, automotive fuel tanks. Jun 2026</t>
  </si>
  <si>
    <t>EBM 2-Head (Bottles 1–5L)</t>
  </si>
  <si>
    <t>UK plastics benchmark Jun 2026. Continuous 2-head EBM for HDPE/LDPE/PP bottles and containers 1–5L. High output, straightforward tooling, typical dairy/detergent packaging.</t>
  </si>
  <si>
    <t>3-Layer Co-Ex EBM</t>
  </si>
  <si>
    <t>UK plastics benchmark Jun 2026. 3-layer co-extrusion EBM — HDPE/regrind/HDPE or HDPE/barrier/HDPE for fuel tanks and barrier packaging. Higher capital and manning than mono-layer.</t>
  </si>
  <si>
    <t>5-Layer Co-Ex EBM (High-Barrier)</t>
  </si>
  <si>
    <t>UK plastics benchmark Jun 2026. 5-layer co-ex EBM — HDPE/tie/EVOH/tie/HDPE for automotive fuel systems, food packaging requiring high oxygen/fuel barrier. Complex, high capital.</t>
  </si>
  <si>
    <t>Large EBM Accumulator Head (20–200L)</t>
  </si>
  <si>
    <t>UK plastics benchmark Jun 2026. Large accumulator-head EBM for drums (20–200L), IBCs, automotive fuel tanks. Long cycle, single cavity, high tonnage clamp.</t>
  </si>
  <si>
    <t>IBM Rotary Machine (Pharma/Cosmetics)</t>
  </si>
  <si>
    <t>UK plastics benchmark Jun 2026. Injection blow moulding rotary — 3/4-station indexing. No flash, dimensional accuracy ±0.05mm. Pharma vials, cosmetics jars, eye-drop bottles. PP/PE/PET.</t>
  </si>
  <si>
    <t>IBM Linear Machine (Medium Volume)</t>
  </si>
  <si>
    <t>UK plastics benchmark Jun 2026. Injection blow moulding linear indexing. Wide-mouth jars, pharmaceutical bottles, narrow-neck containers. No flash. PP/PE.</t>
  </si>
  <si>
    <t>SBM Single-Stage (Preform + Blow)</t>
  </si>
  <si>
    <t>UK plastics benchmark Jun 2026. Single-stage stretch blow moulding — preform injection and stretch-blow in one machine. PET/PP wide-mouth jars, cosmetics, condiment bottles. Excellent clarity.</t>
  </si>
  <si>
    <t>SBM Two-Stage Reheat (High-Speed PET)</t>
  </si>
  <si>
    <t>UK plastics benchmark Jun 2026. Two-stage reheat SBM — preforms made separately, reheated and blown at 20,000–80,000 bph. Dominant for PET water/CSD/juice bottles. Very low per-part cost at volume.</t>
  </si>
  <si>
    <t>Deflash Trim Robot / Station</t>
  </si>
  <si>
    <t>UK plastics benchmark Jun 2026. Automated deflash trim station / robot for EBM parts. Removes pinch-off flash from bottles, tanks, automotive parts. 6–15s per part cycle.</t>
  </si>
  <si>
    <t>Single Screw Extruder 75mm</t>
  </si>
  <si>
    <t>UK plastics benchmark. 75mm SSE for profile/pipe/sheet. ~200–400 kg/hr. Jun 2026</t>
  </si>
  <si>
    <t>Twin Screw Compounding/Extrusion Line 150mm</t>
  </si>
  <si>
    <t>UK plastics benchmark. 150mm TSE compounding/extrusion line. ~800–1500 kg/hr. Jun 2026</t>
  </si>
  <si>
    <t>Pipe Extrusion Line 90mm (SSE + vacuum tank + haul-off + saw)</t>
  </si>
  <si>
    <t>UK plastics benchmark 2026-07. 90mm SSE pipe line — die, vacuum-sizing tank, spray cooling, caterpillar haul-off, planetary saw. PE/PVC pressure &amp; drainage pipe.</t>
  </si>
  <si>
    <t>Profile Extrusion Line 75mm (SSE + calibration table + haul-off)</t>
  </si>
  <si>
    <t>UK plastics benchmark 2026-07. 75mm SSE profile line — dry/vacuum calibration table, cooling, haul-off, cut-off. Window/trim/seal profiles.</t>
  </si>
  <si>
    <t>Sheet Extrusion Line (die + 3-roll stack + winder)</t>
  </si>
  <si>
    <t>UK plastics benchmark 2026-07. Sheet line — coat-hanger die, polished 3-roll calender stack, edge-trim, thickness gauging, winder/guillotine. PS/PP/PET/ABS sheet.</t>
  </si>
  <si>
    <t>Cable/Wire Line (crosshead + CV/cooling + capstan)</t>
  </si>
  <si>
    <t>UK cable benchmark 2026-07. Crosshead wire/cable coating line — pay-off, crosshead die, cooling trough or CV, spark test, capstan, take-up. PVC/XLPE insulation &amp; sheathing.</t>
  </si>
  <si>
    <t>3-Layer Co-Extrusion Line (3 extruders + feed block/manifold die)</t>
  </si>
  <si>
    <t>UK plastics benchmark 2026-07. 3-extruder co-extrusion line — feed-block/multi-manifold die for skin/tie/barrier layers. Barrier pipe, weatherseals, packaging sheet.</t>
  </si>
  <si>
    <t>Medical Micro-Tubing Line (precision + laser gauge + cleanroom-ready)</t>
  </si>
  <si>
    <t>UK medical-extrusion benchmark 2026-07. Precision micro-tubing/multi-lumen line — vacuum sizing, laser OD/ID gauging, precision haul-off, cut-to-length. Catheter/medical tube.</t>
  </si>
  <si>
    <t>Cut-off, Coil &amp; Inspection Station</t>
  </si>
  <si>
    <t>UK benchmark 2026-07. Downstream cut/coil + dimensional inspection station for extruded product (mostly labour).</t>
  </si>
  <si>
    <t>Pipe/Tube Pressure &amp; Leak Test Rig</t>
  </si>
  <si>
    <t>UK benchmark 2026-07. Hydrostatic/air pressure &amp; leak test rig for pipe, hose and tubing.</t>
  </si>
  <si>
    <t>Thermoformer (Small/Single Station)</t>
  </si>
  <si>
    <t>UK plastics benchmark. Single-station vacuum former, up to 800×600mm sheet. Jun 2026</t>
  </si>
  <si>
    <t>Thermoformer (Inline/Rotary, Large)</t>
  </si>
  <si>
    <t>UK plastics benchmark. Inline rotary thermoformer, 1200×1000mm+ sheet. Jun 2026</t>
  </si>
  <si>
    <t>Pressure Former (3–6 bar, cut-sheet)</t>
  </si>
  <si>
    <t>UK plastics benchmark 2026-07. Cut-sheet pressure former — compressed-air box (3–6 bar) for crisp detail/texture (appliance fascias, medical). Higher energy + steel/CNC-Al tool.</t>
  </si>
  <si>
    <t>Twin-Sheet Thermoformer</t>
  </si>
  <si>
    <t>UK plastics benchmark 2026-07. Twin-sheet former — two heated webs blow-bonded into a hollow part (fuel tanks, pallets, ducts, seat backs). Two ovens, two-half tooling.</t>
  </si>
  <si>
    <t>Roll-Fed Inline Thermoformer (packaging)</t>
  </si>
  <si>
    <t>UK packaging benchmark 2026-07. High-speed roll-fed former-filler line — cups/trays/blister from reel; form-cut-stack at 20–40 cycles/min. Highest throughput, lowest £/part at volume.</t>
  </si>
  <si>
    <t>Standalone Sheet Pre-Heat Oven</t>
  </si>
  <si>
    <t>UK plastics benchmark 2026-07. Standalone radiant/convection sheet oven — pre-heat for heavy-gauge/twin-station forming. Energy-dominated (quartz/ceramic emitters).</t>
  </si>
  <si>
    <t>CNC Trim Router / Trim Robot (5-axis)</t>
  </si>
  <si>
    <t>UK plastics benchmark 2026-07. 5-axis CNC router / trim robot — finishes heavy-gauge formed parts; no part-specific trim die (offsets tool cost vs steel-rule).</t>
  </si>
  <si>
    <t>Biaxial Rotational Moulder (3-arm carousel)</t>
  </si>
  <si>
    <t>UK plastics benchmark. 3-arm biaxial carousel. Large tanks/playground equip. Jun 2026</t>
  </si>
  <si>
    <t>Single-Arm Rotational Moulder (small/lab)</t>
  </si>
  <si>
    <t>UK plastics benchmark. Single-arm / lab roto — small tanks, prototyping, low volume. Jun 2026</t>
  </si>
  <si>
    <t>Shuttle Rotational Moulder (1–2 station)</t>
  </si>
  <si>
    <t>UK plastics benchmark. Shuttle roto — mid volume, large/awkward parts, flexible tool changes. Jun 2026</t>
  </si>
  <si>
    <t>Rock-and-Roll Rotational Moulder</t>
  </si>
  <si>
    <t>UK plastics benchmark. Rock-and-roll — long narrow parts (kayaks, ducts, pontoons); minor-axis rock + major-axis roll. Jun 2026</t>
  </si>
  <si>
    <t>4-Arm Fixed Carousel Rotational Moulder</t>
  </si>
  <si>
    <t>UK plastics benchmark. 4-arm fixed-carousel — high-volume independent-arm production, best oven utilisation. Jun 2026</t>
  </si>
  <si>
    <t>Ultrasonic Welder</t>
  </si>
  <si>
    <t>UK plastics assembly benchmark. 3kW+ ultrasonic welder, small–medium plastic parts. Jun 2026</t>
  </si>
  <si>
    <t>Hot Plate Welder</t>
  </si>
  <si>
    <t>UK plastics assembly benchmark. Hot plate welding for tanks and manifolds. Jun 2026</t>
  </si>
  <si>
    <t>Vibration Welder</t>
  </si>
  <si>
    <t>UK plastics assembly benchmark. Vibration welding, large flat interfaces (automotive ducts). Jun 2026</t>
  </si>
  <si>
    <t>Trumpf TruLaser 3030 (6kW Fiber)</t>
  </si>
  <si>
    <t>Trumpf TruLaser 3030, 6kW fiber, 3000×1500 bed. UK fab shop benchmark. Target £85/hr. Jun 2026</t>
  </si>
  <si>
    <t>Bystronic BySmart 3015 (4kW Fiber)</t>
  </si>
  <si>
    <t>Bystronic BySmart 3015, 4kW fiber, 3000×1500 bed. UK fab shop benchmark. Target £70/hr. Jun 2026</t>
  </si>
  <si>
    <t>Amada EMZ 3610 Turret Punch (30T)</t>
  </si>
  <si>
    <t>Amada EMZ 3610, 30T, 58-tool capacity. UK fab shop benchmark. Target £65/hr. Jun 2026</t>
  </si>
  <si>
    <t>Trumpf TruPunch 5000 (30T)</t>
  </si>
  <si>
    <t>Trumpf TruPunch 5000, 30T, 72-tool capacity. UK fab shop benchmark. Target £75/hr. Jun 2026</t>
  </si>
  <si>
    <t>Amada HFE 100T Press Brake (3m)</t>
  </si>
  <si>
    <t>Amada HFE3i 100T, 3000mm. UK fab shop benchmark. Target £55/hr. Jun 2026</t>
  </si>
  <si>
    <t>Trumpf TruBend 5230 (230T)</t>
  </si>
  <si>
    <t>Trumpf TruBend 5230, 230T, 3230mm. UK fab shop benchmark. Target £70/hr. Jun 2026</t>
  </si>
  <si>
    <t>Schuler 400T Stamping Press</t>
  </si>
  <si>
    <t>Schuler 400T mechanical stamping press. UK automotive press shop. Target £150/hr. Jun 2026</t>
  </si>
  <si>
    <t>AIDA 200T Stamping Press</t>
  </si>
  <si>
    <t>AIDA 200T servo stamping press. UK press shop benchmark. Target £120/hr. Jun 2026</t>
  </si>
  <si>
    <t>Dimeco Roll Forming Line (20 stations)</t>
  </si>
  <si>
    <t>Dimeco 20-station roll forming line. UK fabricator. Target £110/hr. Jun 2026</t>
  </si>
  <si>
    <t>KUKA Spot Welding Robot Cell</t>
  </si>
  <si>
    <t>KUKA robot spot weld cell. UK automotive body shop. Target £90/hr. Jun 2026</t>
  </si>
  <si>
    <t>Manual MIG/MAG Welder Station</t>
  </si>
  <si>
    <t>Manual MIG/MAG station. Machine rate low — cost dominated by operator labour. UK fab shop. Jun 2026</t>
  </si>
  <si>
    <t>Manual TIG Welder Station</t>
  </si>
  <si>
    <t>Manual TIG station. Machine rate low — cost dominated by skilled operator labour. UK fab shop. Jun 2026</t>
  </si>
  <si>
    <t>Trumpf TruLaser 5030 (10kW Fiber)</t>
  </si>
  <si>
    <t>UK fab shop benchmark Jun 2026. Trumpf TruLaser 5030, 10kW fiber, 3000×1500 bed. High-speed cutting of thick plate (25mm mild steel, 15mm SS). Dynamic beam shaping BrightLine.</t>
  </si>
  <si>
    <t>Amada ENSIS 3015 AJ (3kW Fiber)</t>
  </si>
  <si>
    <t>UK fab shop benchmark Jun 2026. Amada ENSIS 3015 AJ, 3kW variable-beam fiber, 3000×1500 bed. Intelligent beam control — cuts thin to thick sheet without mode change.</t>
  </si>
  <si>
    <t>Hypertherm XPR300 Plasma Table</t>
  </si>
  <si>
    <t>UK fab shop benchmark Jun 2026. Hypertherm XPR300 plasma — 300A, cuts up to 80mm mild steel. Plasma table for structural steel, heavy plate, general fabrication. Better edge quality than HiFocus for thick plate.</t>
  </si>
  <si>
    <t>Kjellberg HiFocus 280i Plasma Table</t>
  </si>
  <si>
    <t>UK fab shop benchmark Jun 2026. Kjellberg HiFocus 280i — 280A HD plasma for precision cutting up to 50mm. Better edge perpendicularity than standard plasma.</t>
  </si>
  <si>
    <t>Flow Mach 500 Waterjet (60K psi)</t>
  </si>
  <si>
    <t>UK fab shop benchmark Jun 2026. Flow Mach 500, 4000×2000 bed, 60,000 psi. Cuts steel, Al, SS, titanium, glass, ceramic. No HAZ — ideal for hardened/heat-sensitive materials.</t>
  </si>
  <si>
    <t>Omax 80X Waterjet (60K psi)</t>
  </si>
  <si>
    <t>UK fab shop benchmark Jun 2026. Omax 80X, 2286×2286 bed, 60,000 psi. Versatile shop waterjet — metal, glass, stone, composites. Intelli-MAX software with optimised path generation.</t>
  </si>
  <si>
    <t>Hydraulic Guillotine Shear (3m × 6mm)</t>
  </si>
  <si>
    <t>UK fab shop benchmark Jun 2026. Hydraulic guillotine shear, 3000mm × 6mm mild steel capacity. Straight-line blanking. Very low cycle cost — ideal for simple rectangular blanks.</t>
  </si>
  <si>
    <t>Hydraulic Shear Heavy Duty (4m × 6mm)</t>
  </si>
  <si>
    <t>UK fab shop benchmark Jun 2026. Heavy-duty hydraulic shear, 4000mm × 6mm (12mm MS). For heavy plate blanking and structural steel service centres.</t>
  </si>
  <si>
    <t>Amada HFE3i 170T Press Brake (4m)</t>
  </si>
  <si>
    <t>UK fab shop benchmark Jun 2026. Amada HFE3i 170T, 4000mm. Larger brake for heavier plate forming and longer parts. ATC (Auto Tool Changer) option available.</t>
  </si>
  <si>
    <t>Trumpf TruBend 3100 (100T)</t>
  </si>
  <si>
    <t>UK fab shop benchmark Jun 2026. Trumpf TruBend 3100, 100T, 3000mm. CNC press brake with BendGuard safety and TASC adaptive bending for high angle accuracy.</t>
  </si>
  <si>
    <t>LVD PPEB 135T/30 Press Brake</t>
  </si>
  <si>
    <t>UK fab shop benchmark Jun 2026. LVD PPEB 135T/30, 3000mm. Electro-hydraulic CNC brake with Touch-B offline programming and angle measurement system.</t>
  </si>
  <si>
    <t>Pedestal Spot Welding Machine</t>
  </si>
  <si>
    <t>UK fab shop benchmark Jun 2026. Pedestal spot welder, 100kVA, programmable pressure/time/current. Manual C-gun also available. For body panel tack welding and structural joins.</t>
  </si>
  <si>
    <t>Robotic MIG/MAG Welding Cell</t>
  </si>
  <si>
    <t>UK fab shop benchmark Jun 2026. 6-axis robot MIG cell (Fanuc/KUKA), dual-station fixture, arc-sensing seam tracking. Deposition speed 0.5–1.2 m/min. For high-volume structural welding.</t>
  </si>
  <si>
    <t>Compression Moulding Press 250T</t>
  </si>
  <si>
    <t>UK rubber moulding benchmark Jun 2026. 250T compression press — EPDM/NR/NBR gaskets, mounts.</t>
  </si>
  <si>
    <t>Transfer Moulding Press 200T</t>
  </si>
  <si>
    <t>UK rubber moulding benchmark Jun 2026. 200T transfer press — bonded rubber-metal parts, complex geometry.</t>
  </si>
  <si>
    <t>LSR Injection Moulding Machine</t>
  </si>
  <si>
    <t>UK silicone moulding benchmark Jun 2026. Liquid silicone rubber injection (Engel/Arburg/Sumitomo). Medical/auto seals.</t>
  </si>
  <si>
    <t>Rubber Cure / Vulcanisation Oven</t>
  </si>
  <si>
    <t>UK rubber benchmark Jun 2026. Salt-bath or hot-air oven for EPDM/NBR extrusion vulcanisation.</t>
  </si>
  <si>
    <t>Rubber Extruder 60mm (Cold-feed)</t>
  </si>
  <si>
    <t>UK rubber benchmark Jun 2026. 60mm cold-feed rubber extruder — EPDM seals, hose profiles.</t>
  </si>
  <si>
    <t>Hydraulic Die-Cutting Press 20T</t>
  </si>
  <si>
    <t>UK rubber benchmark Jun 2026. 20T hydraulic die-cutting press — flat gaskets, seals, strips. Blanks pre-vulcanised EPDM/SBR/NBR/CR sheet at high throughput.</t>
  </si>
  <si>
    <t>Production Autoclave 1200mm dia</t>
  </si>
  <si>
    <t>UK composites benchmark Jun 2026. 1200mm × 3000mm production autoclave. CFRP aerospace/auto structures.</t>
  </si>
  <si>
    <t>Composite Cure Oven (Fan-Assisted)</t>
  </si>
  <si>
    <t>UK composites benchmark Jun 2026. Fan-assisted oven cure — prepreg (no autoclave pressure), wet layup post-cure.</t>
  </si>
  <si>
    <t>RTM / VARTM Injection Press</t>
  </si>
  <si>
    <t>UK composites benchmark Jun 2026. Resin Transfer Moulding injection press. Structural automotive CFRP/GFRP.</t>
  </si>
  <si>
    <t>5-Axis Waterjet Trim System</t>
  </si>
  <si>
    <t>UK composites benchmark Jun 2026. 5-axis waterjet trim/drill for CFRP panels. 380 MPa, 0.4mm orifice.</t>
  </si>
  <si>
    <t>AFP/ATL Composite Cell</t>
  </si>
  <si>
    <t>Automated Fibre/Tape Placement cell. Rate includes robot, gantry, head, NC software, maintenance. Setup: 4.0 hr. UK composites benchmark Jun 2026.</t>
  </si>
  <si>
    <t>Electrical Harness Test System (Continuity + HiPot)</t>
  </si>
  <si>
    <t>UK harness benchmark Jun 2026. Automated electrical test: continuity, insulation resistance, HiPot. IATF-compliant.</t>
  </si>
  <si>
    <t>VMC 3-axis CNC (China)</t>
  </si>
  <si>
    <t>CN</t>
  </si>
  <si>
    <t>China CNC machining benchmark. 3-axis VMC, Jiangsu/Guangdong region. Jun 2026</t>
  </si>
  <si>
    <t>VMC 3-axis CNC (India)</t>
  </si>
  <si>
    <t>IN</t>
  </si>
  <si>
    <t>India CNC machining benchmark. Pune/Chennai corridor. Jun 2026</t>
  </si>
  <si>
    <t>VMC 3-axis CNC (Germany)</t>
  </si>
  <si>
    <t>DE</t>
  </si>
  <si>
    <t>Germany precision machining benchmark. Baden-Württemberg. Jun 2026</t>
  </si>
  <si>
    <t>VMC 3-axis CNC (Poland)</t>
  </si>
  <si>
    <t>PL</t>
  </si>
  <si>
    <t>Poland CNC machining benchmark. Silesia/Lower Silesia. Jun 2026</t>
  </si>
  <si>
    <t>VMC 3-axis CNC (Mexico)</t>
  </si>
  <si>
    <t>MX</t>
  </si>
  <si>
    <t>Mexico CNC machining benchmark. Monterrey/Guanajuato. Jun 2026</t>
  </si>
  <si>
    <t>Injection Moulding 200T (China)</t>
  </si>
  <si>
    <t>China injection moulding benchmark. Taizhou/Guangdong plastics belt. Jun 2026</t>
  </si>
  <si>
    <t>Injection Moulding 200T (India)</t>
  </si>
  <si>
    <t>India injection moulding benchmark. Pune/Rajkot plastics cluster. Jun 2026</t>
  </si>
  <si>
    <t>Injection Moulding 200T (Germany)</t>
  </si>
  <si>
    <t>Germany injection moulding benchmark. Jun 2026</t>
  </si>
  <si>
    <t>Injection Moulding 200T (Poland)</t>
  </si>
  <si>
    <t>Poland injection moulding benchmark. Jun 2026</t>
  </si>
  <si>
    <t>Injection Moulding 200T (Mexico)</t>
  </si>
  <si>
    <t>Mexico injection moulding benchmark. Monterrey/Saltillo. Jun 2026</t>
  </si>
  <si>
    <t>HPDC 500T (China)</t>
  </si>
  <si>
    <t>China HPDC foundry benchmark. ADC12 Al alloy. Guangdong/Jiangsu. Jun 2026</t>
  </si>
  <si>
    <t>HPDC 500T (India)</t>
  </si>
  <si>
    <t>India HPDC foundry benchmark. Rajkot/Pune auto cluster. Jun 2026</t>
  </si>
  <si>
    <t>HPDC 500T (Mexico)</t>
  </si>
  <si>
    <t>Mexico HPDC benchmark. Monterrey auto zone. Jun 2026</t>
  </si>
  <si>
    <t>Stamping Press 400T (China)</t>
  </si>
  <si>
    <t>China press shop benchmark. Wuhan/Shanghai auto stamping. Jun 2026</t>
  </si>
  <si>
    <t>Stamping Press 400T (India)</t>
  </si>
  <si>
    <t>India press shop benchmark. Pune/NCR auto cluster. Jun 2026</t>
  </si>
  <si>
    <t>Stamping Press 400T (Poland)</t>
  </si>
  <si>
    <t>Poland stamping press benchmark. Silesia auto suppliers. Jun 2026</t>
  </si>
  <si>
    <t>Stamping Press 400T (Mexico)</t>
  </si>
  <si>
    <t>Mexico stamping benchmark. Saltillo auto corridor. Jun 2026</t>
  </si>
  <si>
    <t>Manual Assembly Bench (China)</t>
  </si>
  <si>
    <t>China assembly benchmark. Shenzhen/Suzhou. Harness, PCBA, BIW subassembly. Jun 2026</t>
  </si>
  <si>
    <t>Manual Assembly Bench (India)</t>
  </si>
  <si>
    <t>India assembly benchmark. Pune/Nashik auto corridor. Jun 2026</t>
  </si>
  <si>
    <t>Manual Assembly Bench (Mexico)</t>
  </si>
  <si>
    <t>Mexico assembly benchmark. Juárez/Monterrey maquiladora. Jun 2026</t>
  </si>
  <si>
    <t>Manual Assembly Bench (Vietnam)</t>
  </si>
  <si>
    <t>VN</t>
  </si>
  <si>
    <t>Vietnam assembly benchmark. Ho Chi Minh City / Hanoi. Wiring harness. Jun 2026</t>
  </si>
  <si>
    <t>Manual Assembly Bench (Poland)</t>
  </si>
  <si>
    <t>Poland assembly benchmark. Łódź/Wrocław. Harness, electronics. Jun 2026</t>
  </si>
  <si>
    <t>skillLevel</t>
  </si>
  <si>
    <t>from JLR Labour</t>
  </si>
  <si>
    <t>from JLR Machines</t>
  </si>
  <si>
    <t>rate used</t>
  </si>
  <si>
    <t>Skilled Machinist</t>
  </si>
  <si>
    <t>High</t>
  </si>
  <si>
    <t>UK AMT wage survey Jun 2026, incl. NI + benefits | Refresh 2026-09: local wages +0.72% (ONS AWE manufacturing regular pay May–Jul 2026 +2.9% y/y, one quarter)</t>
  </si>
  <si>
    <t>Semi-skilled Operator</t>
  </si>
  <si>
    <t>Process Engineer</t>
  </si>
  <si>
    <t>UK engineering salary benchmark Jun 2026 | Refresh 2026-09: local wages +0.72% (ONS AWE manufacturing regular pay May–Jul 2026 +2.9% y/y, one quarter)</t>
  </si>
  <si>
    <t>India</t>
  </si>
  <si>
    <t>India manufacturing wage benchmark Jun 2026 | Refresh 2026-09: local wages +2.30% (EY Future of Pay 2026: manufacturing/automotive increments 9.5%, one quarter); INR 125.2→127.2 per £</t>
  </si>
  <si>
    <t>China</t>
  </si>
  <si>
    <t>China manufacturing wage benchmark Jun 2026 | Refresh 2026-09: local wages +0.98% (2026 salary budget ~4.0% (china-briefing survey), one quarter); CNY 8.989→8.88 per £</t>
  </si>
  <si>
    <t>Foundry Operative</t>
  </si>
  <si>
    <t>UK foundry/casting operator wage survey Jun 2026, incl. NI + benefits | Refresh 2026-09: local wages +0.72% (ONS AWE manufacturing regular pay May–Jul 2026 +2.9% y/y, one quarter)</t>
  </si>
  <si>
    <t>CMM / Quality Inspector</t>
  </si>
  <si>
    <t>UK quality/inspection wage benchmark Jun 2026, incl. NI + benefits | Refresh 2026-09: local wages +0.72% (ONS AWE manufacturing regular pay May–Jul 2026 +2.9% y/y, one quarter)</t>
  </si>
  <si>
    <t>Maintenance / Mould-Setter Technician</t>
  </si>
  <si>
    <t>UK process/maintenance technician benchmark Jun 2026, incl. NI + benefits | Refresh 2026-09: local wages +0.72% (ONS AWE manufacturing regular pay May–Jul 2026 +2.9% y/y, one quarter)</t>
  </si>
  <si>
    <t>Shift / Production Supervisor</t>
  </si>
  <si>
    <t>UK production supervisor benchmark Jun 2026, incl. NI + benefits | Refresh 2026-09: local wages +0.72% (ONS AWE manufacturing regular pay May–Jul 2026 +2.9% y/y, one quarter)</t>
  </si>
  <si>
    <t>Forge Operator / Hammer-man</t>
  </si>
  <si>
    <t>UK drop-forge operator wage benchmark Jun 2026, incl. NI + benefits + hot-work allowance | Refresh 2026-09: local wages +0.72% (ONS AWE manufacturing regular pay May–Jul 2026 +2.9% y/y, one quarter)</t>
  </si>
  <si>
    <t>Furnace / Heat Operator</t>
  </si>
  <si>
    <t>UK furnace/induction heat operator wage benchmark Jun 2026, incl. NI + benefits | Refresh 2026-09: local wages +0.72% (ONS AWE manufacturing regular pay May–Jul 2026 +2.9% y/y, one quarter)</t>
  </si>
  <si>
    <t>Blow Moulding Operator</t>
  </si>
  <si>
    <t>UK blow-moulding machine operator wage benchmark Jun 2026, incl. NI + benefits | Refresh 2026-09: local wages +0.72% (ONS AWE manufacturing regular pay May–Jul 2026 +2.9% y/y, one quarter)</t>
  </si>
  <si>
    <t>Rotational Moulding Operator</t>
  </si>
  <si>
    <t>UK roto-moulding operator wage benchmark Jun 2026, incl. NI + benefits (hot demould/charge) | Refresh 2026-09: local wages +0.72% (ONS AWE manufacturing regular pay May–Jul 2026 +2.9% y/y, one quarter)</t>
  </si>
  <si>
    <t>Thermoforming Operator</t>
  </si>
  <si>
    <t>UK thermoforming machine operator wage benchmark Jun 2026, incl. NI + benefits (sheet load, form, unload) | Refresh 2026-09: local wages +0.72% (ONS AWE manufacturing regular pay May–Jul 2026 +2.9% y/y, one quarter)</t>
  </si>
  <si>
    <t>CNC Trim / Router Operator</t>
  </si>
  <si>
    <t>UK CNC router / trim-cell operator wage benchmark Jun 2026, incl. NI + benefits (programmes/jigs formed parts) | Refresh 2026-09: local wages +0.72% (ONS AWE manufacturing regular pay May–Jul 2026 +2.9% y/y, one quarter)</t>
  </si>
  <si>
    <t>Germany</t>
  </si>
  <si>
    <t>Germany IG Metall wage survey Jun 2026, incl. social costs | Refresh 2026-09: local wages +1.01% (Destatis nominal wages Q2 2026 +4.1% y/y, one quarter); EUR 1.161→1.165 per £</t>
  </si>
  <si>
    <t>Poland</t>
  </si>
  <si>
    <t>Poland manufacturing wage benchmark Jun 2026, incl. social costs | Refresh 2026-09: local wages +1.44% (GUS enterprise-sector wages Aug 2026 +5.9% y/y, one quarter); PLN 4.98→5.096 per £</t>
  </si>
  <si>
    <t>Mexico</t>
  </si>
  <si>
    <t>Mexico manufacturing wage benchmark Jun 2026 (IMSS included) | Refresh 2026-09: local wages +1.44% (IMSS average registered wage +5.9% y/y (Jul 2026), one quarter); MXN 23.15→23.84 per £</t>
  </si>
  <si>
    <t>SMT / Electronics Operator</t>
  </si>
  <si>
    <t>UK EMS operator wage benchmark Jun 2026, incl. NI + benefits | Refresh 2026-09: local wages +0.72% (ONS AWE manufacturing regular pay May–Jul 2026 +2.9% y/y, one quarter)</t>
  </si>
  <si>
    <t>Germany IG Metall Lohngruppe 3 Jun 2026, incl. social costs | Refresh 2026-09: local wages +1.01% (Destatis nominal wages Q2 2026 +4.1% y/y, one quarter); EUR 1.161→1.165 per £</t>
  </si>
  <si>
    <t>Germany foundry Tarifvertrag Jun 2026, incl. social costs | Refresh 2026-09: local wages +1.01% (Destatis nominal wages Q2 2026 +4.1% y/y, one quarter); EUR 1.161→1.165 per £</t>
  </si>
  <si>
    <t>Germany EMS operator benchmark Jun 2026, incl. social costs | Refresh 2026-09: local wages +1.01% (Destatis nominal wages Q2 2026 +4.1% y/y, one quarter); EUR 1.161→1.165 per £</t>
  </si>
  <si>
    <t>Germany engineering salary benchmark Jun 2026, incl. social costs | Refresh 2026-09: local wages +1.01% (Destatis nominal wages Q2 2026 +4.1% y/y, one quarter); EUR 1.161→1.165 per £</t>
  </si>
  <si>
    <t>Poland EMS sector benchmark Jun 2026, incl. social costs | Refresh 2026-09: local wages +1.44% (GUS enterprise-sector wages Aug 2026 +5.9% y/y, one quarter); PLN 4.98→5.096 per £</t>
  </si>
  <si>
    <t>Poland foundry wage benchmark Jun 2026, incl. social costs | Refresh 2026-09: local wages +1.44% (GUS enterprise-sector wages Aug 2026 +5.9% y/y, one quarter); PLN 4.98→5.096 per £</t>
  </si>
  <si>
    <t>China Pearl/Yangtze delta manufacturing wage benchmark Jun 2026 | Refresh 2026-09: local wages +0.98% (2026 salary budget ~4.0% (china-briefing survey), one quarter); CNY 8.989→8.88 per £</t>
  </si>
  <si>
    <t>China EMS operator benchmark Jun 2026 (Shenzhen/Suzhou) | Refresh 2026-09: local wages +0.98% (2026 salary budget ~4.0% (china-briefing survey), one quarter); CNY 8.989→8.88 per £</t>
  </si>
  <si>
    <t>China manufacturing engineer salary benchmark Jun 2026 | Refresh 2026-09: local wages +0.98% (2026 salary budget ~4.0% (china-briefing survey), one quarter); CNY 8.989→8.88 per £</t>
  </si>
  <si>
    <t>India manufacturing wage benchmark Jun 2026 (Pune/Chennai) | Refresh 2026-09: local wages +2.30% (EY Future of Pay 2026: manufacturing/automotive increments 9.5%, one quarter); INR 125.2→127.2 per £</t>
  </si>
  <si>
    <t>India EMS operator benchmark Jun 2026 (Bangalore/Chennai) | Refresh 2026-09: local wages +2.30% (EY Future of Pay 2026: manufacturing/automotive increments 9.5%, one quarter); INR 125.2→127.2 per £</t>
  </si>
  <si>
    <t>India manufacturing engineer salary benchmark Jun 2026 | Refresh 2026-09: local wages +2.30% (EY Future of Pay 2026: manufacturing/automotive increments 9.5%, one quarter); INR 125.2→127.2 per £</t>
  </si>
  <si>
    <t>Mexico manufacturing wage benchmark Jun 2026 (Monterrey/Juárez, IMSS included) | Refresh 2026-09: local wages +1.44% (IMSS average registered wage +5.9% y/y (Jul 2026), one quarter); MXN 23.15→23.84 per £</t>
  </si>
  <si>
    <t>Mexico EMS operator benchmark Jun 2026 (Juárez/Tijuana, IMSS included) | Refresh 2026-09: local wages +1.44% (IMSS average registered wage +5.9% y/y (Jul 2026), one quarter); MXN 23.15→23.84 per £</t>
  </si>
  <si>
    <t>Turkey</t>
  </si>
  <si>
    <t>Turkey manufacturing wage benchmark Jun 2026 (Bursa/İzmir, SGK included) | Refresh 2026-09: local wages +7.00% (TurkStat gross wages in manufacturing index Q1→Q2 2026 +7.0% q/q, carried into Q3); TRY 61.74→64.86 per £</t>
  </si>
  <si>
    <t>Turkey manufacturing wage benchmark Jun 2026 (SGK included) | Refresh 2026-09: local wages +7.00% (TurkStat gross wages in manufacturing index Q1→Q2 2026 +7.0% q/q, carried into Q3); TRY 61.74→64.86 per £</t>
  </si>
  <si>
    <t>Vietnam</t>
  </si>
  <si>
    <t>Vietnam manufacturing wage benchmark Jun 2026 (Ho Chi Minh / Hanoi) | Refresh 2026-09: local wages +1.73% (2026 projected wage increase 7.1%, one quarter); VND 34814→34350 per £</t>
  </si>
  <si>
    <t>Vietnam manufacturing wage benchmark Jun 2026 | Refresh 2026-09: local wages +1.73% (2026 projected wage increase 7.1%, one quarter); VND 34814→34350 per £</t>
  </si>
  <si>
    <t>South Korea</t>
  </si>
  <si>
    <t>Korea manufacturing wage benchmark Jun 2026 (Ulsan/Busan, incl. health + pension) | Refresh 2026-09: local wages +1.44% (MoEL manufacturing wages H1 2026 +5.9% y/y, one quarter); KRW 2049.5→1798 per £</t>
  </si>
  <si>
    <t>Korea EMS operator benchmark Jun 2026 (Suwon/Gumi) | Refresh 2026-09: local wages +1.44% (MoEL manufacturing wages H1 2026 +5.9% y/y, one quarter); KRW 2049.5→1798 per £</t>
  </si>
  <si>
    <t>Romania</t>
  </si>
  <si>
    <t>Romania manufacturing wage benchmark Jun 2026 (Cluj/Timișoara, CAS included) | Refresh 2026-09: local wages +0.45% (Eurostat hourly wage cost Q2 2026 +1.8% y/y, one quarter); RON 6.086→6.151 per £</t>
  </si>
  <si>
    <t>Romania manufacturing wage benchmark Jun 2026 (CAS included) | Refresh 2026-09: local wages +0.45% (Eurostat hourly wage cost Q2 2026 +1.8% y/y, one quarter); RON 6.086→6.151 per £</t>
  </si>
  <si>
    <t>electricityPerKwh</t>
  </si>
  <si>
    <t>gasPerKwh</t>
  </si>
  <si>
    <t>energy-uk</t>
  </si>
  <si>
    <t>Electricity: Ofgem industrial tariff Q1 2026. Gas CORRECTED 2026-08: DESNZ  | Refresh 2026-09: UK: previous tariff + wholesale change passed through — baseload power £114.5→£152.55/MWh (+3.8p/kWh), NBP gas ~104→182.25 p/therm (+2.67p/kWh), Jun→24 Sep 2026 (Prestige Business Solutions market reports)Quarterly Energy Prices puts manufacturing-sector gas at 3.5-3.7 p/kWh; the previous 6.5 p was a non-industrial figure and over-stated every gas-fired furnace.</t>
  </si>
  <si>
    <t>energy-eu</t>
  </si>
  <si>
    <t>EU</t>
  </si>
  <si>
    <t>Eurostat industrial energy Q1 2026 | Refresh 2026-09: EU average: local tariff held at EUR FX move; gas + TTF move passed through</t>
  </si>
  <si>
    <t>energy-de</t>
  </si>
  <si>
    <t>Bundesnetzagentur industrial tariff Q1 2026 | Refresh 2026-09: local tariff held, converted at EUR 1.161→1.165 per £; gas + Dutch TTF move €48.5→€72.9/MWh Jun→23 Sep 2026 (gmk.center, tradingpedia) passed through; EU power has no sourced Sep average — held</t>
  </si>
  <si>
    <t>energy-pl</t>
  </si>
  <si>
    <t>URE Poland industrial energy Q1 2026 | Refresh 2026-09: local tariff held, converted at PLN 4.98→5.096 per £; gas + Dutch TTF move €48.5→€72.9/MWh Jun→23 Sep 2026 (gmk.center, tradingpedia) passed through; EU power has no sourced Sep average — held</t>
  </si>
  <si>
    <t>energy-cn</t>
  </si>
  <si>
    <t>NDRC China industrial electricity benchmark Jun 2026 | Refresh 2026-09: local tariff held, converted at CNY 8.989→8.88 per £</t>
  </si>
  <si>
    <t>energy-in</t>
  </si>
  <si>
    <t>India industrial electricity benchmark Jun 2026 (MSEDCL/TNEB avg) | Refresh 2026-09: local tariff held, converted at INR 125.2→127.2 per £</t>
  </si>
  <si>
    <t>energy-mx</t>
  </si>
  <si>
    <t>CFE Mexico industrial tariff Jun 2026 | Refresh 2026-09: local tariff held, converted at MXN 23.15→23.84 per £</t>
  </si>
  <si>
    <t>energy-tr</t>
  </si>
  <si>
    <t>EPDK Turkey industrial tariff Jun 2026 | Refresh 2026-09: local tariff held, converted at TRY 61.74→64.86 per £; regulated tariff unchanged in Q3 2026 (ERC Ft, EVN, KEPCO, EPDK)</t>
  </si>
  <si>
    <t>energy-kr</t>
  </si>
  <si>
    <t>KEPCO Korea industrial tariff Jun 2026 | Refresh 2026-09: local tariff held, converted at KRW 2050→1798 per £; regulated tariff unchanged in Q3 2026 (ERC Ft, EVN, KEPCO, EPDK)</t>
  </si>
  <si>
    <t>energy-vn</t>
  </si>
  <si>
    <t>EVN Vietnam industrial electricity benchmark Jun 2026 | Refresh 2026-09: local tariff held, converted at VND 3.481e+04→3.435e+04 per £; regulated tariff unchanged in Q3 2026 (ERC Ft, EVN, KEPCO, EPDK)</t>
  </si>
  <si>
    <t>energy-ro</t>
  </si>
  <si>
    <t>ANRE Romania industrial tariff Jun 2026 | Refresh 2026-09: local tariff held, converted at RON 6.086→6.151 per £; gas + Dutch TTF move €48.5→€72.9/MWh Jun→23 Sep 2026 (gmk.center, tradingpedia) passed through; EU power has no sourced Sep average — held</t>
  </si>
  <si>
    <t>fromCurrency</t>
  </si>
  <si>
    <t>toCurrency</t>
  </si>
  <si>
    <t>rate</t>
  </si>
  <si>
    <t>fx-gbp-eur</t>
  </si>
  <si>
    <t>GBP</t>
  </si>
  <si>
    <t>EUR</t>
  </si>
  <si>
    <t>fawazahmed0/currency-api daily snapshots 2026-06-30 and 2026-09-29 (npm @fawazahmed0/currency-api)</t>
  </si>
  <si>
    <t>fx-gbp-usd</t>
  </si>
  <si>
    <t>USD</t>
  </si>
  <si>
    <t>fx-gbp-inr</t>
  </si>
  <si>
    <t>INR</t>
  </si>
  <si>
    <t>fx-gbp-cny</t>
  </si>
  <si>
    <t>CNY</t>
  </si>
  <si>
    <t>fx-gbp-mxn</t>
  </si>
  <si>
    <t>MXN</t>
  </si>
  <si>
    <t>fx-gbp-thb</t>
  </si>
  <si>
    <t>THB</t>
  </si>
  <si>
    <t>fx-gbp-vnd</t>
  </si>
  <si>
    <t>VND</t>
  </si>
  <si>
    <t>fx-gbp-brl</t>
  </si>
  <si>
    <t>BRL</t>
  </si>
  <si>
    <t>fx-gbp-krw</t>
  </si>
  <si>
    <t>KRW</t>
  </si>
  <si>
    <t>commodityType</t>
  </si>
  <si>
    <t>supplierTier</t>
  </si>
  <si>
    <t>overheadPct</t>
  </si>
  <si>
    <t>marginPct</t>
  </si>
  <si>
    <t>oh-machining-t2</t>
  </si>
  <si>
    <t>machining</t>
  </si>
  <si>
    <t>Tier 2</t>
  </si>
  <si>
    <t>Industry benchmark</t>
  </si>
  <si>
    <t>oh-machining-t1</t>
  </si>
  <si>
    <t>Tier 1</t>
  </si>
  <si>
    <t>oh-sheet-metal-t2</t>
  </si>
  <si>
    <t>sheet_metal</t>
  </si>
  <si>
    <t>oh-injection-moulding-t2</t>
  </si>
  <si>
    <t>injection_moulding</t>
  </si>
  <si>
    <t>oh-casting-t2</t>
  </si>
  <si>
    <t>casting</t>
  </si>
  <si>
    <t>oh-forging-t2</t>
  </si>
  <si>
    <t>forging</t>
  </si>
  <si>
    <t>oh-painting-t2</t>
  </si>
  <si>
    <t>painting</t>
  </si>
  <si>
    <t>oh-biw-t2</t>
  </si>
  <si>
    <t>biw_assembly</t>
  </si>
  <si>
    <t>oh-pcb-fab-t2</t>
  </si>
  <si>
    <t>pcb_fab</t>
  </si>
  <si>
    <t>oh-pcba-t2</t>
  </si>
  <si>
    <t>pcba</t>
  </si>
  <si>
    <t>oh-cast-and-machine-t2</t>
  </si>
  <si>
    <t>cast_and_machine</t>
  </si>
  <si>
    <t>oh-blow-moulding-t2</t>
  </si>
  <si>
    <t>blow_moulding</t>
  </si>
  <si>
    <t>oh-extrusion-t1</t>
  </si>
  <si>
    <t>extrusion</t>
  </si>
  <si>
    <t>Industry benchmark — Tier-1/OEM in-house extrusion (higher overhead, full validation)</t>
  </si>
  <si>
    <t>oh-extrusion-t2</t>
  </si>
  <si>
    <t>oh-extrusion-t3</t>
  </si>
  <si>
    <t>Tier 3</t>
  </si>
  <si>
    <t>Industry benchmark — high-volume commodity extruder (lean overhead/margin)</t>
  </si>
  <si>
    <t>oh-thermoforming-t1</t>
  </si>
  <si>
    <t>thermoforming</t>
  </si>
  <si>
    <t>Industry benchmark — Tier-1/OEM thermoforming (automotive interior, full validation/PPAP; higher overhead)</t>
  </si>
  <si>
    <t>oh-thermoforming-t2</t>
  </si>
  <si>
    <t>oh-thermoforming-t3</t>
  </si>
  <si>
    <t>Industry benchmark — high-volume packaging thermoformer (roll-fed, lean overhead/margin)</t>
  </si>
  <si>
    <t>oh-rotomoulding-t2</t>
  </si>
  <si>
    <t>rotational_moulding</t>
  </si>
  <si>
    <t>oh-sheet-metal-fab-t2</t>
  </si>
  <si>
    <t>sheet_metal_fab</t>
  </si>
  <si>
    <t>oh-rubber-t2</t>
  </si>
  <si>
    <t>rubber</t>
  </si>
  <si>
    <t>oh-composites-t2</t>
  </si>
  <si>
    <t>composites</t>
  </si>
  <si>
    <t>oh-wiring-harness-t2</t>
  </si>
  <si>
    <t>wiring_harness</t>
  </si>
  <si>
    <t>Check before you upload</t>
  </si>
  <si>
    <t>Every line marked "should be 0" turns green when it is. Red means have a look.</t>
  </si>
  <si>
    <t>Codes you have filled in on Mapping</t>
  </si>
  <si>
    <t>however many you have</t>
  </si>
  <si>
    <t>…of those, codes not found on any JLR tab</t>
  </si>
  <si>
    <t>should be 0 — the code is wrong</t>
  </si>
  <si>
    <t>Materials taking a JLR price</t>
  </si>
  <si>
    <t>Machines taking a JLR rate</t>
  </si>
  <si>
    <t>Labour grades taking a JLR rate</t>
  </si>
  <si>
    <t>Codes that found their row but the rate on it was blank or zero</t>
  </si>
  <si>
    <t>should be 0 — otherwise those rows kept our value</t>
  </si>
  <si>
    <t>Codes matching MORE than one pasted row (country/period not narrowed)</t>
  </si>
  <si>
    <t>should be 0 — set Country and Period on Settings</t>
  </si>
  <si>
    <t>Machines whose rebuilt £/hr does not equal your TOTAL_MACHINE_RATE</t>
  </si>
  <si>
    <t>should be 0</t>
  </si>
  <si>
    <t>Pasted machine rows whose 7 elements do not add up to TOTAL_MACHINE_RATE</t>
  </si>
  <si>
    <t>should be 0 — otherwise ask about the export</t>
  </si>
  <si>
    <t>Pasted rows beyond the 20,000 this sheet reads</t>
  </si>
  <si>
    <t>should be 0 — rows past it are not read</t>
  </si>
  <si>
    <t>Settings in force</t>
  </si>
  <si>
    <t>MATERIAL_RECLAIM read as</t>
  </si>
  <si>
    <t>please confirm this with your rates team</t>
  </si>
  <si>
    <t>Anything you did not map keeps the value CostVision ships with. That is fine.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</si>
</sst>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%"/>
  </numFmts>
  <fonts count="2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686F7D"/>
      <sz val="10"/>
      <name val="Calibri"/>
    </font>
    <font>
      <b/>
      <color rgb="FF16325C"/>
      <sz val="12"/>
      <name val="Calibri"/>
    </font>
    <font>
      <b/>
      <color rgb="FF16325C"/>
      <sz val="10"/>
      <name val="Calibri"/>
    </font>
    <font>
      <color rgb="FF333A45"/>
      <sz val="11"/>
      <name val="Calibri"/>
    </font>
    <font>
      <b/>
      <color rgb="FF333A45"/>
      <sz val="11"/>
      <name val="Calibri"/>
    </font>
    <font>
      <color rgb="FF16325C"/>
      <sz val="10"/>
      <name val="Consolas"/>
    </font>
    <font>
      <color rgb="FF333A45"/>
      <sz val="10"/>
      <name val="Consolas"/>
    </font>
    <font>
      <i/>
      <color rgb="FF686F7D"/>
      <sz val="9"/>
      <name val="Calibri"/>
    </font>
    <font>
      <color rgb="FF686F7D"/>
      <sz val="10"/>
      <name val="Calibri"/>
    </font>
    <font>
      <b/>
      <color rgb="FFFFFFFF"/>
      <sz val="9"/>
      <name val="Calibri"/>
    </font>
    <font>
      <color rgb="FF16325C"/>
      <sz val="10"/>
      <name val="Calibri"/>
    </font>
    <font>
      <color rgb="FF333A45"/>
      <sz val="10"/>
      <name val="Calibri"/>
    </font>
    <font>
      <color rgb="FF16325C"/>
      <sz val="9"/>
      <name val="Consolas"/>
    </font>
    <font>
      <b/>
      <color rgb="FFFFFFFF"/>
      <sz val="10"/>
      <name val="Calibri"/>
    </font>
    <font>
      <b/>
      <color rgb="FF16325C"/>
      <sz val="11"/>
      <name val="Calibri"/>
    </font>
    <font>
      <b/>
      <i/>
      <color rgb="FFB03A2E"/>
      <sz val="10"/>
      <name val="Calibri"/>
    </font>
    <font>
      <color rgb="FF686F7D"/>
      <sz val="9"/>
      <name val="Calibri"/>
    </font>
    <font>
      <b/>
      <color rgb="FF686F7D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EF2F7"/>
      </patternFill>
    </fill>
    <fill>
      <patternFill patternType="solid">
        <fgColor rgb="FFF4F6F8"/>
      </patternFill>
    </fill>
    <fill>
      <patternFill patternType="solid">
        <fgColor rgb="FFFFF6DE"/>
      </patternFill>
    </fill>
    <fill>
      <patternFill patternType="solid">
        <fgColor rgb="FFFDF3F2"/>
      </patternFill>
    </fill>
    <fill>
      <patternFill patternType="solid">
        <fgColor rgb="FFEDEFF3"/>
      </patternFill>
    </fill>
  </fills>
  <borders count="4">
    <border>
      <left/>
      <right/>
      <top/>
      <bottom/>
      <diagonal/>
    </border>
    <border>
      <left style="thin">
        <color rgb="FFDCE3EE"/>
      </left>
      <right style="thin">
        <color rgb="FFDCE3EE"/>
      </right>
      <top style="thin">
        <color rgb="FFDCE3EE"/>
      </top>
      <bottom style="thin">
        <color rgb="FFDCE3EE"/>
      </bottom>
      <diagonal/>
    </border>
    <border>
      <left style="thin">
        <color rgb="FF16325C"/>
      </left>
      <right style="thin">
        <color rgb="FF16325C"/>
      </right>
      <top style="thin">
        <color rgb="FF16325C"/>
      </top>
      <bottom style="thin">
        <color rgb="FF16325C"/>
      </bottom>
      <diagonal/>
    </border>
    <border>
      <left style="thin">
        <color rgb="FFD9B441"/>
      </left>
      <right style="thin">
        <color rgb="FFD9B441"/>
      </right>
      <top style="thin">
        <color rgb="FFD9B441"/>
      </top>
      <bottom style="thin">
        <color rgb="FFD9B44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vertical="center" indent="1"/>
    </xf>
    <xf numFmtId="0" fontId="3" fillId="3" borderId="0" xfId="0" applyFont="1" applyFill="1" applyAlignment="1">
      <alignment vertical="center" inden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 indent="1"/>
    </xf>
    <xf numFmtId="0" fontId="6" fillId="0" borderId="0" xfId="0" applyFont="1" applyAlignment="1">
      <alignment vertical="top" indent="1"/>
    </xf>
    <xf numFmtId="0" fontId="7" fillId="0" borderId="0" xfId="0" applyFont="1" applyAlignment="1">
      <alignment vertical="top" indent="1"/>
    </xf>
    <xf numFmtId="0" fontId="8" fillId="0" borderId="0" xfId="0" applyFont="1" applyAlignment="1">
      <alignment vertical="top" indent="1"/>
    </xf>
    <xf numFmtId="0" fontId="9" fillId="0" borderId="0" xfId="0" applyFont="1" applyAlignment="1">
      <alignment vertical="top" indent="1"/>
    </xf>
    <xf numFmtId="0" fontId="5" fillId="0" borderId="0" xfId="0" applyFont="1" applyAlignment="1">
      <alignment vertical="center" indent="1"/>
    </xf>
    <xf numFmtId="0" fontId="10" fillId="0" borderId="0" xfId="0" applyFont="1" applyAlignment="1">
      <alignment vertical="center" indent="1"/>
    </xf>
    <xf numFmtId="0" fontId="11" fillId="2" borderId="0" xfId="0" applyFont="1" applyFill="1" applyAlignment="1">
      <alignment vertical="center" indent="1"/>
    </xf>
    <xf numFmtId="0" fontId="12" fillId="0" borderId="1" xfId="0" applyFont="1" applyBorder="1" applyAlignment="1">
      <alignment vertical="top" wrapText="1" indent="1"/>
    </xf>
    <xf numFmtId="0" fontId="4" fillId="0" borderId="1" xfId="0" applyFont="1" applyBorder="1" applyAlignment="1">
      <alignment vertical="top" wrapText="1" indent="1"/>
    </xf>
    <xf numFmtId="0" fontId="13" fillId="0" borderId="1" xfId="0" applyFont="1" applyBorder="1" applyAlignment="1">
      <alignment vertical="top" wrapText="1" indent="1"/>
    </xf>
    <xf numFmtId="0" fontId="14" fillId="4" borderId="1" xfId="0" applyFont="1" applyFill="1" applyBorder="1" applyAlignment="1">
      <alignment vertical="top" wrapText="1" indent="1"/>
    </xf>
    <xf numFmtId="0" fontId="2" fillId="0" borderId="0" xfId="0" applyFont="1" applyAlignment="1">
      <alignment indent="1"/>
    </xf>
    <xf numFmtId="0" fontId="4" fillId="0" borderId="0" xfId="0" applyFont="1" applyAlignment="1">
      <alignment indent="1"/>
    </xf>
    <xf numFmtId="0" fontId="13" fillId="0" borderId="0" xfId="0" applyFont="1" applyAlignment="1">
      <alignment indent="1"/>
    </xf>
    <xf numFmtId="0" fontId="15" fillId="2" borderId="2" xfId="0" applyFont="1" applyFill="1" applyBorder="1" applyAlignment="1">
      <alignment horizontal="left" vertical="center" wrapText="1" indent="1"/>
    </xf>
    <xf numFmtId="0" fontId="16" fillId="0" borderId="0" xfId="0" applyFont="1" applyAlignment="1">
      <alignment vertical="center" indent="1"/>
    </xf>
    <xf numFmtId="0" fontId="16" fillId="5" borderId="3" xfId="0" applyFont="1" applyFill="1" applyBorder="1" applyAlignment="1">
      <alignment horizontal="center" vertical="center"/>
    </xf>
    <xf numFmtId="4" fontId="0" fillId="0" borderId="0" xfId="0" applyNumberFormat="1"/>
    <xf numFmtId="4" fontId="15" fillId="2" borderId="2" xfId="0" applyNumberFormat="1" applyFont="1" applyFill="1" applyBorder="1" applyAlignment="1">
      <alignment horizontal="left" vertical="center" wrapText="1" indent="1"/>
    </xf>
    <xf numFmtId="0" fontId="2" fillId="6" borderId="0" xfId="0" applyFont="1" applyFill="1"/>
    <xf numFmtId="0" fontId="17" fillId="6" borderId="0" xfId="0" applyFont="1" applyFill="1"/>
    <xf numFmtId="4" fontId="2" fillId="6" borderId="0" xfId="0" applyNumberFormat="1" applyFont="1" applyFill="1"/>
    <xf numFmtId="0" fontId="12" fillId="0" borderId="0" xfId="0" applyFont="1" applyAlignment="1">
      <alignment indent="1"/>
    </xf>
    <xf numFmtId="0" fontId="4" fillId="5" borderId="3" xfId="0" applyFont="1" applyFill="1" applyBorder="1" applyAlignment="1">
      <alignment horizontal="center"/>
    </xf>
    <xf numFmtId="0" fontId="18" fillId="0" borderId="0" xfId="0" applyFont="1" applyAlignment="1">
      <alignment indent="1"/>
    </xf>
    <xf numFmtId="0" fontId="19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indent="1"/>
    </xf>
    <xf numFmtId="0" fontId="13" fillId="0" borderId="0" xfId="0" applyFont="1" applyAlignment="1">
      <alignment horizontal="left" indent="1"/>
    </xf>
    <xf numFmtId="164" fontId="13" fillId="4" borderId="0" xfId="0" applyNumberFormat="1" applyFont="1" applyFill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0" fontId="13" fillId="4" borderId="0" xfId="0" applyFont="1" applyFill="1" applyAlignment="1">
      <alignment horizontal="right" indent="1"/>
    </xf>
    <xf numFmtId="0" fontId="10" fillId="7" borderId="0" xfId="0" applyFont="1" applyFill="1" applyAlignment="1">
      <alignment horizontal="right" indent="1"/>
    </xf>
    <xf numFmtId="164" fontId="10" fillId="7" borderId="0" xfId="0" applyNumberFormat="1" applyFont="1" applyFill="1" applyAlignment="1">
      <alignment horizontal="right" indent="1"/>
    </xf>
    <xf numFmtId="4" fontId="10" fillId="7" borderId="0" xfId="0" applyNumberFormat="1" applyFont="1" applyFill="1" applyAlignment="1">
      <alignment horizontal="right" indent="1"/>
    </xf>
    <xf numFmtId="0" fontId="10" fillId="7" borderId="0" xfId="0" applyFont="1" applyFill="1" applyAlignment="1">
      <alignment horizontal="left" indent="1"/>
    </xf>
    <xf numFmtId="3" fontId="13" fillId="4" borderId="0" xfId="0" applyNumberFormat="1" applyFont="1" applyFill="1" applyAlignment="1">
      <alignment horizontal="right" indent="1"/>
    </xf>
    <xf numFmtId="9" fontId="13" fillId="0" borderId="0" xfId="0" applyNumberFormat="1" applyFont="1" applyAlignment="1">
      <alignment horizontal="right" indent="1"/>
    </xf>
    <xf numFmtId="4" fontId="13" fillId="4" borderId="0" xfId="0" applyNumberFormat="1" applyFont="1" applyFill="1" applyAlignment="1">
      <alignment horizontal="right" indent="1"/>
    </xf>
    <xf numFmtId="164" fontId="13" fillId="0" borderId="0" xfId="0" applyNumberFormat="1" applyFont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13">
    <dxf>
      <font>
        <b/>
        <color rgb="FFB03A2E"/>
      </font>
      <fill>
        <patternFill patternType="solid">
          <fgColor rgb="FFFCE9E7"/>
        </patternFill>
      </fill>
    </dxf>
    <dxf>
      <font>
        <b/>
        <color rgb="FF2A7F50"/>
      </font>
      <fill>
        <patternFill patternType="solid">
          <fgColor rgb="FFE7F5EC"/>
        </patternFill>
      </fill>
    </dxf>
    <dxf>
      <font>
        <b/>
        <color rgb="FFB03A2E"/>
      </font>
      <fill>
        <patternFill patternType="solid">
          <fgColor rgb="FFFCE9E7"/>
        </patternFill>
      </fill>
    </dxf>
    <dxf>
      <font>
        <b/>
        <color rgb="FF2A7F50"/>
      </font>
      <fill>
        <patternFill patternType="solid">
          <fgColor rgb="FFE7F5EC"/>
        </patternFill>
      </fill>
    </dxf>
    <dxf>
      <font>
        <b/>
        <color rgb="FFB03A2E"/>
      </font>
      <fill>
        <patternFill patternType="solid">
          <fgColor rgb="FFFCE9E7"/>
        </patternFill>
      </fill>
    </dxf>
    <dxf>
      <font>
        <b/>
        <color rgb="FF2A7F50"/>
      </font>
      <fill>
        <patternFill patternType="solid">
          <fgColor rgb="FFE7F5EC"/>
        </patternFill>
      </fill>
    </dxf>
    <dxf>
      <font>
        <b/>
        <color rgb="FFB03A2E"/>
      </font>
      <fill>
        <patternFill patternType="solid">
          <fgColor rgb="FFFCE9E7"/>
        </patternFill>
      </fill>
    </dxf>
    <dxf>
      <font>
        <b/>
        <color rgb="FF2A7F50"/>
      </font>
      <fill>
        <patternFill patternType="solid">
          <fgColor rgb="FFE7F5EC"/>
        </patternFill>
      </fill>
    </dxf>
    <dxf>
      <font>
        <b/>
        <color rgb="FFB03A2E"/>
      </font>
      <fill>
        <patternFill patternType="solid">
          <fgColor rgb="FFFCE9E7"/>
        </patternFill>
      </fill>
    </dxf>
    <dxf>
      <font>
        <b/>
        <color rgb="FF2A7F50"/>
      </font>
      <fill>
        <patternFill patternType="solid">
          <fgColor rgb="FFE7F5EC"/>
        </patternFill>
      </fill>
    </dxf>
    <dxf>
      <font>
        <b/>
        <color rgb="FFB03A2E"/>
      </font>
      <fill>
        <patternFill patternType="solid">
          <fgColor rgb="FFFCE9E7"/>
        </patternFill>
      </fill>
    </dxf>
    <dxf>
      <font>
        <b/>
        <color rgb="FF2A7F50"/>
      </font>
      <fill>
        <patternFill patternType="solid">
          <fgColor rgb="FFE7F5EC"/>
        </patternFill>
      </fill>
    </dxf>
    <dxf>
      <font>
        <b/>
        <color rgb="FFB03A2E"/>
      </font>
      <fill>
        <patternFill patternType="solid">
          <fgColor rgb="FFFC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325C"/>
    <pageSetUpPr fitToPage="1"/>
  </sheetPr>
  <dimension ref="A1:C143"/>
  <sheetViews>
    <sheetView workbookViewId="0" showGridLines="0"/>
  </sheetViews>
  <sheetFormatPr defaultRowHeight="15" outlineLevelRow="0" outlineLevelCol="0" x14ac:dyDescent="55" defaultColWidth="12"/>
  <cols>
    <col min="1" max="1" width="10" customWidth="1"/>
    <col min="2" max="2" width="104" customWidth="1"/>
    <col min="3" max="3" width="10" customWidth="1"/>
  </cols>
  <sheetData>
    <row r="1" ht="36" customHeight="1" spans="1:3" x14ac:dyDescent="0.25">
      <c r="A1" s="1" t="s">
        <v>0</v>
      </c>
      <c r="B1" s="1"/>
      <c r="C1" s="1"/>
    </row>
    <row r="2" ht="20" customHeight="1" spans="1:3" x14ac:dyDescent="0.25">
      <c r="A2" s="2" t="s">
        <v>1</v>
      </c>
      <c r="B2" s="2"/>
      <c r="C2" s="2"/>
    </row>
    <row r="4" ht="24" customHeight="1" spans="1:3" x14ac:dyDescent="0.25">
      <c r="A4" s="3" t="s">
        <v>2</v>
      </c>
      <c r="B4" s="3"/>
      <c r="C4" s="3"/>
    </row>
    <row r="5" spans="1:2" x14ac:dyDescent="0.25">
      <c r="A5" s="4"/>
      <c r="B5" s="5" t="s">
        <v>3</v>
      </c>
    </row>
    <row r="6" spans="1:2" x14ac:dyDescent="0.25">
      <c r="A6" s="4"/>
      <c r="B6" s="5" t="s">
        <v>4</v>
      </c>
    </row>
    <row r="7" spans="1:2" x14ac:dyDescent="0.25">
      <c r="A7" s="4"/>
      <c r="B7" s="5" t="s">
        <v>5</v>
      </c>
    </row>
    <row r="8" spans="1:2" x14ac:dyDescent="0.25">
      <c r="A8" s="4"/>
      <c r="B8" s="5" t="s">
        <v>6</v>
      </c>
    </row>
    <row r="10" ht="24" customHeight="1" spans="1:3" x14ac:dyDescent="0.25">
      <c r="A10" s="3" t="s">
        <v>7</v>
      </c>
      <c r="B10" s="3"/>
      <c r="C10" s="3"/>
    </row>
    <row r="11" spans="1:2" x14ac:dyDescent="0.25">
      <c r="A11" s="4"/>
      <c r="B11" s="5" t="s">
        <v>8</v>
      </c>
    </row>
    <row r="12" spans="1:2" x14ac:dyDescent="0.25">
      <c r="A12" s="4"/>
      <c r="B12" s="5" t="s">
        <v>9</v>
      </c>
    </row>
    <row r="13" spans="1:2" x14ac:dyDescent="0.25">
      <c r="A13" s="4"/>
      <c r="B13" s="5" t="s">
        <v>10</v>
      </c>
    </row>
    <row r="15" ht="24" customHeight="1" spans="1:3" x14ac:dyDescent="0.25">
      <c r="A15" s="3" t="s">
        <v>11</v>
      </c>
      <c r="B15" s="3"/>
      <c r="C15" s="3"/>
    </row>
    <row r="16" spans="1:2" x14ac:dyDescent="0.25">
      <c r="A16" s="4" t="s">
        <v>12</v>
      </c>
      <c r="B16" s="6" t="s">
        <v>13</v>
      </c>
    </row>
    <row r="17" spans="1:2" x14ac:dyDescent="0.25">
      <c r="A17" s="4"/>
      <c r="B17" s="5" t="s">
        <v>14</v>
      </c>
    </row>
    <row r="18" spans="1:2" x14ac:dyDescent="0.25">
      <c r="A18" s="4"/>
      <c r="B18" s="5" t="s">
        <v>15</v>
      </c>
    </row>
    <row r="19" spans="1:2" x14ac:dyDescent="0.25">
      <c r="A19" s="4"/>
      <c r="B19" s="5" t="s">
        <v>16</v>
      </c>
    </row>
    <row r="20" spans="1:2" x14ac:dyDescent="0.25">
      <c r="A20" s="4"/>
      <c r="B20" s="5" t="s">
        <v>17</v>
      </c>
    </row>
    <row r="21" spans="1:2" x14ac:dyDescent="0.25">
      <c r="A21" s="4"/>
      <c r="B21" s="5" t="s">
        <v>18</v>
      </c>
    </row>
    <row r="22" spans="1:2" x14ac:dyDescent="0.25">
      <c r="A22" s="4"/>
      <c r="B22" s="5" t="s">
        <v>19</v>
      </c>
    </row>
    <row r="23" spans="1:2" x14ac:dyDescent="0.25">
      <c r="A23" s="4"/>
      <c r="B23" s="5" t="s">
        <v>20</v>
      </c>
    </row>
    <row r="24" spans="1:2" x14ac:dyDescent="0.25">
      <c r="A24" s="4"/>
      <c r="B24" s="5" t="s">
        <v>21</v>
      </c>
    </row>
    <row r="25" spans="1:2" x14ac:dyDescent="0.25">
      <c r="A25" s="4"/>
      <c r="B25" s="5" t="s">
        <v>22</v>
      </c>
    </row>
    <row r="27" spans="1:2" x14ac:dyDescent="0.25">
      <c r="A27" s="4" t="s">
        <v>23</v>
      </c>
      <c r="B27" s="6" t="s">
        <v>24</v>
      </c>
    </row>
    <row r="28" spans="1:2" x14ac:dyDescent="0.25">
      <c r="A28" s="4"/>
      <c r="B28" s="5" t="s">
        <v>25</v>
      </c>
    </row>
    <row r="29" spans="1:2" x14ac:dyDescent="0.25">
      <c r="A29" s="4"/>
      <c r="B29" s="5" t="s">
        <v>26</v>
      </c>
    </row>
    <row r="31" spans="1:2" x14ac:dyDescent="0.25">
      <c r="A31" s="4" t="s">
        <v>27</v>
      </c>
      <c r="B31" s="6" t="s">
        <v>28</v>
      </c>
    </row>
    <row r="32" spans="1:2" x14ac:dyDescent="0.25">
      <c r="A32" s="4"/>
      <c r="B32" s="5" t="s">
        <v>29</v>
      </c>
    </row>
    <row r="33" spans="1:2" x14ac:dyDescent="0.25">
      <c r="A33" s="4"/>
      <c r="B33" s="5" t="s">
        <v>30</v>
      </c>
    </row>
    <row r="34" spans="1:2" x14ac:dyDescent="0.25">
      <c r="A34" s="4"/>
      <c r="B34" s="5" t="s">
        <v>31</v>
      </c>
    </row>
    <row r="35" spans="1:2" x14ac:dyDescent="0.25">
      <c r="A35" s="4"/>
      <c r="B35" s="5" t="s">
        <v>32</v>
      </c>
    </row>
    <row r="36" spans="1:2" x14ac:dyDescent="0.25">
      <c r="A36" s="4"/>
      <c r="B36" s="5" t="s">
        <v>33</v>
      </c>
    </row>
    <row r="38" spans="1:2" x14ac:dyDescent="0.25">
      <c r="A38" s="4" t="s">
        <v>34</v>
      </c>
      <c r="B38" s="6" t="s">
        <v>35</v>
      </c>
    </row>
    <row r="39" spans="1:2" x14ac:dyDescent="0.25">
      <c r="A39" s="4"/>
      <c r="B39" s="5" t="s">
        <v>36</v>
      </c>
    </row>
    <row r="40" spans="1:2" x14ac:dyDescent="0.25">
      <c r="A40" s="4"/>
      <c r="B40" s="5" t="s">
        <v>37</v>
      </c>
    </row>
    <row r="41" spans="1:2" x14ac:dyDescent="0.25">
      <c r="A41" s="4"/>
      <c r="B41" s="5" t="s">
        <v>38</v>
      </c>
    </row>
    <row r="42" spans="1:2" x14ac:dyDescent="0.25">
      <c r="A42" s="4"/>
      <c r="B42" s="5" t="s">
        <v>39</v>
      </c>
    </row>
    <row r="43" spans="1:2" x14ac:dyDescent="0.25">
      <c r="A43" s="4"/>
      <c r="B43" s="5" t="s">
        <v>40</v>
      </c>
    </row>
    <row r="44" spans="1:2" x14ac:dyDescent="0.25">
      <c r="A44" s="4"/>
      <c r="B44" s="5" t="s">
        <v>41</v>
      </c>
    </row>
    <row r="45" spans="1:2" x14ac:dyDescent="0.25">
      <c r="A45" s="4"/>
      <c r="B45" s="5" t="s">
        <v>42</v>
      </c>
    </row>
    <row r="46" spans="1:2" x14ac:dyDescent="0.25">
      <c r="A46" s="4"/>
      <c r="B46" s="5" t="s">
        <v>43</v>
      </c>
    </row>
    <row r="47" spans="1:2" x14ac:dyDescent="0.25">
      <c r="A47" s="4"/>
      <c r="B47" s="5" t="s">
        <v>44</v>
      </c>
    </row>
    <row r="48" spans="1:2" x14ac:dyDescent="0.25">
      <c r="A48" s="4"/>
      <c r="B48" s="5" t="s">
        <v>45</v>
      </c>
    </row>
    <row r="49" spans="1:2" x14ac:dyDescent="0.25">
      <c r="A49" s="4"/>
      <c r="B49" s="5" t="s">
        <v>46</v>
      </c>
    </row>
    <row r="50" spans="1:2" x14ac:dyDescent="0.25">
      <c r="A50" s="4"/>
      <c r="B50" s="5" t="s">
        <v>47</v>
      </c>
    </row>
    <row r="52" spans="1:2" x14ac:dyDescent="0.25">
      <c r="A52" s="4" t="s">
        <v>48</v>
      </c>
      <c r="B52" s="6" t="s">
        <v>49</v>
      </c>
    </row>
    <row r="53" spans="1:2" x14ac:dyDescent="0.25">
      <c r="A53" s="4"/>
      <c r="B53" s="5" t="s">
        <v>50</v>
      </c>
    </row>
    <row r="54" spans="1:2" x14ac:dyDescent="0.25">
      <c r="A54" s="4"/>
      <c r="B54" s="5" t="s">
        <v>51</v>
      </c>
    </row>
    <row r="55" spans="1:2" x14ac:dyDescent="0.25">
      <c r="A55" s="4"/>
      <c r="B55" s="5" t="s">
        <v>52</v>
      </c>
    </row>
    <row r="56" spans="1:2" x14ac:dyDescent="0.25">
      <c r="A56" s="4"/>
      <c r="B56" s="5" t="s">
        <v>53</v>
      </c>
    </row>
    <row r="57" spans="1:2" x14ac:dyDescent="0.25">
      <c r="A57" s="4"/>
      <c r="B57" s="5" t="s">
        <v>54</v>
      </c>
    </row>
    <row r="58" spans="1:2" x14ac:dyDescent="0.25">
      <c r="A58" s="4"/>
      <c r="B58" s="5" t="s">
        <v>55</v>
      </c>
    </row>
    <row r="59" spans="1:2" x14ac:dyDescent="0.25">
      <c r="A59" s="4"/>
      <c r="B59" s="5" t="s">
        <v>56</v>
      </c>
    </row>
    <row r="60" spans="1:2" x14ac:dyDescent="0.25">
      <c r="A60" s="4"/>
      <c r="B60" s="5" t="s">
        <v>57</v>
      </c>
    </row>
    <row r="61" spans="1:2" x14ac:dyDescent="0.25">
      <c r="A61" s="4"/>
      <c r="B61" s="5" t="s">
        <v>58</v>
      </c>
    </row>
    <row r="62" spans="1:2" x14ac:dyDescent="0.25">
      <c r="A62" s="4"/>
      <c r="B62" s="5" t="s">
        <v>59</v>
      </c>
    </row>
    <row r="63" spans="1:2" x14ac:dyDescent="0.25">
      <c r="A63" s="4"/>
      <c r="B63" s="5" t="s">
        <v>60</v>
      </c>
    </row>
    <row r="64" spans="1:2" x14ac:dyDescent="0.25">
      <c r="A64" s="4"/>
      <c r="B64" s="5" t="s">
        <v>61</v>
      </c>
    </row>
    <row r="66" spans="1:2" x14ac:dyDescent="0.25">
      <c r="A66" s="4" t="s">
        <v>62</v>
      </c>
      <c r="B66" s="6" t="s">
        <v>63</v>
      </c>
    </row>
    <row r="67" spans="1:2" x14ac:dyDescent="0.25">
      <c r="A67" s="4"/>
      <c r="B67" s="5" t="s">
        <v>64</v>
      </c>
    </row>
    <row r="68" spans="1:2" x14ac:dyDescent="0.25">
      <c r="A68" s="4"/>
      <c r="B68" s="5" t="s">
        <v>65</v>
      </c>
    </row>
    <row r="70" spans="1:2" x14ac:dyDescent="0.25">
      <c r="A70" s="4" t="s">
        <v>66</v>
      </c>
      <c r="B70" s="6" t="s">
        <v>67</v>
      </c>
    </row>
    <row r="71" spans="1:2" x14ac:dyDescent="0.25">
      <c r="A71" s="4"/>
      <c r="B71" s="5" t="s">
        <v>68</v>
      </c>
    </row>
    <row r="72" spans="1:2" x14ac:dyDescent="0.25">
      <c r="A72" s="4"/>
      <c r="B72" s="5" t="s">
        <v>69</v>
      </c>
    </row>
    <row r="73" spans="1:2" x14ac:dyDescent="0.25">
      <c r="A73" s="4"/>
      <c r="B73" s="5" t="s">
        <v>70</v>
      </c>
    </row>
    <row r="74" spans="1:2" x14ac:dyDescent="0.25">
      <c r="A74" s="4"/>
      <c r="B74" s="5" t="s">
        <v>71</v>
      </c>
    </row>
    <row r="75" spans="1:2" x14ac:dyDescent="0.25">
      <c r="A75" s="4"/>
      <c r="B75" s="5" t="s">
        <v>72</v>
      </c>
    </row>
    <row r="76" spans="1:2" x14ac:dyDescent="0.25">
      <c r="A76" s="4"/>
      <c r="B76" s="5" t="s">
        <v>73</v>
      </c>
    </row>
    <row r="78" ht="24" customHeight="1" spans="1:3" x14ac:dyDescent="0.25">
      <c r="A78" s="3" t="s">
        <v>74</v>
      </c>
      <c r="B78" s="3"/>
      <c r="C78" s="3"/>
    </row>
    <row r="79" spans="1:2" x14ac:dyDescent="0.25">
      <c r="A79" s="4"/>
      <c r="B79" s="5" t="s">
        <v>75</v>
      </c>
    </row>
    <row r="80" spans="1:2" x14ac:dyDescent="0.25">
      <c r="A80" s="4"/>
      <c r="B80" s="7" t="s">
        <v>76</v>
      </c>
    </row>
    <row r="81" spans="1:2" x14ac:dyDescent="0.25">
      <c r="A81" s="4"/>
      <c r="B81" s="7" t="s">
        <v>77</v>
      </c>
    </row>
    <row r="82" spans="1:2" x14ac:dyDescent="0.25">
      <c r="A82" s="4"/>
      <c r="B82" s="5" t="s">
        <v>78</v>
      </c>
    </row>
    <row r="83" spans="1:2" x14ac:dyDescent="0.25">
      <c r="A83" s="4"/>
      <c r="B83" s="5" t="s">
        <v>79</v>
      </c>
    </row>
    <row r="84" spans="1:2" x14ac:dyDescent="0.25">
      <c r="A84" s="4"/>
      <c r="B84" s="5" t="s">
        <v>80</v>
      </c>
    </row>
    <row r="85" spans="1:2" x14ac:dyDescent="0.25">
      <c r="A85" s="4"/>
      <c r="B85" s="5" t="s">
        <v>81</v>
      </c>
    </row>
    <row r="86" spans="1:2" x14ac:dyDescent="0.25">
      <c r="A86" s="4"/>
      <c r="B86" s="5" t="s">
        <v>82</v>
      </c>
    </row>
    <row r="87" spans="1:2" x14ac:dyDescent="0.25">
      <c r="A87" s="4"/>
      <c r="B87" s="5" t="s">
        <v>83</v>
      </c>
    </row>
    <row r="88" spans="1:2" x14ac:dyDescent="0.25">
      <c r="A88" s="4"/>
      <c r="B88" s="7" t="s">
        <v>84</v>
      </c>
    </row>
    <row r="89" spans="1:2" x14ac:dyDescent="0.25">
      <c r="A89" s="4"/>
      <c r="B89" s="7" t="s">
        <v>85</v>
      </c>
    </row>
    <row r="90" spans="1:2" x14ac:dyDescent="0.25">
      <c r="A90" s="4"/>
      <c r="B90" s="5" t="s">
        <v>86</v>
      </c>
    </row>
    <row r="91" spans="1:2" x14ac:dyDescent="0.25">
      <c r="A91" s="4"/>
      <c r="B91" s="5" t="s">
        <v>87</v>
      </c>
    </row>
    <row r="92" spans="1:2" x14ac:dyDescent="0.25">
      <c r="A92" s="4"/>
      <c r="B92" s="5" t="s">
        <v>88</v>
      </c>
    </row>
    <row r="94" ht="24" customHeight="1" spans="1:3" x14ac:dyDescent="0.25">
      <c r="A94" s="3" t="s">
        <v>89</v>
      </c>
      <c r="B94" s="3"/>
      <c r="C94" s="3"/>
    </row>
    <row r="95" spans="1:2" x14ac:dyDescent="0.25">
      <c r="A95" s="4"/>
      <c r="B95" s="5" t="s">
        <v>90</v>
      </c>
    </row>
    <row r="96" spans="1:2" x14ac:dyDescent="0.25">
      <c r="A96" s="4"/>
      <c r="B96" s="5" t="s">
        <v>91</v>
      </c>
    </row>
    <row r="97" spans="1:2" x14ac:dyDescent="0.25">
      <c r="A97" s="4"/>
      <c r="B97" s="5" t="s">
        <v>92</v>
      </c>
    </row>
    <row r="99" ht="24" customHeight="1" spans="1:3" x14ac:dyDescent="0.25">
      <c r="A99" s="3" t="s">
        <v>93</v>
      </c>
      <c r="B99" s="3"/>
      <c r="C99" s="3"/>
    </row>
    <row r="100" spans="1:2" x14ac:dyDescent="0.25">
      <c r="A100" s="4"/>
      <c r="B100" s="5" t="s">
        <v>94</v>
      </c>
    </row>
    <row r="101" spans="1:2" x14ac:dyDescent="0.25">
      <c r="A101" s="4"/>
      <c r="B101" s="5" t="s">
        <v>95</v>
      </c>
    </row>
    <row r="102" spans="1:2" x14ac:dyDescent="0.25">
      <c r="A102" s="4"/>
      <c r="B102" s="5" t="s">
        <v>96</v>
      </c>
    </row>
    <row r="103" spans="1:2" x14ac:dyDescent="0.25">
      <c r="A103" s="4"/>
      <c r="B103" s="5" t="s">
        <v>97</v>
      </c>
    </row>
    <row r="104" spans="1:2" x14ac:dyDescent="0.25">
      <c r="A104" s="4"/>
      <c r="B104" s="5" t="s">
        <v>98</v>
      </c>
    </row>
    <row r="105" spans="1:2" x14ac:dyDescent="0.25">
      <c r="A105" s="4"/>
      <c r="B105" s="5" t="s">
        <v>99</v>
      </c>
    </row>
    <row r="106" spans="1:2" x14ac:dyDescent="0.25">
      <c r="A106" s="4"/>
      <c r="B106" s="5" t="s">
        <v>100</v>
      </c>
    </row>
    <row r="107" spans="1:2" x14ac:dyDescent="0.25">
      <c r="A107" s="4"/>
      <c r="B107" s="5" t="s">
        <v>101</v>
      </c>
    </row>
    <row r="108" spans="1:2" x14ac:dyDescent="0.25">
      <c r="A108" s="4"/>
      <c r="B108" s="5" t="s">
        <v>102</v>
      </c>
    </row>
    <row r="109" spans="1:2" x14ac:dyDescent="0.25">
      <c r="A109" s="4"/>
      <c r="B109" s="5" t="s">
        <v>103</v>
      </c>
    </row>
    <row r="110" spans="1:2" x14ac:dyDescent="0.25">
      <c r="A110" s="4"/>
      <c r="B110" s="5" t="s">
        <v>104</v>
      </c>
    </row>
    <row r="111" spans="1:2" x14ac:dyDescent="0.25">
      <c r="A111" s="4"/>
      <c r="B111" s="5" t="s">
        <v>105</v>
      </c>
    </row>
    <row r="113" ht="24" customHeight="1" spans="1:3" x14ac:dyDescent="0.25">
      <c r="A113" s="3" t="s">
        <v>106</v>
      </c>
      <c r="B113" s="3"/>
      <c r="C113" s="3"/>
    </row>
    <row r="114" spans="1:2" x14ac:dyDescent="0.25">
      <c r="A114" s="4" t="s">
        <v>107</v>
      </c>
      <c r="B114" s="5" t="s">
        <v>108</v>
      </c>
    </row>
    <row r="115" spans="1:2" x14ac:dyDescent="0.25">
      <c r="A115" s="4"/>
      <c r="B115" s="5" t="s">
        <v>109</v>
      </c>
    </row>
    <row r="116" spans="1:2" x14ac:dyDescent="0.25">
      <c r="A116" s="4" t="s">
        <v>107</v>
      </c>
      <c r="B116" s="5" t="s">
        <v>110</v>
      </c>
    </row>
    <row r="117" spans="1:2" x14ac:dyDescent="0.25">
      <c r="A117" s="4"/>
      <c r="B117" s="5" t="s">
        <v>111</v>
      </c>
    </row>
    <row r="118" spans="1:2" x14ac:dyDescent="0.25">
      <c r="A118" s="4"/>
      <c r="B118" s="5" t="s">
        <v>112</v>
      </c>
    </row>
    <row r="119" spans="1:2" x14ac:dyDescent="0.25">
      <c r="A119" s="4" t="s">
        <v>107</v>
      </c>
      <c r="B119" s="5" t="s">
        <v>113</v>
      </c>
    </row>
    <row r="120" spans="1:2" x14ac:dyDescent="0.25">
      <c r="A120" s="4" t="s">
        <v>107</v>
      </c>
      <c r="B120" s="5" t="s">
        <v>114</v>
      </c>
    </row>
    <row r="121" spans="1:2" x14ac:dyDescent="0.25">
      <c r="A121" s="4" t="s">
        <v>107</v>
      </c>
      <c r="B121" s="5" t="s">
        <v>115</v>
      </c>
    </row>
    <row r="122" spans="1:2" x14ac:dyDescent="0.25">
      <c r="A122" s="4"/>
      <c r="B122" s="5" t="s">
        <v>116</v>
      </c>
    </row>
    <row r="123" spans="1:2" x14ac:dyDescent="0.25">
      <c r="A123" s="4" t="s">
        <v>107</v>
      </c>
      <c r="B123" s="5" t="s">
        <v>117</v>
      </c>
    </row>
    <row r="124" spans="1:2" x14ac:dyDescent="0.25">
      <c r="A124" s="4" t="s">
        <v>107</v>
      </c>
      <c r="B124" s="5" t="s">
        <v>118</v>
      </c>
    </row>
    <row r="125" spans="1:2" x14ac:dyDescent="0.25">
      <c r="A125" s="4"/>
      <c r="B125" s="5" t="s">
        <v>119</v>
      </c>
    </row>
    <row r="127" ht="24" customHeight="1" spans="1:3" x14ac:dyDescent="0.25">
      <c r="A127" s="3" t="s">
        <v>120</v>
      </c>
      <c r="B127" s="3"/>
      <c r="C127" s="3"/>
    </row>
    <row r="128" spans="1:2" x14ac:dyDescent="0.25">
      <c r="A128" s="4"/>
      <c r="B128" s="8" t="s">
        <v>121</v>
      </c>
    </row>
    <row r="129" spans="1:2" x14ac:dyDescent="0.25">
      <c r="A129" s="4"/>
      <c r="B129" s="8" t="s">
        <v>122</v>
      </c>
    </row>
    <row r="130" spans="1:2" x14ac:dyDescent="0.25">
      <c r="A130" s="4"/>
      <c r="B130" s="8" t="s">
        <v>123</v>
      </c>
    </row>
    <row r="131" spans="1:2" x14ac:dyDescent="0.25">
      <c r="A131" s="4"/>
      <c r="B131" s="8" t="s">
        <v>124</v>
      </c>
    </row>
    <row r="132" spans="1:2" x14ac:dyDescent="0.25">
      <c r="A132" s="4"/>
      <c r="B132" s="8" t="s">
        <v>125</v>
      </c>
    </row>
    <row r="133" spans="1:2" x14ac:dyDescent="0.25">
      <c r="A133" s="4"/>
      <c r="B133" s="8" t="s">
        <v>126</v>
      </c>
    </row>
    <row r="134" spans="1:2" x14ac:dyDescent="0.25">
      <c r="A134" s="4"/>
      <c r="B134" s="8" t="s">
        <v>127</v>
      </c>
    </row>
    <row r="135" spans="1:2" x14ac:dyDescent="0.25">
      <c r="A135" s="4"/>
      <c r="B135" s="8" t="s">
        <v>128</v>
      </c>
    </row>
    <row r="136" spans="1:2" x14ac:dyDescent="0.25">
      <c r="A136" s="4"/>
      <c r="B136" s="8" t="s">
        <v>129</v>
      </c>
    </row>
    <row r="137" spans="1:2" x14ac:dyDescent="0.25">
      <c r="A137" s="4"/>
      <c r="B137" s="8" t="s">
        <v>130</v>
      </c>
    </row>
    <row r="138" spans="1:2" x14ac:dyDescent="0.25">
      <c r="A138" s="4"/>
      <c r="B138" s="8" t="s">
        <v>131</v>
      </c>
    </row>
    <row r="139" spans="1:2" x14ac:dyDescent="0.25">
      <c r="A139" s="4"/>
      <c r="B139" s="8" t="s">
        <v>132</v>
      </c>
    </row>
    <row r="140" spans="1:2" x14ac:dyDescent="0.25">
      <c r="A140" s="4"/>
      <c r="B140" s="8" t="s">
        <v>133</v>
      </c>
    </row>
    <row r="141" spans="1:2" x14ac:dyDescent="0.25">
      <c r="A141" s="4"/>
      <c r="B141" s="8" t="s">
        <v>134</v>
      </c>
    </row>
    <row r="143" spans="1:2" x14ac:dyDescent="0.25">
      <c r="A143" s="4"/>
      <c r="B143" s="9" t="s">
        <v>135</v>
      </c>
    </row>
  </sheetData>
  <mergeCells count="10">
    <mergeCell ref="A1:C1"/>
    <mergeCell ref="A2:C2"/>
    <mergeCell ref="A4:C4"/>
    <mergeCell ref="A10:C10"/>
    <mergeCell ref="A15:C15"/>
    <mergeCell ref="A78:C78"/>
    <mergeCell ref="A94:C94"/>
    <mergeCell ref="A99:C99"/>
    <mergeCell ref="A113:C113"/>
    <mergeCell ref="A127:C127"/>
  </mergeCells>
  <pageMargins left="0.4" right="0.4" top="0.5" bottom="0.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325C"/>
    <pageSetUpPr fitToPage="1"/>
  </sheetPr>
  <dimension ref="A1:E51"/>
  <sheetViews>
    <sheetView workbookViewId="0" showGridLines="0"/>
  </sheetViews>
  <sheetFormatPr defaultRowHeight="15" outlineLevelRow="0" outlineLevelCol="0" x14ac:dyDescent="55" defaultColWidth="12"/>
  <cols>
    <col min="1" max="1" width="4" customWidth="1"/>
    <col min="2" max="2" width="30" customWidth="1"/>
    <col min="3" max="3" width="28" customWidth="1"/>
    <col min="4" max="4" width="62" customWidth="1"/>
    <col min="5" max="5" width="104" customWidth="1"/>
  </cols>
  <sheetData>
    <row r="1" ht="36" customHeight="1" spans="1:5" x14ac:dyDescent="0.25">
      <c r="A1" s="1" t="s">
        <v>136</v>
      </c>
      <c r="B1" s="1"/>
      <c r="C1" s="1"/>
      <c r="D1" s="1"/>
      <c r="E1" s="1"/>
    </row>
    <row r="2" ht="20" customHeight="1" spans="1:5" x14ac:dyDescent="0.25">
      <c r="A2" s="2" t="s">
        <v>137</v>
      </c>
      <c r="B2" s="2"/>
      <c r="C2" s="2"/>
      <c r="D2" s="2"/>
      <c r="E2" s="2"/>
    </row>
    <row r="4" ht="24" customHeight="1" spans="1:5" x14ac:dyDescent="0.25">
      <c r="A4" s="3" t="s">
        <v>138</v>
      </c>
      <c r="B4" s="3"/>
      <c r="C4" s="3"/>
      <c r="D4" s="3"/>
      <c r="E4" s="3"/>
    </row>
    <row r="5" ht="17" customHeight="1" spans="2:5" x14ac:dyDescent="0.25">
      <c r="B5" s="10" t="s">
        <v>139</v>
      </c>
      <c r="C5" s="10"/>
      <c r="D5" s="10"/>
      <c r="E5" s="10"/>
    </row>
    <row r="6" ht="17" customHeight="1" spans="2:5" x14ac:dyDescent="0.25">
      <c r="B6" s="10" t="s">
        <v>140</v>
      </c>
      <c r="C6" s="10"/>
      <c r="D6" s="10"/>
      <c r="E6" s="10"/>
    </row>
    <row r="7" ht="17" customHeight="1" spans="2:5" x14ac:dyDescent="0.25">
      <c r="B7" s="10" t="s">
        <v>141</v>
      </c>
      <c r="C7" s="10"/>
      <c r="D7" s="10"/>
      <c r="E7" s="10"/>
    </row>
    <row r="8" ht="17" customHeight="1" spans="2:5" x14ac:dyDescent="0.25">
      <c r="B8" s="10" t="s">
        <v>142</v>
      </c>
      <c r="C8" s="10"/>
      <c r="D8" s="10"/>
      <c r="E8" s="10"/>
    </row>
    <row r="9" ht="17" customHeight="1" spans="2:5" x14ac:dyDescent="0.25">
      <c r="B9" s="10" t="s">
        <v>143</v>
      </c>
      <c r="C9" s="10"/>
      <c r="D9" s="10"/>
      <c r="E9" s="10"/>
    </row>
    <row r="10" ht="17" customHeight="1" spans="2:5" x14ac:dyDescent="0.25">
      <c r="B10" s="10" t="s">
        <v>144</v>
      </c>
      <c r="C10" s="10"/>
      <c r="D10" s="10"/>
      <c r="E10" s="10"/>
    </row>
    <row r="12" ht="24" customHeight="1" spans="1:5" x14ac:dyDescent="0.25">
      <c r="A12" s="3" t="s">
        <v>145</v>
      </c>
      <c r="B12" s="3"/>
      <c r="C12" s="3"/>
      <c r="D12" s="3"/>
      <c r="E12" s="3"/>
    </row>
    <row r="13" ht="18" customHeight="1" spans="1:5" x14ac:dyDescent="0.25">
      <c r="A13" s="11" t="s">
        <v>146</v>
      </c>
      <c r="B13" s="11"/>
      <c r="C13" s="11"/>
      <c r="D13" s="11"/>
      <c r="E13" s="11"/>
    </row>
    <row r="14" ht="20" customHeight="1" spans="1:5" x14ac:dyDescent="0.25">
      <c r="A14" s="12"/>
      <c r="B14" s="12" t="s">
        <v>147</v>
      </c>
      <c r="C14" s="12" t="s">
        <v>148</v>
      </c>
      <c r="D14" s="12" t="s">
        <v>149</v>
      </c>
      <c r="E14" s="12" t="s">
        <v>150</v>
      </c>
    </row>
    <row r="15" ht="44" customHeight="1" spans="1:5" x14ac:dyDescent="0.25">
      <c r="A15" s="13"/>
      <c r="B15" s="14" t="s">
        <v>151</v>
      </c>
      <c r="C15" s="14" t="s">
        <v>152</v>
      </c>
      <c r="D15" s="15" t="s">
        <v>153</v>
      </c>
      <c r="E15" s="16" t="s">
        <v>154</v>
      </c>
    </row>
    <row r="16" ht="18" customHeight="1" spans="1:5" x14ac:dyDescent="0.25">
      <c r="A16" s="13"/>
      <c r="B16" s="14" t="s">
        <v>155</v>
      </c>
      <c r="C16" s="14" t="s">
        <v>156</v>
      </c>
      <c r="D16" s="15" t="s">
        <v>157</v>
      </c>
      <c r="E16" s="16" t="s">
        <v>158</v>
      </c>
    </row>
    <row r="17" ht="18" customHeight="1" spans="1:5" x14ac:dyDescent="0.25">
      <c r="A17" s="13"/>
      <c r="B17" s="14" t="s">
        <v>159</v>
      </c>
      <c r="C17" s="14" t="s">
        <v>160</v>
      </c>
      <c r="D17" s="15" t="s">
        <v>161</v>
      </c>
      <c r="E17" s="16" t="s">
        <v>162</v>
      </c>
    </row>
    <row r="18" ht="18" customHeight="1" spans="1:5" x14ac:dyDescent="0.25">
      <c r="A18" s="13"/>
      <c r="B18" s="14" t="s">
        <v>163</v>
      </c>
      <c r="C18" s="14" t="s">
        <v>164</v>
      </c>
      <c r="D18" s="15" t="s">
        <v>165</v>
      </c>
      <c r="E18" s="16" t="s">
        <v>166</v>
      </c>
    </row>
    <row r="19" ht="31" customHeight="1" spans="1:5" x14ac:dyDescent="0.25">
      <c r="A19" s="13"/>
      <c r="B19" s="14" t="s">
        <v>167</v>
      </c>
      <c r="C19" s="14" t="s">
        <v>168</v>
      </c>
      <c r="D19" s="15" t="s">
        <v>169</v>
      </c>
      <c r="E19" s="16" t="s">
        <v>170</v>
      </c>
    </row>
    <row r="20" ht="18" customHeight="1" spans="1:5" x14ac:dyDescent="0.25">
      <c r="A20" s="13"/>
      <c r="B20" s="14" t="s">
        <v>171</v>
      </c>
      <c r="C20" s="14" t="s">
        <v>172</v>
      </c>
      <c r="D20" s="15" t="s">
        <v>173</v>
      </c>
      <c r="E20" s="16" t="s">
        <v>174</v>
      </c>
    </row>
    <row r="21" ht="44" customHeight="1" spans="1:5" x14ac:dyDescent="0.25">
      <c r="A21" s="13"/>
      <c r="B21" s="14" t="s">
        <v>175</v>
      </c>
      <c r="C21" s="14" t="s">
        <v>176</v>
      </c>
      <c r="D21" s="15" t="s">
        <v>177</v>
      </c>
      <c r="E21" s="16" t="s">
        <v>178</v>
      </c>
    </row>
    <row r="22" spans="2:5" x14ac:dyDescent="0.25">
      <c r="B22" s="17" t="s">
        <v>179</v>
      </c>
      <c r="C22" s="17"/>
      <c r="D22" s="17"/>
      <c r="E22" s="17"/>
    </row>
    <row r="25" ht="24" customHeight="1" spans="1:5" x14ac:dyDescent="0.25">
      <c r="A25" s="3" t="s">
        <v>180</v>
      </c>
      <c r="B25" s="3"/>
      <c r="C25" s="3"/>
      <c r="D25" s="3"/>
      <c r="E25" s="3"/>
    </row>
    <row r="26" ht="20" customHeight="1" spans="1:5" x14ac:dyDescent="0.25">
      <c r="A26" s="12"/>
      <c r="B26" s="12" t="s">
        <v>147</v>
      </c>
      <c r="C26" s="12" t="s">
        <v>148</v>
      </c>
      <c r="D26" s="12" t="s">
        <v>149</v>
      </c>
      <c r="E26" s="12" t="s">
        <v>150</v>
      </c>
    </row>
    <row r="27" ht="31" customHeight="1" spans="1:5" x14ac:dyDescent="0.25">
      <c r="A27" s="13"/>
      <c r="B27" s="14" t="s">
        <v>181</v>
      </c>
      <c r="C27" s="14" t="s">
        <v>182</v>
      </c>
      <c r="D27" s="15" t="s">
        <v>183</v>
      </c>
      <c r="E27" s="16" t="s">
        <v>184</v>
      </c>
    </row>
    <row r="28" ht="31" customHeight="1" spans="1:5" x14ac:dyDescent="0.25">
      <c r="A28" s="13"/>
      <c r="B28" s="14" t="s">
        <v>185</v>
      </c>
      <c r="C28" s="14" t="s">
        <v>186</v>
      </c>
      <c r="D28" s="15" t="s">
        <v>187</v>
      </c>
      <c r="E28" s="16" t="s">
        <v>188</v>
      </c>
    </row>
    <row r="29" ht="31" customHeight="1" spans="1:5" x14ac:dyDescent="0.25">
      <c r="A29" s="13"/>
      <c r="B29" s="14" t="s">
        <v>185</v>
      </c>
      <c r="C29" s="14" t="s">
        <v>189</v>
      </c>
      <c r="D29" s="15" t="s">
        <v>190</v>
      </c>
      <c r="E29" s="16" t="s">
        <v>191</v>
      </c>
    </row>
    <row r="30" ht="44" customHeight="1" spans="1:5" x14ac:dyDescent="0.25">
      <c r="A30" s="13"/>
      <c r="B30" s="14" t="s">
        <v>192</v>
      </c>
      <c r="C30" s="14" t="s">
        <v>193</v>
      </c>
      <c r="D30" s="15" t="s">
        <v>194</v>
      </c>
      <c r="E30" s="16" t="s">
        <v>195</v>
      </c>
    </row>
    <row r="33" ht="24" customHeight="1" spans="1:5" x14ac:dyDescent="0.25">
      <c r="A33" s="3" t="s">
        <v>196</v>
      </c>
      <c r="B33" s="3"/>
      <c r="C33" s="3"/>
      <c r="D33" s="3"/>
      <c r="E33" s="3"/>
    </row>
    <row r="34" ht="20" customHeight="1" spans="1:5" x14ac:dyDescent="0.25">
      <c r="A34" s="12"/>
      <c r="B34" s="12" t="s">
        <v>147</v>
      </c>
      <c r="C34" s="12" t="s">
        <v>148</v>
      </c>
      <c r="D34" s="12" t="s">
        <v>149</v>
      </c>
      <c r="E34" s="12" t="s">
        <v>150</v>
      </c>
    </row>
    <row r="35" ht="31" customHeight="1" spans="1:5" x14ac:dyDescent="0.25">
      <c r="A35" s="13"/>
      <c r="B35" s="14" t="s">
        <v>197</v>
      </c>
      <c r="C35" s="14" t="s">
        <v>198</v>
      </c>
      <c r="D35" s="15" t="s">
        <v>199</v>
      </c>
      <c r="E35" s="16" t="s">
        <v>200</v>
      </c>
    </row>
    <row r="36" ht="49" customHeight="1" spans="1:5" x14ac:dyDescent="0.25">
      <c r="A36" s="13"/>
      <c r="B36" s="14" t="s">
        <v>201</v>
      </c>
      <c r="C36" s="14" t="s">
        <v>202</v>
      </c>
      <c r="D36" s="15" t="s">
        <v>203</v>
      </c>
      <c r="E36" s="16" t="s">
        <v>204</v>
      </c>
    </row>
    <row r="39" ht="24" customHeight="1" spans="1:5" x14ac:dyDescent="0.25">
      <c r="A39" s="3" t="s">
        <v>205</v>
      </c>
      <c r="B39" s="3"/>
      <c r="C39" s="3"/>
      <c r="D39" s="3"/>
      <c r="E39" s="3"/>
    </row>
    <row r="40" ht="20" customHeight="1" spans="1:5" x14ac:dyDescent="0.25">
      <c r="A40" s="12"/>
      <c r="B40" s="12" t="s">
        <v>147</v>
      </c>
      <c r="C40" s="12" t="s">
        <v>148</v>
      </c>
      <c r="D40" s="12" t="s">
        <v>149</v>
      </c>
      <c r="E40" s="12" t="s">
        <v>150</v>
      </c>
    </row>
    <row r="41" ht="31" customHeight="1" spans="1:5" x14ac:dyDescent="0.25">
      <c r="A41" s="13"/>
      <c r="B41" s="14" t="s">
        <v>206</v>
      </c>
      <c r="C41" s="14" t="s">
        <v>207</v>
      </c>
      <c r="D41" s="15" t="s">
        <v>208</v>
      </c>
      <c r="E41" s="16" t="s">
        <v>209</v>
      </c>
    </row>
    <row r="42" ht="57" customHeight="1" spans="1:5" x14ac:dyDescent="0.25">
      <c r="A42" s="13"/>
      <c r="B42" s="14" t="s">
        <v>210</v>
      </c>
      <c r="C42" s="14" t="s">
        <v>211</v>
      </c>
      <c r="D42" s="15" t="s">
        <v>212</v>
      </c>
      <c r="E42" s="16" t="s">
        <v>213</v>
      </c>
    </row>
    <row r="43" ht="49" customHeight="1" spans="1:5" x14ac:dyDescent="0.25">
      <c r="A43" s="13"/>
      <c r="B43" s="14" t="s">
        <v>214</v>
      </c>
      <c r="C43" s="14" t="s">
        <v>215</v>
      </c>
      <c r="D43" s="15" t="s">
        <v>216</v>
      </c>
      <c r="E43" s="16" t="s">
        <v>217</v>
      </c>
    </row>
    <row r="46" ht="24" customHeight="1" spans="1:5" x14ac:dyDescent="0.25">
      <c r="A46" s="3" t="s">
        <v>218</v>
      </c>
      <c r="B46" s="3"/>
      <c r="C46" s="3"/>
      <c r="D46" s="3"/>
      <c r="E46" s="3"/>
    </row>
    <row r="47" ht="20" customHeight="1" spans="1:5" x14ac:dyDescent="0.25">
      <c r="A47" s="12"/>
      <c r="B47" s="12" t="s">
        <v>147</v>
      </c>
      <c r="C47" s="12" t="s">
        <v>148</v>
      </c>
      <c r="D47" s="12" t="s">
        <v>149</v>
      </c>
      <c r="E47" s="12" t="s">
        <v>150</v>
      </c>
    </row>
    <row r="48" spans="2:5" x14ac:dyDescent="0.25">
      <c r="B48" s="18" t="s">
        <v>180</v>
      </c>
      <c r="C48" s="19" t="s">
        <v>219</v>
      </c>
      <c r="D48" s="19"/>
      <c r="E48" s="19"/>
    </row>
    <row r="49" spans="2:5" x14ac:dyDescent="0.25">
      <c r="B49" s="18" t="s">
        <v>220</v>
      </c>
      <c r="C49" s="19" t="s">
        <v>221</v>
      </c>
      <c r="D49" s="19"/>
      <c r="E49" s="19"/>
    </row>
    <row r="50" spans="2:5" x14ac:dyDescent="0.25">
      <c r="B50" s="18" t="s">
        <v>196</v>
      </c>
      <c r="C50" s="19" t="s">
        <v>222</v>
      </c>
      <c r="D50" s="19"/>
      <c r="E50" s="19"/>
    </row>
    <row r="51" spans="2:5" x14ac:dyDescent="0.25">
      <c r="B51" s="18" t="s">
        <v>223</v>
      </c>
      <c r="C51" s="19" t="s">
        <v>224</v>
      </c>
      <c r="D51" s="19"/>
      <c r="E51" s="19"/>
    </row>
  </sheetData>
  <mergeCells count="20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A12:E12"/>
    <mergeCell ref="A13:E13"/>
    <mergeCell ref="B22:E22"/>
    <mergeCell ref="A25:E25"/>
    <mergeCell ref="A33:E33"/>
    <mergeCell ref="A39:E39"/>
    <mergeCell ref="A46:E46"/>
    <mergeCell ref="C48:E48"/>
    <mergeCell ref="C49:E49"/>
    <mergeCell ref="C50:E50"/>
    <mergeCell ref="C51:E51"/>
  </mergeCells>
  <pageMargins left="0.4" right="0.4" top="0.5" bottom="0.5" header="0.3" footer="0.3"/>
  <pageSetup orientation="portrait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B441"/>
    <pageSetUpPr fitToPage="1"/>
  </sheetPr>
  <dimension ref="A1:C1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 defaultColWidth="12"/>
  <cols>
    <col min="1" max="1" width="26" customWidth="1"/>
    <col min="2" max="2" width="22" customWidth="1"/>
    <col min="3" max="3" width="96" customWidth="1"/>
  </cols>
  <sheetData>
    <row r="1" ht="30" customHeight="1" spans="1:3" x14ac:dyDescent="0.25">
      <c r="A1" s="20" t="s">
        <v>225</v>
      </c>
      <c r="B1" s="20" t="s">
        <v>226</v>
      </c>
      <c r="C1" s="20" t="s">
        <v>227</v>
      </c>
    </row>
    <row r="2" ht="22" customHeight="1" spans="1:3" x14ac:dyDescent="0.25">
      <c r="A2" s="21" t="s">
        <v>228</v>
      </c>
      <c r="B2" s="22" t="s">
        <v>229</v>
      </c>
      <c r="C2" s="11" t="s">
        <v>230</v>
      </c>
    </row>
    <row r="3" ht="22" customHeight="1" spans="1:3" x14ac:dyDescent="0.25">
      <c r="A3" s="21" t="s">
        <v>231</v>
      </c>
      <c r="B3" s="22" t="s">
        <v>229</v>
      </c>
      <c r="C3" s="11" t="s">
        <v>232</v>
      </c>
    </row>
    <row r="4" ht="22" customHeight="1" spans="1:3" x14ac:dyDescent="0.25">
      <c r="A4" s="21" t="s">
        <v>233</v>
      </c>
      <c r="B4" s="22" t="s">
        <v>229</v>
      </c>
      <c r="C4" s="11" t="s">
        <v>234</v>
      </c>
    </row>
    <row r="5" ht="22" customHeight="1" spans="1:3" x14ac:dyDescent="0.25">
      <c r="A5" s="21" t="s">
        <v>235</v>
      </c>
      <c r="B5" s="22" t="s">
        <v>236</v>
      </c>
      <c r="C5" s="11" t="s">
        <v>237</v>
      </c>
    </row>
    <row r="8" spans="1:2" x14ac:dyDescent="0.25">
      <c r="A8" s="4"/>
      <c r="B8" s="5" t="s">
        <v>238</v>
      </c>
    </row>
    <row r="9" spans="1:2" x14ac:dyDescent="0.25">
      <c r="A9" s="4"/>
      <c r="B9" s="5" t="s">
        <v>44</v>
      </c>
    </row>
    <row r="10" spans="1:2" x14ac:dyDescent="0.25">
      <c r="A10" s="4"/>
      <c r="B10" s="5" t="s">
        <v>239</v>
      </c>
    </row>
    <row r="11" spans="1:2" x14ac:dyDescent="0.25">
      <c r="A11" s="4"/>
      <c r="B11" s="5" t="s">
        <v>240</v>
      </c>
    </row>
  </sheetData>
  <autoFilter ref="A1:C1"/>
  <dataValidations count="1">
    <dataValidation type="list" showErrorMessage="1" errorTitle="Choose one" error="Type percent, or per kg. Nothing else will be understood." sqref="B5">
      <formula1>"percent,per kg"</formula1>
    </dataValidation>
  </dataValidations>
  <pageMargins left="0.4" right="0.4" top="0.5" bottom="0.5" header="0.3" footer="0.3"/>
  <pageSetup orientation="portrait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B441"/>
    <pageSetUpPr fitToPage="1"/>
  </sheetPr>
  <dimension ref="A1:N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 defaultColWidth="12"/>
  <cols>
    <col min="1" max="1" width="16" customWidth="1"/>
    <col min="2" max="2" width="56" customWidth="1"/>
    <col min="3" max="3" width="18" customWidth="1"/>
    <col min="4" max="4" width="15" customWidth="1"/>
    <col min="5" max="5" width="17" customWidth="1"/>
    <col min="6" max="6" width="15" style="23" customWidth="1"/>
    <col min="7" max="7" width="14" style="23" customWidth="1"/>
    <col min="8" max="8" width="13" style="23" customWidth="1"/>
    <col min="9" max="9" width="11" style="23" customWidth="1"/>
    <col min="10" max="10" width="12" style="23" customWidth="1"/>
    <col min="11" max="11" width="11" style="23" customWidth="1"/>
    <col min="12" max="12" width="12" style="23" customWidth="1"/>
    <col min="13" max="13" width="14" style="23" customWidth="1"/>
    <col min="14" max="14" width="17" style="23" customWidth="1"/>
  </cols>
  <sheetData>
    <row r="1" ht="30" customHeight="1" spans="1:14" x14ac:dyDescent="0.25">
      <c r="A1" s="20" t="s">
        <v>241</v>
      </c>
      <c r="B1" s="20" t="s">
        <v>242</v>
      </c>
      <c r="C1" s="20" t="s">
        <v>243</v>
      </c>
      <c r="D1" s="20" t="s">
        <v>244</v>
      </c>
      <c r="E1" s="20" t="s">
        <v>245</v>
      </c>
      <c r="F1" s="24" t="s">
        <v>197</v>
      </c>
      <c r="G1" s="24" t="s">
        <v>151</v>
      </c>
      <c r="H1" s="24" t="s">
        <v>163</v>
      </c>
      <c r="I1" s="24" t="s">
        <v>155</v>
      </c>
      <c r="J1" s="24" t="s">
        <v>246</v>
      </c>
      <c r="K1" s="24" t="s">
        <v>171</v>
      </c>
      <c r="L1" s="24" t="s">
        <v>159</v>
      </c>
      <c r="M1" s="24" t="s">
        <v>247</v>
      </c>
      <c r="N1" s="24" t="s">
        <v>175</v>
      </c>
    </row>
    <row r="2" spans="1:14" x14ac:dyDescent="0.25">
      <c r="A2" s="25" t="s">
        <v>248</v>
      </c>
      <c r="B2" s="26" t="s">
        <v>249</v>
      </c>
      <c r="C2" s="25" t="s">
        <v>250</v>
      </c>
      <c r="D2" s="25" t="s">
        <v>251</v>
      </c>
      <c r="E2" s="25" t="s">
        <v>252</v>
      </c>
      <c r="F2" s="27">
        <v>40.97</v>
      </c>
      <c r="G2" s="27">
        <v>1.75</v>
      </c>
      <c r="H2" s="27">
        <v>1.06</v>
      </c>
      <c r="I2" s="27">
        <v>1.97</v>
      </c>
      <c r="J2" s="27">
        <v>0.18</v>
      </c>
      <c r="K2" s="27">
        <v>0.64</v>
      </c>
      <c r="L2" s="27">
        <v>4.45</v>
      </c>
      <c r="M2" s="27">
        <v>0</v>
      </c>
      <c r="N2" s="27">
        <v>10.06</v>
      </c>
    </row>
  </sheetData>
  <autoFilter ref="A1:N1"/>
  <pageMargins left="0.4" right="0.4" top="0.5" bottom="0.5" header="0.3" footer="0.3"/>
  <pageSetup orientation="portrait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B441"/>
    <pageSetUpPr fitToPage="1"/>
  </sheetPr>
  <dimension ref="A1:G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 defaultColWidth="12"/>
  <cols>
    <col min="1" max="1" width="18" customWidth="1"/>
    <col min="2" max="2" width="56" customWidth="1"/>
    <col min="3" max="3" width="18" customWidth="1"/>
    <col min="4" max="4" width="15" customWidth="1"/>
    <col min="5" max="5" width="15" style="23" customWidth="1"/>
    <col min="6" max="6" width="18" style="23" customWidth="1"/>
    <col min="7" max="7" width="11" style="23" customWidth="1"/>
  </cols>
  <sheetData>
    <row r="1" ht="30" customHeight="1" spans="1:7" x14ac:dyDescent="0.25">
      <c r="A1" s="20" t="s">
        <v>253</v>
      </c>
      <c r="B1" s="20" t="s">
        <v>254</v>
      </c>
      <c r="C1" s="20" t="s">
        <v>255</v>
      </c>
      <c r="D1" s="20" t="s">
        <v>256</v>
      </c>
      <c r="E1" s="24" t="s">
        <v>181</v>
      </c>
      <c r="F1" s="24" t="s">
        <v>185</v>
      </c>
      <c r="G1" s="24" t="s">
        <v>192</v>
      </c>
    </row>
    <row r="2" spans="1:7" x14ac:dyDescent="0.25">
      <c r="A2" s="25" t="s">
        <v>248</v>
      </c>
      <c r="B2" s="26" t="s">
        <v>257</v>
      </c>
      <c r="C2" s="25" t="s">
        <v>250</v>
      </c>
      <c r="D2" s="25" t="s">
        <v>258</v>
      </c>
      <c r="E2" s="27">
        <v>0.72</v>
      </c>
      <c r="F2" s="27">
        <v>40.48</v>
      </c>
      <c r="G2" s="27">
        <v>2.19</v>
      </c>
    </row>
  </sheetData>
  <autoFilter ref="A1:G1"/>
  <pageMargins left="0.4" right="0.4" top="0.5" bottom="0.5" header="0.3" footer="0.3"/>
  <pageSetup orientation="portrait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B441"/>
    <pageSetUpPr fitToPage="1"/>
  </sheetPr>
  <dimension ref="A1:E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 defaultColWidth="12"/>
  <cols>
    <col min="1" max="1" width="18" customWidth="1"/>
    <col min="2" max="2" width="72" customWidth="1"/>
    <col min="3" max="3" width="18" customWidth="1"/>
    <col min="4" max="4" width="15" customWidth="1"/>
    <col min="5" max="5" width="18" style="23" customWidth="1"/>
  </cols>
  <sheetData>
    <row r="1" ht="30" customHeight="1" spans="1:5" x14ac:dyDescent="0.25">
      <c r="A1" s="20" t="s">
        <v>245</v>
      </c>
      <c r="B1" s="20" t="s">
        <v>259</v>
      </c>
      <c r="C1" s="20" t="s">
        <v>243</v>
      </c>
      <c r="D1" s="20" t="s">
        <v>244</v>
      </c>
      <c r="E1" s="24" t="s">
        <v>197</v>
      </c>
    </row>
    <row r="2" spans="1:5" x14ac:dyDescent="0.25">
      <c r="A2" s="25" t="s">
        <v>248</v>
      </c>
      <c r="B2" s="26" t="s">
        <v>260</v>
      </c>
      <c r="C2" s="25" t="s">
        <v>250</v>
      </c>
      <c r="D2" s="25" t="s">
        <v>251</v>
      </c>
      <c r="E2" s="27">
        <v>40.97</v>
      </c>
    </row>
  </sheetData>
  <autoFilter ref="A1:E1"/>
  <pageMargins left="0.4" right="0.4" top="0.5" bottom="0.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B441"/>
    <pageSetUpPr fitToPage="1"/>
  </sheetPr>
  <dimension ref="A1:E54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 defaultColWidth="12"/>
  <cols>
    <col min="1" max="1" width="24" customWidth="1"/>
    <col min="2" max="2" width="52" customWidth="1"/>
    <col min="3" max="3" width="16" customWidth="1"/>
    <col min="4" max="4" width="56" customWidth="1"/>
    <col min="5" max="5" width="12" customWidth="1"/>
  </cols>
  <sheetData>
    <row r="1" ht="30" customHeight="1" spans="1:5" x14ac:dyDescent="0.25">
      <c r="A1" s="20" t="s">
        <v>261</v>
      </c>
      <c r="B1" s="20" t="s">
        <v>262</v>
      </c>
      <c r="C1" s="20" t="s">
        <v>263</v>
      </c>
      <c r="D1" s="20" t="s">
        <v>264</v>
      </c>
      <c r="E1" s="20" t="s">
        <v>265</v>
      </c>
    </row>
    <row r="2" spans="1:5" x14ac:dyDescent="0.25">
      <c r="A2" s="28" t="s">
        <v>266</v>
      </c>
      <c r="B2" s="19" t="s">
        <v>267</v>
      </c>
      <c r="C2" s="29"/>
      <c r="D2" s="17" t="str">
        <f>IF($C2="","",IFERROR(IF($E2="machine",INDEX('JLR Machines'!$B$2:$B$20001,MATCH($C2,'JLR Machines'!$A$2:$A$20001,0)),IF($E2="material",INDEX('JLR Materials'!$B$2:$B$20001,MATCH($C2,'JLR Materials'!$A$2:$A$20001,0)),IF($E2="labour",IFERROR(INDEX('JLR Labour'!$B$2:$B$20001,MATCH($C2,'JLR Labour'!$A$2:$A$20001,0)),"labour category "&amp;$C2&amp;" — from the machine tab"),""))),"NOT FOUND — check the code"))</f>
        <v/>
      </c>
      <c r="E2" s="30" t="s">
        <v>268</v>
      </c>
    </row>
    <row r="3" spans="1:5" x14ac:dyDescent="0.25">
      <c r="A3" s="28" t="s">
        <v>269</v>
      </c>
      <c r="B3" s="19" t="s">
        <v>270</v>
      </c>
      <c r="C3" s="29"/>
      <c r="D3" s="17" t="str">
        <f>IF($C3="","",IFERROR(IF($E3="machine",INDEX('JLR Machines'!$B$2:$B$20001,MATCH($C3,'JLR Machines'!$A$2:$A$20001,0)),IF($E3="material",INDEX('JLR Materials'!$B$2:$B$20001,MATCH($C3,'JLR Materials'!$A$2:$A$20001,0)),IF($E3="labour",IFERROR(INDEX('JLR Labour'!$B$2:$B$20001,MATCH($C3,'JLR Labour'!$A$2:$A$20001,0)),"labour category "&amp;$C3&amp;" — from the machine tab"),""))),"NOT FOUND — check the code"))</f>
        <v/>
      </c>
      <c r="E3" s="30" t="s">
        <v>268</v>
      </c>
    </row>
    <row r="4" spans="1:5" x14ac:dyDescent="0.25">
      <c r="A4" s="28" t="s">
        <v>271</v>
      </c>
      <c r="B4" s="19" t="s">
        <v>272</v>
      </c>
      <c r="C4" s="29"/>
      <c r="D4" s="17" t="str">
        <f>IF($C4="","",IFERROR(IF($E4="machine",INDEX('JLR Machines'!$B$2:$B$20001,MATCH($C4,'JLR Machines'!$A$2:$A$20001,0)),IF($E4="material",INDEX('JLR Materials'!$B$2:$B$20001,MATCH($C4,'JLR Materials'!$A$2:$A$20001,0)),IF($E4="labour",IFERROR(INDEX('JLR Labour'!$B$2:$B$20001,MATCH($C4,'JLR Labour'!$A$2:$A$20001,0)),"labour category "&amp;$C4&amp;" — from the machine tab"),""))),"NOT FOUND — check the code"))</f>
        <v/>
      </c>
      <c r="E4" s="30" t="s">
        <v>268</v>
      </c>
    </row>
    <row r="5" spans="1:5" x14ac:dyDescent="0.25">
      <c r="A5" s="28" t="s">
        <v>273</v>
      </c>
      <c r="B5" s="19" t="s">
        <v>274</v>
      </c>
      <c r="C5" s="29"/>
      <c r="D5" s="17" t="str">
        <f>IF($C5="","",IFERROR(IF($E5="machine",INDEX('JLR Machines'!$B$2:$B$20001,MATCH($C5,'JLR Machines'!$A$2:$A$20001,0)),IF($E5="material",INDEX('JLR Materials'!$B$2:$B$20001,MATCH($C5,'JLR Materials'!$A$2:$A$20001,0)),IF($E5="labour",IFERROR(INDEX('JLR Labour'!$B$2:$B$20001,MATCH($C5,'JLR Labour'!$A$2:$A$20001,0)),"labour category "&amp;$C5&amp;" — from the machine tab"),""))),"NOT FOUND — check the code"))</f>
        <v/>
      </c>
      <c r="E5" s="30" t="s">
        <v>268</v>
      </c>
    </row>
    <row r="6" spans="1:5" x14ac:dyDescent="0.25">
      <c r="A6" s="28" t="s">
        <v>275</v>
      </c>
      <c r="B6" s="19" t="s">
        <v>276</v>
      </c>
      <c r="C6" s="29"/>
      <c r="D6" s="17" t="str">
        <f>IF($C6="","",IFERROR(IF($E6="machine",INDEX('JLR Machines'!$B$2:$B$20001,MATCH($C6,'JLR Machines'!$A$2:$A$20001,0)),IF($E6="material",INDEX('JLR Materials'!$B$2:$B$20001,MATCH($C6,'JLR Materials'!$A$2:$A$20001,0)),IF($E6="labour",IFERROR(INDEX('JLR Labour'!$B$2:$B$20001,MATCH($C6,'JLR Labour'!$A$2:$A$20001,0)),"labour category "&amp;$C6&amp;" — from the machine tab"),""))),"NOT FOUND — check the code"))</f>
        <v/>
      </c>
      <c r="E6" s="30" t="s">
        <v>268</v>
      </c>
    </row>
    <row r="7" spans="1:5" x14ac:dyDescent="0.25">
      <c r="A7" s="28" t="s">
        <v>277</v>
      </c>
      <c r="B7" s="19" t="s">
        <v>278</v>
      </c>
      <c r="C7" s="29"/>
      <c r="D7" s="17" t="str">
        <f>IF($C7="","",IFERROR(IF($E7="machine",INDEX('JLR Machines'!$B$2:$B$20001,MATCH($C7,'JLR Machines'!$A$2:$A$20001,0)),IF($E7="material",INDEX('JLR Materials'!$B$2:$B$20001,MATCH($C7,'JLR Materials'!$A$2:$A$20001,0)),IF($E7="labour",IFERROR(INDEX('JLR Labour'!$B$2:$B$20001,MATCH($C7,'JLR Labour'!$A$2:$A$20001,0)),"labour category "&amp;$C7&amp;" — from the machine tab"),""))),"NOT FOUND — check the code"))</f>
        <v/>
      </c>
      <c r="E7" s="30" t="s">
        <v>268</v>
      </c>
    </row>
    <row r="8" spans="1:5" x14ac:dyDescent="0.25">
      <c r="A8" s="28" t="s">
        <v>279</v>
      </c>
      <c r="B8" s="19" t="s">
        <v>280</v>
      </c>
      <c r="C8" s="29"/>
      <c r="D8" s="17" t="str">
        <f>IF($C8="","",IFERROR(IF($E8="machine",INDEX('JLR Machines'!$B$2:$B$20001,MATCH($C8,'JLR Machines'!$A$2:$A$20001,0)),IF($E8="material",INDEX('JLR Materials'!$B$2:$B$20001,MATCH($C8,'JLR Materials'!$A$2:$A$20001,0)),IF($E8="labour",IFERROR(INDEX('JLR Labour'!$B$2:$B$20001,MATCH($C8,'JLR Labour'!$A$2:$A$20001,0)),"labour category "&amp;$C8&amp;" — from the machine tab"),""))),"NOT FOUND — check the code"))</f>
        <v/>
      </c>
      <c r="E8" s="30" t="s">
        <v>268</v>
      </c>
    </row>
    <row r="9" spans="1:5" x14ac:dyDescent="0.25">
      <c r="A9" s="28" t="s">
        <v>281</v>
      </c>
      <c r="B9" s="19" t="s">
        <v>282</v>
      </c>
      <c r="C9" s="29"/>
      <c r="D9" s="17" t="str">
        <f>IF($C9="","",IFERROR(IF($E9="machine",INDEX('JLR Machines'!$B$2:$B$20001,MATCH($C9,'JLR Machines'!$A$2:$A$20001,0)),IF($E9="material",INDEX('JLR Materials'!$B$2:$B$20001,MATCH($C9,'JLR Materials'!$A$2:$A$20001,0)),IF($E9="labour",IFERROR(INDEX('JLR Labour'!$B$2:$B$20001,MATCH($C9,'JLR Labour'!$A$2:$A$20001,0)),"labour category "&amp;$C9&amp;" — from the machine tab"),""))),"NOT FOUND — check the code"))</f>
        <v/>
      </c>
      <c r="E9" s="30" t="s">
        <v>268</v>
      </c>
    </row>
    <row r="10" spans="1:5" x14ac:dyDescent="0.25">
      <c r="A10" s="28" t="s">
        <v>283</v>
      </c>
      <c r="B10" s="19" t="s">
        <v>284</v>
      </c>
      <c r="C10" s="29"/>
      <c r="D10" s="17" t="str">
        <f>IF($C10="","",IFERROR(IF($E10="machine",INDEX('JLR Machines'!$B$2:$B$20001,MATCH($C10,'JLR Machines'!$A$2:$A$20001,0)),IF($E10="material",INDEX('JLR Materials'!$B$2:$B$20001,MATCH($C10,'JLR Materials'!$A$2:$A$20001,0)),IF($E10="labour",IFERROR(INDEX('JLR Labour'!$B$2:$B$20001,MATCH($C10,'JLR Labour'!$A$2:$A$20001,0)),"labour category "&amp;$C10&amp;" — from the machine tab"),""))),"NOT FOUND — check the code"))</f>
        <v/>
      </c>
      <c r="E10" s="30" t="s">
        <v>268</v>
      </c>
    </row>
    <row r="11" spans="1:5" x14ac:dyDescent="0.25">
      <c r="A11" s="28" t="s">
        <v>285</v>
      </c>
      <c r="B11" s="19" t="s">
        <v>286</v>
      </c>
      <c r="C11" s="29"/>
      <c r="D11" s="17" t="str">
        <f>IF($C11="","",IFERROR(IF($E11="machine",INDEX('JLR Machines'!$B$2:$B$20001,MATCH($C11,'JLR Machines'!$A$2:$A$20001,0)),IF($E11="material",INDEX('JLR Materials'!$B$2:$B$20001,MATCH($C11,'JLR Materials'!$A$2:$A$20001,0)),IF($E11="labour",IFERROR(INDEX('JLR Labour'!$B$2:$B$20001,MATCH($C11,'JLR Labour'!$A$2:$A$20001,0)),"labour category "&amp;$C11&amp;" — from the machine tab"),""))),"NOT FOUND — check the code"))</f>
        <v/>
      </c>
      <c r="E11" s="30" t="s">
        <v>268</v>
      </c>
    </row>
    <row r="12" spans="1:5" x14ac:dyDescent="0.25">
      <c r="A12" s="28" t="s">
        <v>287</v>
      </c>
      <c r="B12" s="19" t="s">
        <v>288</v>
      </c>
      <c r="C12" s="29"/>
      <c r="D12" s="17" t="str">
        <f>IF($C12="","",IFERROR(IF($E12="machine",INDEX('JLR Machines'!$B$2:$B$20001,MATCH($C12,'JLR Machines'!$A$2:$A$20001,0)),IF($E12="material",INDEX('JLR Materials'!$B$2:$B$20001,MATCH($C12,'JLR Materials'!$A$2:$A$20001,0)),IF($E12="labour",IFERROR(INDEX('JLR Labour'!$B$2:$B$20001,MATCH($C12,'JLR Labour'!$A$2:$A$20001,0)),"labour category "&amp;$C12&amp;" — from the machine tab"),""))),"NOT FOUND — check the code"))</f>
        <v/>
      </c>
      <c r="E12" s="30" t="s">
        <v>268</v>
      </c>
    </row>
    <row r="13" spans="1:5" x14ac:dyDescent="0.25">
      <c r="A13" s="28" t="s">
        <v>289</v>
      </c>
      <c r="B13" s="19" t="s">
        <v>290</v>
      </c>
      <c r="C13" s="29"/>
      <c r="D13" s="17" t="str">
        <f>IF($C13="","",IFERROR(IF($E13="machine",INDEX('JLR Machines'!$B$2:$B$20001,MATCH($C13,'JLR Machines'!$A$2:$A$20001,0)),IF($E13="material",INDEX('JLR Materials'!$B$2:$B$20001,MATCH($C13,'JLR Materials'!$A$2:$A$20001,0)),IF($E13="labour",IFERROR(INDEX('JLR Labour'!$B$2:$B$20001,MATCH($C13,'JLR Labour'!$A$2:$A$20001,0)),"labour category "&amp;$C13&amp;" — from the machine tab"),""))),"NOT FOUND — check the code"))</f>
        <v/>
      </c>
      <c r="E13" s="30" t="s">
        <v>268</v>
      </c>
    </row>
    <row r="14" spans="1:5" x14ac:dyDescent="0.25">
      <c r="A14" s="28" t="s">
        <v>291</v>
      </c>
      <c r="B14" s="19" t="s">
        <v>292</v>
      </c>
      <c r="C14" s="29"/>
      <c r="D14" s="17" t="str">
        <f>IF($C14="","",IFERROR(IF($E14="machine",INDEX('JLR Machines'!$B$2:$B$20001,MATCH($C14,'JLR Machines'!$A$2:$A$20001,0)),IF($E14="material",INDEX('JLR Materials'!$B$2:$B$20001,MATCH($C14,'JLR Materials'!$A$2:$A$20001,0)),IF($E14="labour",IFERROR(INDEX('JLR Labour'!$B$2:$B$20001,MATCH($C14,'JLR Labour'!$A$2:$A$20001,0)),"labour category "&amp;$C14&amp;" — from the machine tab"),""))),"NOT FOUND — check the code"))</f>
        <v/>
      </c>
      <c r="E14" s="30" t="s">
        <v>268</v>
      </c>
    </row>
    <row r="15" spans="1:5" x14ac:dyDescent="0.25">
      <c r="A15" s="28" t="s">
        <v>293</v>
      </c>
      <c r="B15" s="19" t="s">
        <v>294</v>
      </c>
      <c r="C15" s="29"/>
      <c r="D15" s="17" t="str">
        <f>IF($C15="","",IFERROR(IF($E15="machine",INDEX('JLR Machines'!$B$2:$B$20001,MATCH($C15,'JLR Machines'!$A$2:$A$20001,0)),IF($E15="material",INDEX('JLR Materials'!$B$2:$B$20001,MATCH($C15,'JLR Materials'!$A$2:$A$20001,0)),IF($E15="labour",IFERROR(INDEX('JLR Labour'!$B$2:$B$20001,MATCH($C15,'JLR Labour'!$A$2:$A$20001,0)),"labour category "&amp;$C15&amp;" — from the machine tab"),""))),"NOT FOUND — check the code"))</f>
        <v/>
      </c>
      <c r="E15" s="30" t="s">
        <v>268</v>
      </c>
    </row>
    <row r="16" spans="1:5" x14ac:dyDescent="0.25">
      <c r="A16" s="28" t="s">
        <v>295</v>
      </c>
      <c r="B16" s="19" t="s">
        <v>296</v>
      </c>
      <c r="C16" s="29"/>
      <c r="D16" s="17" t="str">
        <f>IF($C16="","",IFERROR(IF($E16="machine",INDEX('JLR Machines'!$B$2:$B$20001,MATCH($C16,'JLR Machines'!$A$2:$A$20001,0)),IF($E16="material",INDEX('JLR Materials'!$B$2:$B$20001,MATCH($C16,'JLR Materials'!$A$2:$A$20001,0)),IF($E16="labour",IFERROR(INDEX('JLR Labour'!$B$2:$B$20001,MATCH($C16,'JLR Labour'!$A$2:$A$20001,0)),"labour category "&amp;$C16&amp;" — from the machine tab"),""))),"NOT FOUND — check the code"))</f>
        <v/>
      </c>
      <c r="E16" s="30" t="s">
        <v>268</v>
      </c>
    </row>
    <row r="17" spans="1:5" x14ac:dyDescent="0.25">
      <c r="A17" s="28" t="s">
        <v>297</v>
      </c>
      <c r="B17" s="19" t="s">
        <v>298</v>
      </c>
      <c r="C17" s="29"/>
      <c r="D17" s="17" t="str">
        <f>IF($C17="","",IFERROR(IF($E17="machine",INDEX('JLR Machines'!$B$2:$B$20001,MATCH($C17,'JLR Machines'!$A$2:$A$20001,0)),IF($E17="material",INDEX('JLR Materials'!$B$2:$B$20001,MATCH($C17,'JLR Materials'!$A$2:$A$20001,0)),IF($E17="labour",IFERROR(INDEX('JLR Labour'!$B$2:$B$20001,MATCH($C17,'JLR Labour'!$A$2:$A$20001,0)),"labour category "&amp;$C17&amp;" — from the machine tab"),""))),"NOT FOUND — check the code"))</f>
        <v/>
      </c>
      <c r="E17" s="30" t="s">
        <v>268</v>
      </c>
    </row>
    <row r="18" spans="1:5" x14ac:dyDescent="0.25">
      <c r="A18" s="28" t="s">
        <v>299</v>
      </c>
      <c r="B18" s="19" t="s">
        <v>300</v>
      </c>
      <c r="C18" s="29"/>
      <c r="D18" s="17" t="str">
        <f>IF($C18="","",IFERROR(IF($E18="machine",INDEX('JLR Machines'!$B$2:$B$20001,MATCH($C18,'JLR Machines'!$A$2:$A$20001,0)),IF($E18="material",INDEX('JLR Materials'!$B$2:$B$20001,MATCH($C18,'JLR Materials'!$A$2:$A$20001,0)),IF($E18="labour",IFERROR(INDEX('JLR Labour'!$B$2:$B$20001,MATCH($C18,'JLR Labour'!$A$2:$A$20001,0)),"labour category "&amp;$C18&amp;" — from the machine tab"),""))),"NOT FOUND — check the code"))</f>
        <v/>
      </c>
      <c r="E18" s="30" t="s">
        <v>268</v>
      </c>
    </row>
    <row r="19" spans="1:5" x14ac:dyDescent="0.25">
      <c r="A19" s="28" t="s">
        <v>301</v>
      </c>
      <c r="B19" s="19" t="s">
        <v>302</v>
      </c>
      <c r="C19" s="29"/>
      <c r="D19" s="17" t="str">
        <f>IF($C19="","",IFERROR(IF($E19="machine",INDEX('JLR Machines'!$B$2:$B$20001,MATCH($C19,'JLR Machines'!$A$2:$A$20001,0)),IF($E19="material",INDEX('JLR Materials'!$B$2:$B$20001,MATCH($C19,'JLR Materials'!$A$2:$A$20001,0)),IF($E19="labour",IFERROR(INDEX('JLR Labour'!$B$2:$B$20001,MATCH($C19,'JLR Labour'!$A$2:$A$20001,0)),"labour category "&amp;$C19&amp;" — from the machine tab"),""))),"NOT FOUND — check the code"))</f>
        <v/>
      </c>
      <c r="E19" s="30" t="s">
        <v>268</v>
      </c>
    </row>
    <row r="20" spans="1:5" x14ac:dyDescent="0.25">
      <c r="A20" s="28" t="s">
        <v>303</v>
      </c>
      <c r="B20" s="19" t="s">
        <v>304</v>
      </c>
      <c r="C20" s="29"/>
      <c r="D20" s="17" t="str">
        <f>IF($C20="","",IFERROR(IF($E20="machine",INDEX('JLR Machines'!$B$2:$B$20001,MATCH($C20,'JLR Machines'!$A$2:$A$20001,0)),IF($E20="material",INDEX('JLR Materials'!$B$2:$B$20001,MATCH($C20,'JLR Materials'!$A$2:$A$20001,0)),IF($E20="labour",IFERROR(INDEX('JLR Labour'!$B$2:$B$20001,MATCH($C20,'JLR Labour'!$A$2:$A$20001,0)),"labour category "&amp;$C20&amp;" — from the machine tab"),""))),"NOT FOUND — check the code"))</f>
        <v/>
      </c>
      <c r="E20" s="30" t="s">
        <v>268</v>
      </c>
    </row>
    <row r="21" spans="1:5" x14ac:dyDescent="0.25">
      <c r="A21" s="28" t="s">
        <v>305</v>
      </c>
      <c r="B21" s="19" t="s">
        <v>306</v>
      </c>
      <c r="C21" s="29"/>
      <c r="D21" s="17" t="str">
        <f>IF($C21="","",IFERROR(IF($E21="machine",INDEX('JLR Machines'!$B$2:$B$20001,MATCH($C21,'JLR Machines'!$A$2:$A$20001,0)),IF($E21="material",INDEX('JLR Materials'!$B$2:$B$20001,MATCH($C21,'JLR Materials'!$A$2:$A$20001,0)),IF($E21="labour",IFERROR(INDEX('JLR Labour'!$B$2:$B$20001,MATCH($C21,'JLR Labour'!$A$2:$A$20001,0)),"labour category "&amp;$C21&amp;" — from the machine tab"),""))),"NOT FOUND — check the code"))</f>
        <v/>
      </c>
      <c r="E21" s="30" t="s">
        <v>268</v>
      </c>
    </row>
    <row r="22" spans="1:5" x14ac:dyDescent="0.25">
      <c r="A22" s="28" t="s">
        <v>307</v>
      </c>
      <c r="B22" s="19" t="s">
        <v>308</v>
      </c>
      <c r="C22" s="29"/>
      <c r="D22" s="17" t="str">
        <f>IF($C22="","",IFERROR(IF($E22="machine",INDEX('JLR Machines'!$B$2:$B$20001,MATCH($C22,'JLR Machines'!$A$2:$A$20001,0)),IF($E22="material",INDEX('JLR Materials'!$B$2:$B$20001,MATCH($C22,'JLR Materials'!$A$2:$A$20001,0)),IF($E22="labour",IFERROR(INDEX('JLR Labour'!$B$2:$B$20001,MATCH($C22,'JLR Labour'!$A$2:$A$20001,0)),"labour category "&amp;$C22&amp;" — from the machine tab"),""))),"NOT FOUND — check the code"))</f>
        <v/>
      </c>
      <c r="E22" s="30" t="s">
        <v>268</v>
      </c>
    </row>
    <row r="23" spans="1:5" x14ac:dyDescent="0.25">
      <c r="A23" s="28" t="s">
        <v>309</v>
      </c>
      <c r="B23" s="19" t="s">
        <v>310</v>
      </c>
      <c r="C23" s="29"/>
      <c r="D23" s="17" t="str">
        <f>IF($C23="","",IFERROR(IF($E23="machine",INDEX('JLR Machines'!$B$2:$B$20001,MATCH($C23,'JLR Machines'!$A$2:$A$20001,0)),IF($E23="material",INDEX('JLR Materials'!$B$2:$B$20001,MATCH($C23,'JLR Materials'!$A$2:$A$20001,0)),IF($E23="labour",IFERROR(INDEX('JLR Labour'!$B$2:$B$20001,MATCH($C23,'JLR Labour'!$A$2:$A$20001,0)),"labour category "&amp;$C23&amp;" — from the machine tab"),""))),"NOT FOUND — check the code"))</f>
        <v/>
      </c>
      <c r="E23" s="30" t="s">
        <v>268</v>
      </c>
    </row>
    <row r="24" spans="1:5" x14ac:dyDescent="0.25">
      <c r="A24" s="28" t="s">
        <v>311</v>
      </c>
      <c r="B24" s="19" t="s">
        <v>312</v>
      </c>
      <c r="C24" s="29"/>
      <c r="D24" s="17" t="str">
        <f>IF($C24="","",IFERROR(IF($E24="machine",INDEX('JLR Machines'!$B$2:$B$20001,MATCH($C24,'JLR Machines'!$A$2:$A$20001,0)),IF($E24="material",INDEX('JLR Materials'!$B$2:$B$20001,MATCH($C24,'JLR Materials'!$A$2:$A$20001,0)),IF($E24="labour",IFERROR(INDEX('JLR Labour'!$B$2:$B$20001,MATCH($C24,'JLR Labour'!$A$2:$A$20001,0)),"labour category "&amp;$C24&amp;" — from the machine tab"),""))),"NOT FOUND — check the code"))</f>
        <v/>
      </c>
      <c r="E24" s="30" t="s">
        <v>268</v>
      </c>
    </row>
    <row r="25" spans="1:5" x14ac:dyDescent="0.25">
      <c r="A25" s="28" t="s">
        <v>313</v>
      </c>
      <c r="B25" s="19" t="s">
        <v>314</v>
      </c>
      <c r="C25" s="29"/>
      <c r="D25" s="17" t="str">
        <f>IF($C25="","",IFERROR(IF($E25="machine",INDEX('JLR Machines'!$B$2:$B$20001,MATCH($C25,'JLR Machines'!$A$2:$A$20001,0)),IF($E25="material",INDEX('JLR Materials'!$B$2:$B$20001,MATCH($C25,'JLR Materials'!$A$2:$A$20001,0)),IF($E25="labour",IFERROR(INDEX('JLR Labour'!$B$2:$B$20001,MATCH($C25,'JLR Labour'!$A$2:$A$20001,0)),"labour category "&amp;$C25&amp;" — from the machine tab"),""))),"NOT FOUND — check the code"))</f>
        <v/>
      </c>
      <c r="E25" s="30" t="s">
        <v>268</v>
      </c>
    </row>
    <row r="26" spans="1:5" x14ac:dyDescent="0.25">
      <c r="A26" s="28" t="s">
        <v>315</v>
      </c>
      <c r="B26" s="19" t="s">
        <v>316</v>
      </c>
      <c r="C26" s="29"/>
      <c r="D26" s="17" t="str">
        <f>IF($C26="","",IFERROR(IF($E26="machine",INDEX('JLR Machines'!$B$2:$B$20001,MATCH($C26,'JLR Machines'!$A$2:$A$20001,0)),IF($E26="material",INDEX('JLR Materials'!$B$2:$B$20001,MATCH($C26,'JLR Materials'!$A$2:$A$20001,0)),IF($E26="labour",IFERROR(INDEX('JLR Labour'!$B$2:$B$20001,MATCH($C26,'JLR Labour'!$A$2:$A$20001,0)),"labour category "&amp;$C26&amp;" — from the machine tab"),""))),"NOT FOUND — check the code"))</f>
        <v/>
      </c>
      <c r="E26" s="30" t="s">
        <v>268</v>
      </c>
    </row>
    <row r="27" spans="1:5" x14ac:dyDescent="0.25">
      <c r="A27" s="28" t="s">
        <v>317</v>
      </c>
      <c r="B27" s="19" t="s">
        <v>318</v>
      </c>
      <c r="C27" s="29"/>
      <c r="D27" s="17" t="str">
        <f>IF($C27="","",IFERROR(IF($E27="machine",INDEX('JLR Machines'!$B$2:$B$20001,MATCH($C27,'JLR Machines'!$A$2:$A$20001,0)),IF($E27="material",INDEX('JLR Materials'!$B$2:$B$20001,MATCH($C27,'JLR Materials'!$A$2:$A$20001,0)),IF($E27="labour",IFERROR(INDEX('JLR Labour'!$B$2:$B$20001,MATCH($C27,'JLR Labour'!$A$2:$A$20001,0)),"labour category "&amp;$C27&amp;" — from the machine tab"),""))),"NOT FOUND — check the code"))</f>
        <v/>
      </c>
      <c r="E27" s="30" t="s">
        <v>268</v>
      </c>
    </row>
    <row r="28" spans="1:5" x14ac:dyDescent="0.25">
      <c r="A28" s="28" t="s">
        <v>319</v>
      </c>
      <c r="B28" s="19" t="s">
        <v>320</v>
      </c>
      <c r="C28" s="29"/>
      <c r="D28" s="17" t="str">
        <f>IF($C28="","",IFERROR(IF($E28="machine",INDEX('JLR Machines'!$B$2:$B$20001,MATCH($C28,'JLR Machines'!$A$2:$A$20001,0)),IF($E28="material",INDEX('JLR Materials'!$B$2:$B$20001,MATCH($C28,'JLR Materials'!$A$2:$A$20001,0)),IF($E28="labour",IFERROR(INDEX('JLR Labour'!$B$2:$B$20001,MATCH($C28,'JLR Labour'!$A$2:$A$20001,0)),"labour category "&amp;$C28&amp;" — from the machine tab"),""))),"NOT FOUND — check the code"))</f>
        <v/>
      </c>
      <c r="E28" s="30" t="s">
        <v>268</v>
      </c>
    </row>
    <row r="29" spans="1:5" x14ac:dyDescent="0.25">
      <c r="A29" s="28" t="s">
        <v>321</v>
      </c>
      <c r="B29" s="19" t="s">
        <v>322</v>
      </c>
      <c r="C29" s="29"/>
      <c r="D29" s="17" t="str">
        <f>IF($C29="","",IFERROR(IF($E29="machine",INDEX('JLR Machines'!$B$2:$B$20001,MATCH($C29,'JLR Machines'!$A$2:$A$20001,0)),IF($E29="material",INDEX('JLR Materials'!$B$2:$B$20001,MATCH($C29,'JLR Materials'!$A$2:$A$20001,0)),IF($E29="labour",IFERROR(INDEX('JLR Labour'!$B$2:$B$20001,MATCH($C29,'JLR Labour'!$A$2:$A$20001,0)),"labour category "&amp;$C29&amp;" — from the machine tab"),""))),"NOT FOUND — check the code"))</f>
        <v/>
      </c>
      <c r="E29" s="30" t="s">
        <v>268</v>
      </c>
    </row>
    <row r="30" spans="1:5" x14ac:dyDescent="0.25">
      <c r="A30" s="28" t="s">
        <v>323</v>
      </c>
      <c r="B30" s="19" t="s">
        <v>324</v>
      </c>
      <c r="C30" s="29"/>
      <c r="D30" s="17" t="str">
        <f>IF($C30="","",IFERROR(IF($E30="machine",INDEX('JLR Machines'!$B$2:$B$20001,MATCH($C30,'JLR Machines'!$A$2:$A$20001,0)),IF($E30="material",INDEX('JLR Materials'!$B$2:$B$20001,MATCH($C30,'JLR Materials'!$A$2:$A$20001,0)),IF($E30="labour",IFERROR(INDEX('JLR Labour'!$B$2:$B$20001,MATCH($C30,'JLR Labour'!$A$2:$A$20001,0)),"labour category "&amp;$C30&amp;" — from the machine tab"),""))),"NOT FOUND — check the code"))</f>
        <v/>
      </c>
      <c r="E30" s="30" t="s">
        <v>268</v>
      </c>
    </row>
    <row r="31" spans="1:5" x14ac:dyDescent="0.25">
      <c r="A31" s="28" t="s">
        <v>325</v>
      </c>
      <c r="B31" s="19" t="s">
        <v>326</v>
      </c>
      <c r="C31" s="29"/>
      <c r="D31" s="17" t="str">
        <f>IF($C31="","",IFERROR(IF($E31="machine",INDEX('JLR Machines'!$B$2:$B$20001,MATCH($C31,'JLR Machines'!$A$2:$A$20001,0)),IF($E31="material",INDEX('JLR Materials'!$B$2:$B$20001,MATCH($C31,'JLR Materials'!$A$2:$A$20001,0)),IF($E31="labour",IFERROR(INDEX('JLR Labour'!$B$2:$B$20001,MATCH($C31,'JLR Labour'!$A$2:$A$20001,0)),"labour category "&amp;$C31&amp;" — from the machine tab"),""))),"NOT FOUND — check the code"))</f>
        <v/>
      </c>
      <c r="E31" s="30" t="s">
        <v>268</v>
      </c>
    </row>
    <row r="32" spans="1:5" x14ac:dyDescent="0.25">
      <c r="A32" s="28" t="s">
        <v>327</v>
      </c>
      <c r="B32" s="19" t="s">
        <v>328</v>
      </c>
      <c r="C32" s="29"/>
      <c r="D32" s="17" t="str">
        <f>IF($C32="","",IFERROR(IF($E32="machine",INDEX('JLR Machines'!$B$2:$B$20001,MATCH($C32,'JLR Machines'!$A$2:$A$20001,0)),IF($E32="material",INDEX('JLR Materials'!$B$2:$B$20001,MATCH($C32,'JLR Materials'!$A$2:$A$20001,0)),IF($E32="labour",IFERROR(INDEX('JLR Labour'!$B$2:$B$20001,MATCH($C32,'JLR Labour'!$A$2:$A$20001,0)),"labour category "&amp;$C32&amp;" — from the machine tab"),""))),"NOT FOUND — check the code"))</f>
        <v/>
      </c>
      <c r="E32" s="30" t="s">
        <v>268</v>
      </c>
    </row>
    <row r="33" spans="1:5" x14ac:dyDescent="0.25">
      <c r="A33" s="28" t="s">
        <v>329</v>
      </c>
      <c r="B33" s="19" t="s">
        <v>330</v>
      </c>
      <c r="C33" s="29"/>
      <c r="D33" s="17" t="str">
        <f>IF($C33="","",IFERROR(IF($E33="machine",INDEX('JLR Machines'!$B$2:$B$20001,MATCH($C33,'JLR Machines'!$A$2:$A$20001,0)),IF($E33="material",INDEX('JLR Materials'!$B$2:$B$20001,MATCH($C33,'JLR Materials'!$A$2:$A$20001,0)),IF($E33="labour",IFERROR(INDEX('JLR Labour'!$B$2:$B$20001,MATCH($C33,'JLR Labour'!$A$2:$A$20001,0)),"labour category "&amp;$C33&amp;" — from the machine tab"),""))),"NOT FOUND — check the code"))</f>
        <v/>
      </c>
      <c r="E33" s="30" t="s">
        <v>268</v>
      </c>
    </row>
    <row r="34" spans="1:5" x14ac:dyDescent="0.25">
      <c r="A34" s="28" t="s">
        <v>331</v>
      </c>
      <c r="B34" s="19" t="s">
        <v>332</v>
      </c>
      <c r="C34" s="29"/>
      <c r="D34" s="17" t="str">
        <f>IF($C34="","",IFERROR(IF($E34="machine",INDEX('JLR Machines'!$B$2:$B$20001,MATCH($C34,'JLR Machines'!$A$2:$A$20001,0)),IF($E34="material",INDEX('JLR Materials'!$B$2:$B$20001,MATCH($C34,'JLR Materials'!$A$2:$A$20001,0)),IF($E34="labour",IFERROR(INDEX('JLR Labour'!$B$2:$B$20001,MATCH($C34,'JLR Labour'!$A$2:$A$20001,0)),"labour category "&amp;$C34&amp;" — from the machine tab"),""))),"NOT FOUND — check the code"))</f>
        <v/>
      </c>
      <c r="E34" s="30" t="s">
        <v>268</v>
      </c>
    </row>
    <row r="35" spans="1:5" x14ac:dyDescent="0.25">
      <c r="A35" s="28" t="s">
        <v>333</v>
      </c>
      <c r="B35" s="19" t="s">
        <v>334</v>
      </c>
      <c r="C35" s="29"/>
      <c r="D35" s="17" t="str">
        <f>IF($C35="","",IFERROR(IF($E35="machine",INDEX('JLR Machines'!$B$2:$B$20001,MATCH($C35,'JLR Machines'!$A$2:$A$20001,0)),IF($E35="material",INDEX('JLR Materials'!$B$2:$B$20001,MATCH($C35,'JLR Materials'!$A$2:$A$20001,0)),IF($E35="labour",IFERROR(INDEX('JLR Labour'!$B$2:$B$20001,MATCH($C35,'JLR Labour'!$A$2:$A$20001,0)),"labour category "&amp;$C35&amp;" — from the machine tab"),""))),"NOT FOUND — check the code"))</f>
        <v/>
      </c>
      <c r="E35" s="30" t="s">
        <v>268</v>
      </c>
    </row>
    <row r="36" spans="1:5" x14ac:dyDescent="0.25">
      <c r="A36" s="28" t="s">
        <v>335</v>
      </c>
      <c r="B36" s="19" t="s">
        <v>336</v>
      </c>
      <c r="C36" s="29"/>
      <c r="D36" s="17" t="str">
        <f>IF($C36="","",IFERROR(IF($E36="machine",INDEX('JLR Machines'!$B$2:$B$20001,MATCH($C36,'JLR Machines'!$A$2:$A$20001,0)),IF($E36="material",INDEX('JLR Materials'!$B$2:$B$20001,MATCH($C36,'JLR Materials'!$A$2:$A$20001,0)),IF($E36="labour",IFERROR(INDEX('JLR Labour'!$B$2:$B$20001,MATCH($C36,'JLR Labour'!$A$2:$A$20001,0)),"labour category "&amp;$C36&amp;" — from the machine tab"),""))),"NOT FOUND — check the code"))</f>
        <v/>
      </c>
      <c r="E36" s="30" t="s">
        <v>268</v>
      </c>
    </row>
    <row r="37" spans="1:5" x14ac:dyDescent="0.25">
      <c r="A37" s="28" t="s">
        <v>337</v>
      </c>
      <c r="B37" s="19" t="s">
        <v>338</v>
      </c>
      <c r="C37" s="29"/>
      <c r="D37" s="17" t="str">
        <f>IF($C37="","",IFERROR(IF($E37="machine",INDEX('JLR Machines'!$B$2:$B$20001,MATCH($C37,'JLR Machines'!$A$2:$A$20001,0)),IF($E37="material",INDEX('JLR Materials'!$B$2:$B$20001,MATCH($C37,'JLR Materials'!$A$2:$A$20001,0)),IF($E37="labour",IFERROR(INDEX('JLR Labour'!$B$2:$B$20001,MATCH($C37,'JLR Labour'!$A$2:$A$20001,0)),"labour category "&amp;$C37&amp;" — from the machine tab"),""))),"NOT FOUND — check the code"))</f>
        <v/>
      </c>
      <c r="E37" s="30" t="s">
        <v>268</v>
      </c>
    </row>
    <row r="38" spans="1:5" x14ac:dyDescent="0.25">
      <c r="A38" s="28" t="s">
        <v>339</v>
      </c>
      <c r="B38" s="19" t="s">
        <v>340</v>
      </c>
      <c r="C38" s="29"/>
      <c r="D38" s="17" t="str">
        <f>IF($C38="","",IFERROR(IF($E38="machine",INDEX('JLR Machines'!$B$2:$B$20001,MATCH($C38,'JLR Machines'!$A$2:$A$20001,0)),IF($E38="material",INDEX('JLR Materials'!$B$2:$B$20001,MATCH($C38,'JLR Materials'!$A$2:$A$20001,0)),IF($E38="labour",IFERROR(INDEX('JLR Labour'!$B$2:$B$20001,MATCH($C38,'JLR Labour'!$A$2:$A$20001,0)),"labour category "&amp;$C38&amp;" — from the machine tab"),""))),"NOT FOUND — check the code"))</f>
        <v/>
      </c>
      <c r="E38" s="30" t="s">
        <v>268</v>
      </c>
    </row>
    <row r="39" spans="1:5" x14ac:dyDescent="0.25">
      <c r="A39" s="28" t="s">
        <v>341</v>
      </c>
      <c r="B39" s="19" t="s">
        <v>342</v>
      </c>
      <c r="C39" s="29"/>
      <c r="D39" s="17" t="str">
        <f>IF($C39="","",IFERROR(IF($E39="machine",INDEX('JLR Machines'!$B$2:$B$20001,MATCH($C39,'JLR Machines'!$A$2:$A$20001,0)),IF($E39="material",INDEX('JLR Materials'!$B$2:$B$20001,MATCH($C39,'JLR Materials'!$A$2:$A$20001,0)),IF($E39="labour",IFERROR(INDEX('JLR Labour'!$B$2:$B$20001,MATCH($C39,'JLR Labour'!$A$2:$A$20001,0)),"labour category "&amp;$C39&amp;" — from the machine tab"),""))),"NOT FOUND — check the code"))</f>
        <v/>
      </c>
      <c r="E39" s="30" t="s">
        <v>268</v>
      </c>
    </row>
    <row r="40" spans="1:5" x14ac:dyDescent="0.25">
      <c r="A40" s="28" t="s">
        <v>343</v>
      </c>
      <c r="B40" s="19" t="s">
        <v>344</v>
      </c>
      <c r="C40" s="29"/>
      <c r="D40" s="17" t="str">
        <f>IF($C40="","",IFERROR(IF($E40="machine",INDEX('JLR Machines'!$B$2:$B$20001,MATCH($C40,'JLR Machines'!$A$2:$A$20001,0)),IF($E40="material",INDEX('JLR Materials'!$B$2:$B$20001,MATCH($C40,'JLR Materials'!$A$2:$A$20001,0)),IF($E40="labour",IFERROR(INDEX('JLR Labour'!$B$2:$B$20001,MATCH($C40,'JLR Labour'!$A$2:$A$20001,0)),"labour category "&amp;$C40&amp;" — from the machine tab"),""))),"NOT FOUND — check the code"))</f>
        <v/>
      </c>
      <c r="E40" s="30" t="s">
        <v>268</v>
      </c>
    </row>
    <row r="41" spans="1:5" x14ac:dyDescent="0.25">
      <c r="A41" s="28" t="s">
        <v>345</v>
      </c>
      <c r="B41" s="19" t="s">
        <v>346</v>
      </c>
      <c r="C41" s="29"/>
      <c r="D41" s="17" t="str">
        <f>IF($C41="","",IFERROR(IF($E41="machine",INDEX('JLR Machines'!$B$2:$B$20001,MATCH($C41,'JLR Machines'!$A$2:$A$20001,0)),IF($E41="material",INDEX('JLR Materials'!$B$2:$B$20001,MATCH($C41,'JLR Materials'!$A$2:$A$20001,0)),IF($E41="labour",IFERROR(INDEX('JLR Labour'!$B$2:$B$20001,MATCH($C41,'JLR Labour'!$A$2:$A$20001,0)),"labour category "&amp;$C41&amp;" — from the machine tab"),""))),"NOT FOUND — check the code"))</f>
        <v/>
      </c>
      <c r="E41" s="30" t="s">
        <v>268</v>
      </c>
    </row>
    <row r="42" spans="1:5" x14ac:dyDescent="0.25">
      <c r="A42" s="28" t="s">
        <v>347</v>
      </c>
      <c r="B42" s="19" t="s">
        <v>348</v>
      </c>
      <c r="C42" s="29"/>
      <c r="D42" s="17" t="str">
        <f>IF($C42="","",IFERROR(IF($E42="machine",INDEX('JLR Machines'!$B$2:$B$20001,MATCH($C42,'JLR Machines'!$A$2:$A$20001,0)),IF($E42="material",INDEX('JLR Materials'!$B$2:$B$20001,MATCH($C42,'JLR Materials'!$A$2:$A$20001,0)),IF($E42="labour",IFERROR(INDEX('JLR Labour'!$B$2:$B$20001,MATCH($C42,'JLR Labour'!$A$2:$A$20001,0)),"labour category "&amp;$C42&amp;" — from the machine tab"),""))),"NOT FOUND — check the code"))</f>
        <v/>
      </c>
      <c r="E42" s="30" t="s">
        <v>268</v>
      </c>
    </row>
    <row r="43" spans="1:5" x14ac:dyDescent="0.25">
      <c r="A43" s="28" t="s">
        <v>349</v>
      </c>
      <c r="B43" s="19" t="s">
        <v>350</v>
      </c>
      <c r="C43" s="29"/>
      <c r="D43" s="17" t="str">
        <f>IF($C43="","",IFERROR(IF($E43="machine",INDEX('JLR Machines'!$B$2:$B$20001,MATCH($C43,'JLR Machines'!$A$2:$A$20001,0)),IF($E43="material",INDEX('JLR Materials'!$B$2:$B$20001,MATCH($C43,'JLR Materials'!$A$2:$A$20001,0)),IF($E43="labour",IFERROR(INDEX('JLR Labour'!$B$2:$B$20001,MATCH($C43,'JLR Labour'!$A$2:$A$20001,0)),"labour category "&amp;$C43&amp;" — from the machine tab"),""))),"NOT FOUND — check the code"))</f>
        <v/>
      </c>
      <c r="E43" s="30" t="s">
        <v>268</v>
      </c>
    </row>
    <row r="44" spans="1:5" x14ac:dyDescent="0.25">
      <c r="A44" s="28" t="s">
        <v>351</v>
      </c>
      <c r="B44" s="19" t="s">
        <v>352</v>
      </c>
      <c r="C44" s="29"/>
      <c r="D44" s="17" t="str">
        <f>IF($C44="","",IFERROR(IF($E44="machine",INDEX('JLR Machines'!$B$2:$B$20001,MATCH($C44,'JLR Machines'!$A$2:$A$20001,0)),IF($E44="material",INDEX('JLR Materials'!$B$2:$B$20001,MATCH($C44,'JLR Materials'!$A$2:$A$20001,0)),IF($E44="labour",IFERROR(INDEX('JLR Labour'!$B$2:$B$20001,MATCH($C44,'JLR Labour'!$A$2:$A$20001,0)),"labour category "&amp;$C44&amp;" — from the machine tab"),""))),"NOT FOUND — check the code"))</f>
        <v/>
      </c>
      <c r="E44" s="30" t="s">
        <v>268</v>
      </c>
    </row>
    <row r="45" spans="1:5" x14ac:dyDescent="0.25">
      <c r="A45" s="28" t="s">
        <v>353</v>
      </c>
      <c r="B45" s="19" t="s">
        <v>354</v>
      </c>
      <c r="C45" s="29"/>
      <c r="D45" s="17" t="str">
        <f>IF($C45="","",IFERROR(IF($E45="machine",INDEX('JLR Machines'!$B$2:$B$20001,MATCH($C45,'JLR Machines'!$A$2:$A$20001,0)),IF($E45="material",INDEX('JLR Materials'!$B$2:$B$20001,MATCH($C45,'JLR Materials'!$A$2:$A$20001,0)),IF($E45="labour",IFERROR(INDEX('JLR Labour'!$B$2:$B$20001,MATCH($C45,'JLR Labour'!$A$2:$A$20001,0)),"labour category "&amp;$C45&amp;" — from the machine tab"),""))),"NOT FOUND — check the code"))</f>
        <v/>
      </c>
      <c r="E45" s="30" t="s">
        <v>268</v>
      </c>
    </row>
    <row r="46" spans="1:5" x14ac:dyDescent="0.25">
      <c r="A46" s="28" t="s">
        <v>355</v>
      </c>
      <c r="B46" s="19" t="s">
        <v>356</v>
      </c>
      <c r="C46" s="29"/>
      <c r="D46" s="17" t="str">
        <f>IF($C46="","",IFERROR(IF($E46="machine",INDEX('JLR Machines'!$B$2:$B$20001,MATCH($C46,'JLR Machines'!$A$2:$A$20001,0)),IF($E46="material",INDEX('JLR Materials'!$B$2:$B$20001,MATCH($C46,'JLR Materials'!$A$2:$A$20001,0)),IF($E46="labour",IFERROR(INDEX('JLR Labour'!$B$2:$B$20001,MATCH($C46,'JLR Labour'!$A$2:$A$20001,0)),"labour category "&amp;$C46&amp;" — from the machine tab"),""))),"NOT FOUND — check the code"))</f>
        <v/>
      </c>
      <c r="E46" s="30" t="s">
        <v>268</v>
      </c>
    </row>
    <row r="47" spans="1:5" x14ac:dyDescent="0.25">
      <c r="A47" s="28" t="s">
        <v>357</v>
      </c>
      <c r="B47" s="19" t="s">
        <v>358</v>
      </c>
      <c r="C47" s="29"/>
      <c r="D47" s="17" t="str">
        <f>IF($C47="","",IFERROR(IF($E47="machine",INDEX('JLR Machines'!$B$2:$B$20001,MATCH($C47,'JLR Machines'!$A$2:$A$20001,0)),IF($E47="material",INDEX('JLR Materials'!$B$2:$B$20001,MATCH($C47,'JLR Materials'!$A$2:$A$20001,0)),IF($E47="labour",IFERROR(INDEX('JLR Labour'!$B$2:$B$20001,MATCH($C47,'JLR Labour'!$A$2:$A$20001,0)),"labour category "&amp;$C47&amp;" — from the machine tab"),""))),"NOT FOUND — check the code"))</f>
        <v/>
      </c>
      <c r="E47" s="30" t="s">
        <v>268</v>
      </c>
    </row>
    <row r="48" spans="1:5" x14ac:dyDescent="0.25">
      <c r="A48" s="28" t="s">
        <v>359</v>
      </c>
      <c r="B48" s="19" t="s">
        <v>360</v>
      </c>
      <c r="C48" s="29"/>
      <c r="D48" s="17" t="str">
        <f>IF($C48="","",IFERROR(IF($E48="machine",INDEX('JLR Machines'!$B$2:$B$20001,MATCH($C48,'JLR Machines'!$A$2:$A$20001,0)),IF($E48="material",INDEX('JLR Materials'!$B$2:$B$20001,MATCH($C48,'JLR Materials'!$A$2:$A$20001,0)),IF($E48="labour",IFERROR(INDEX('JLR Labour'!$B$2:$B$20001,MATCH($C48,'JLR Labour'!$A$2:$A$20001,0)),"labour category "&amp;$C48&amp;" — from the machine tab"),""))),"NOT FOUND — check the code"))</f>
        <v/>
      </c>
      <c r="E48" s="30" t="s">
        <v>268</v>
      </c>
    </row>
    <row r="49" spans="1:5" x14ac:dyDescent="0.25">
      <c r="A49" s="28" t="s">
        <v>361</v>
      </c>
      <c r="B49" s="19" t="s">
        <v>362</v>
      </c>
      <c r="C49" s="29"/>
      <c r="D49" s="17" t="str">
        <f>IF($C49="","",IFERROR(IF($E49="machine",INDEX('JLR Machines'!$B$2:$B$20001,MATCH($C49,'JLR Machines'!$A$2:$A$20001,0)),IF($E49="material",INDEX('JLR Materials'!$B$2:$B$20001,MATCH($C49,'JLR Materials'!$A$2:$A$20001,0)),IF($E49="labour",IFERROR(INDEX('JLR Labour'!$B$2:$B$20001,MATCH($C49,'JLR Labour'!$A$2:$A$20001,0)),"labour category "&amp;$C49&amp;" — from the machine tab"),""))),"NOT FOUND — check the code"))</f>
        <v/>
      </c>
      <c r="E49" s="30" t="s">
        <v>268</v>
      </c>
    </row>
    <row r="50" spans="1:5" x14ac:dyDescent="0.25">
      <c r="A50" s="28" t="s">
        <v>363</v>
      </c>
      <c r="B50" s="19" t="s">
        <v>364</v>
      </c>
      <c r="C50" s="29"/>
      <c r="D50" s="17" t="str">
        <f>IF($C50="","",IFERROR(IF($E50="machine",INDEX('JLR Machines'!$B$2:$B$20001,MATCH($C50,'JLR Machines'!$A$2:$A$20001,0)),IF($E50="material",INDEX('JLR Materials'!$B$2:$B$20001,MATCH($C50,'JLR Materials'!$A$2:$A$20001,0)),IF($E50="labour",IFERROR(INDEX('JLR Labour'!$B$2:$B$20001,MATCH($C50,'JLR Labour'!$A$2:$A$20001,0)),"labour category "&amp;$C50&amp;" — from the machine tab"),""))),"NOT FOUND — check the code"))</f>
        <v/>
      </c>
      <c r="E50" s="30" t="s">
        <v>268</v>
      </c>
    </row>
    <row r="51" spans="1:5" x14ac:dyDescent="0.25">
      <c r="A51" s="28" t="s">
        <v>365</v>
      </c>
      <c r="B51" s="19" t="s">
        <v>366</v>
      </c>
      <c r="C51" s="29"/>
      <c r="D51" s="17" t="str">
        <f>IF($C51="","",IFERROR(IF($E51="machine",INDEX('JLR Machines'!$B$2:$B$20001,MATCH($C51,'JLR Machines'!$A$2:$A$20001,0)),IF($E51="material",INDEX('JLR Materials'!$B$2:$B$20001,MATCH($C51,'JLR Materials'!$A$2:$A$20001,0)),IF($E51="labour",IFERROR(INDEX('JLR Labour'!$B$2:$B$20001,MATCH($C51,'JLR Labour'!$A$2:$A$20001,0)),"labour category "&amp;$C51&amp;" — from the machine tab"),""))),"NOT FOUND — check the code"))</f>
        <v/>
      </c>
      <c r="E51" s="30" t="s">
        <v>268</v>
      </c>
    </row>
    <row r="52" spans="1:5" x14ac:dyDescent="0.25">
      <c r="A52" s="28" t="s">
        <v>367</v>
      </c>
      <c r="B52" s="19" t="s">
        <v>368</v>
      </c>
      <c r="C52" s="29"/>
      <c r="D52" s="17" t="str">
        <f>IF($C52="","",IFERROR(IF($E52="machine",INDEX('JLR Machines'!$B$2:$B$20001,MATCH($C52,'JLR Machines'!$A$2:$A$20001,0)),IF($E52="material",INDEX('JLR Materials'!$B$2:$B$20001,MATCH($C52,'JLR Materials'!$A$2:$A$20001,0)),IF($E52="labour",IFERROR(INDEX('JLR Labour'!$B$2:$B$20001,MATCH($C52,'JLR Labour'!$A$2:$A$20001,0)),"labour category "&amp;$C52&amp;" — from the machine tab"),""))),"NOT FOUND — check the code"))</f>
        <v/>
      </c>
      <c r="E52" s="30" t="s">
        <v>268</v>
      </c>
    </row>
    <row r="53" spans="1:5" x14ac:dyDescent="0.25">
      <c r="A53" s="28" t="s">
        <v>369</v>
      </c>
      <c r="B53" s="19" t="s">
        <v>370</v>
      </c>
      <c r="C53" s="29"/>
      <c r="D53" s="17" t="str">
        <f>IF($C53="","",IFERROR(IF($E53="machine",INDEX('JLR Machines'!$B$2:$B$20001,MATCH($C53,'JLR Machines'!$A$2:$A$20001,0)),IF($E53="material",INDEX('JLR Materials'!$B$2:$B$20001,MATCH($C53,'JLR Materials'!$A$2:$A$20001,0)),IF($E53="labour",IFERROR(INDEX('JLR Labour'!$B$2:$B$20001,MATCH($C53,'JLR Labour'!$A$2:$A$20001,0)),"labour category "&amp;$C53&amp;" — from the machine tab"),""))),"NOT FOUND — check the code"))</f>
        <v/>
      </c>
      <c r="E53" s="30" t="s">
        <v>268</v>
      </c>
    </row>
    <row r="54" spans="1:5" x14ac:dyDescent="0.25">
      <c r="A54" s="28" t="s">
        <v>371</v>
      </c>
      <c r="B54" s="19" t="s">
        <v>372</v>
      </c>
      <c r="C54" s="29"/>
      <c r="D54" s="17" t="str">
        <f>IF($C54="","",IFERROR(IF($E54="machine",INDEX('JLR Machines'!$B$2:$B$20001,MATCH($C54,'JLR Machines'!$A$2:$A$20001,0)),IF($E54="material",INDEX('JLR Materials'!$B$2:$B$20001,MATCH($C54,'JLR Materials'!$A$2:$A$20001,0)),IF($E54="labour",IFERROR(INDEX('JLR Labour'!$B$2:$B$20001,MATCH($C54,'JLR Labour'!$A$2:$A$20001,0)),"labour category "&amp;$C54&amp;" — from the machine tab"),""))),"NOT FOUND — check the code"))</f>
        <v/>
      </c>
      <c r="E54" s="30" t="s">
        <v>268</v>
      </c>
    </row>
    <row r="55" spans="1:5" x14ac:dyDescent="0.25">
      <c r="A55" s="28" t="s">
        <v>373</v>
      </c>
      <c r="B55" s="19" t="s">
        <v>374</v>
      </c>
      <c r="C55" s="29"/>
      <c r="D55" s="17" t="str">
        <f>IF($C55="","",IFERROR(IF($E55="machine",INDEX('JLR Machines'!$B$2:$B$20001,MATCH($C55,'JLR Machines'!$A$2:$A$20001,0)),IF($E55="material",INDEX('JLR Materials'!$B$2:$B$20001,MATCH($C55,'JLR Materials'!$A$2:$A$20001,0)),IF($E55="labour",IFERROR(INDEX('JLR Labour'!$B$2:$B$20001,MATCH($C55,'JLR Labour'!$A$2:$A$20001,0)),"labour category "&amp;$C55&amp;" — from the machine tab"),""))),"NOT FOUND — check the code"))</f>
        <v/>
      </c>
      <c r="E55" s="30" t="s">
        <v>268</v>
      </c>
    </row>
    <row r="56" spans="1:5" x14ac:dyDescent="0.25">
      <c r="A56" s="28" t="s">
        <v>375</v>
      </c>
      <c r="B56" s="19" t="s">
        <v>376</v>
      </c>
      <c r="C56" s="29"/>
      <c r="D56" s="17" t="str">
        <f>IF($C56="","",IFERROR(IF($E56="machine",INDEX('JLR Machines'!$B$2:$B$20001,MATCH($C56,'JLR Machines'!$A$2:$A$20001,0)),IF($E56="material",INDEX('JLR Materials'!$B$2:$B$20001,MATCH($C56,'JLR Materials'!$A$2:$A$20001,0)),IF($E56="labour",IFERROR(INDEX('JLR Labour'!$B$2:$B$20001,MATCH($C56,'JLR Labour'!$A$2:$A$20001,0)),"labour category "&amp;$C56&amp;" — from the machine tab"),""))),"NOT FOUND — check the code"))</f>
        <v/>
      </c>
      <c r="E56" s="30" t="s">
        <v>268</v>
      </c>
    </row>
    <row r="57" spans="1:5" x14ac:dyDescent="0.25">
      <c r="A57" s="28" t="s">
        <v>377</v>
      </c>
      <c r="B57" s="19" t="s">
        <v>378</v>
      </c>
      <c r="C57" s="29"/>
      <c r="D57" s="17" t="str">
        <f>IF($C57="","",IFERROR(IF($E57="machine",INDEX('JLR Machines'!$B$2:$B$20001,MATCH($C57,'JLR Machines'!$A$2:$A$20001,0)),IF($E57="material",INDEX('JLR Materials'!$B$2:$B$20001,MATCH($C57,'JLR Materials'!$A$2:$A$20001,0)),IF($E57="labour",IFERROR(INDEX('JLR Labour'!$B$2:$B$20001,MATCH($C57,'JLR Labour'!$A$2:$A$20001,0)),"labour category "&amp;$C57&amp;" — from the machine tab"),""))),"NOT FOUND — check the code"))</f>
        <v/>
      </c>
      <c r="E57" s="30" t="s">
        <v>268</v>
      </c>
    </row>
    <row r="58" spans="1:5" x14ac:dyDescent="0.25">
      <c r="A58" s="28" t="s">
        <v>379</v>
      </c>
      <c r="B58" s="19" t="s">
        <v>380</v>
      </c>
      <c r="C58" s="29"/>
      <c r="D58" s="17" t="str">
        <f>IF($C58="","",IFERROR(IF($E58="machine",INDEX('JLR Machines'!$B$2:$B$20001,MATCH($C58,'JLR Machines'!$A$2:$A$20001,0)),IF($E58="material",INDEX('JLR Materials'!$B$2:$B$20001,MATCH($C58,'JLR Materials'!$A$2:$A$20001,0)),IF($E58="labour",IFERROR(INDEX('JLR Labour'!$B$2:$B$20001,MATCH($C58,'JLR Labour'!$A$2:$A$20001,0)),"labour category "&amp;$C58&amp;" — from the machine tab"),""))),"NOT FOUND — check the code"))</f>
        <v/>
      </c>
      <c r="E58" s="30" t="s">
        <v>268</v>
      </c>
    </row>
    <row r="59" spans="1:5" x14ac:dyDescent="0.25">
      <c r="A59" s="28" t="s">
        <v>381</v>
      </c>
      <c r="B59" s="19" t="s">
        <v>382</v>
      </c>
      <c r="C59" s="29"/>
      <c r="D59" s="17" t="str">
        <f>IF($C59="","",IFERROR(IF($E59="machine",INDEX('JLR Machines'!$B$2:$B$20001,MATCH($C59,'JLR Machines'!$A$2:$A$20001,0)),IF($E59="material",INDEX('JLR Materials'!$B$2:$B$20001,MATCH($C59,'JLR Materials'!$A$2:$A$20001,0)),IF($E59="labour",IFERROR(INDEX('JLR Labour'!$B$2:$B$20001,MATCH($C59,'JLR Labour'!$A$2:$A$20001,0)),"labour category "&amp;$C59&amp;" — from the machine tab"),""))),"NOT FOUND — check the code"))</f>
        <v/>
      </c>
      <c r="E59" s="30" t="s">
        <v>268</v>
      </c>
    </row>
    <row r="60" spans="1:5" x14ac:dyDescent="0.25">
      <c r="A60" s="28" t="s">
        <v>383</v>
      </c>
      <c r="B60" s="19" t="s">
        <v>384</v>
      </c>
      <c r="C60" s="29"/>
      <c r="D60" s="17" t="str">
        <f>IF($C60="","",IFERROR(IF($E60="machine",INDEX('JLR Machines'!$B$2:$B$20001,MATCH($C60,'JLR Machines'!$A$2:$A$20001,0)),IF($E60="material",INDEX('JLR Materials'!$B$2:$B$20001,MATCH($C60,'JLR Materials'!$A$2:$A$20001,0)),IF($E60="labour",IFERROR(INDEX('JLR Labour'!$B$2:$B$20001,MATCH($C60,'JLR Labour'!$A$2:$A$20001,0)),"labour category "&amp;$C60&amp;" — from the machine tab"),""))),"NOT FOUND — check the code"))</f>
        <v/>
      </c>
      <c r="E60" s="30" t="s">
        <v>268</v>
      </c>
    </row>
    <row r="61" spans="1:5" x14ac:dyDescent="0.25">
      <c r="A61" s="28" t="s">
        <v>385</v>
      </c>
      <c r="B61" s="19" t="s">
        <v>386</v>
      </c>
      <c r="C61" s="29"/>
      <c r="D61" s="17" t="str">
        <f>IF($C61="","",IFERROR(IF($E61="machine",INDEX('JLR Machines'!$B$2:$B$20001,MATCH($C61,'JLR Machines'!$A$2:$A$20001,0)),IF($E61="material",INDEX('JLR Materials'!$B$2:$B$20001,MATCH($C61,'JLR Materials'!$A$2:$A$20001,0)),IF($E61="labour",IFERROR(INDEX('JLR Labour'!$B$2:$B$20001,MATCH($C61,'JLR Labour'!$A$2:$A$20001,0)),"labour category "&amp;$C61&amp;" — from the machine tab"),""))),"NOT FOUND — check the code"))</f>
        <v/>
      </c>
      <c r="E61" s="30" t="s">
        <v>268</v>
      </c>
    </row>
    <row r="62" spans="1:5" x14ac:dyDescent="0.25">
      <c r="A62" s="28" t="s">
        <v>387</v>
      </c>
      <c r="B62" s="19" t="s">
        <v>388</v>
      </c>
      <c r="C62" s="29"/>
      <c r="D62" s="17" t="str">
        <f>IF($C62="","",IFERROR(IF($E62="machine",INDEX('JLR Machines'!$B$2:$B$20001,MATCH($C62,'JLR Machines'!$A$2:$A$20001,0)),IF($E62="material",INDEX('JLR Materials'!$B$2:$B$20001,MATCH($C62,'JLR Materials'!$A$2:$A$20001,0)),IF($E62="labour",IFERROR(INDEX('JLR Labour'!$B$2:$B$20001,MATCH($C62,'JLR Labour'!$A$2:$A$20001,0)),"labour category "&amp;$C62&amp;" — from the machine tab"),""))),"NOT FOUND — check the code"))</f>
        <v/>
      </c>
      <c r="E62" s="30" t="s">
        <v>268</v>
      </c>
    </row>
    <row r="63" spans="1:5" x14ac:dyDescent="0.25">
      <c r="A63" s="28" t="s">
        <v>389</v>
      </c>
      <c r="B63" s="19" t="s">
        <v>390</v>
      </c>
      <c r="C63" s="29"/>
      <c r="D63" s="17" t="str">
        <f>IF($C63="","",IFERROR(IF($E63="machine",INDEX('JLR Machines'!$B$2:$B$20001,MATCH($C63,'JLR Machines'!$A$2:$A$20001,0)),IF($E63="material",INDEX('JLR Materials'!$B$2:$B$20001,MATCH($C63,'JLR Materials'!$A$2:$A$20001,0)),IF($E63="labour",IFERROR(INDEX('JLR Labour'!$B$2:$B$20001,MATCH($C63,'JLR Labour'!$A$2:$A$20001,0)),"labour category "&amp;$C63&amp;" — from the machine tab"),""))),"NOT FOUND — check the code"))</f>
        <v/>
      </c>
      <c r="E63" s="30" t="s">
        <v>268</v>
      </c>
    </row>
    <row r="64" spans="1:5" x14ac:dyDescent="0.25">
      <c r="A64" s="28" t="s">
        <v>391</v>
      </c>
      <c r="B64" s="19" t="s">
        <v>392</v>
      </c>
      <c r="C64" s="29"/>
      <c r="D64" s="17" t="str">
        <f>IF($C64="","",IFERROR(IF($E64="machine",INDEX('JLR Machines'!$B$2:$B$20001,MATCH($C64,'JLR Machines'!$A$2:$A$20001,0)),IF($E64="material",INDEX('JLR Materials'!$B$2:$B$20001,MATCH($C64,'JLR Materials'!$A$2:$A$20001,0)),IF($E64="labour",IFERROR(INDEX('JLR Labour'!$B$2:$B$20001,MATCH($C64,'JLR Labour'!$A$2:$A$20001,0)),"labour category "&amp;$C64&amp;" — from the machine tab"),""))),"NOT FOUND — check the code"))</f>
        <v/>
      </c>
      <c r="E64" s="30" t="s">
        <v>268</v>
      </c>
    </row>
    <row r="65" spans="1:5" x14ac:dyDescent="0.25">
      <c r="A65" s="28" t="s">
        <v>393</v>
      </c>
      <c r="B65" s="19" t="s">
        <v>394</v>
      </c>
      <c r="C65" s="29"/>
      <c r="D65" s="17" t="str">
        <f>IF($C65="","",IFERROR(IF($E65="machine",INDEX('JLR Machines'!$B$2:$B$20001,MATCH($C65,'JLR Machines'!$A$2:$A$20001,0)),IF($E65="material",INDEX('JLR Materials'!$B$2:$B$20001,MATCH($C65,'JLR Materials'!$A$2:$A$20001,0)),IF($E65="labour",IFERROR(INDEX('JLR Labour'!$B$2:$B$20001,MATCH($C65,'JLR Labour'!$A$2:$A$20001,0)),"labour category "&amp;$C65&amp;" — from the machine tab"),""))),"NOT FOUND — check the code"))</f>
        <v/>
      </c>
      <c r="E65" s="30" t="s">
        <v>268</v>
      </c>
    </row>
    <row r="66" spans="1:5" x14ac:dyDescent="0.25">
      <c r="A66" s="28" t="s">
        <v>395</v>
      </c>
      <c r="B66" s="19" t="s">
        <v>396</v>
      </c>
      <c r="C66" s="29"/>
      <c r="D66" s="17" t="str">
        <f>IF($C66="","",IFERROR(IF($E66="machine",INDEX('JLR Machines'!$B$2:$B$20001,MATCH($C66,'JLR Machines'!$A$2:$A$20001,0)),IF($E66="material",INDEX('JLR Materials'!$B$2:$B$20001,MATCH($C66,'JLR Materials'!$A$2:$A$20001,0)),IF($E66="labour",IFERROR(INDEX('JLR Labour'!$B$2:$B$20001,MATCH($C66,'JLR Labour'!$A$2:$A$20001,0)),"labour category "&amp;$C66&amp;" — from the machine tab"),""))),"NOT FOUND — check the code"))</f>
        <v/>
      </c>
      <c r="E66" s="30" t="s">
        <v>268</v>
      </c>
    </row>
    <row r="67" spans="1:5" x14ac:dyDescent="0.25">
      <c r="A67" s="28" t="s">
        <v>397</v>
      </c>
      <c r="B67" s="19" t="s">
        <v>398</v>
      </c>
      <c r="C67" s="29"/>
      <c r="D67" s="17" t="str">
        <f>IF($C67="","",IFERROR(IF($E67="machine",INDEX('JLR Machines'!$B$2:$B$20001,MATCH($C67,'JLR Machines'!$A$2:$A$20001,0)),IF($E67="material",INDEX('JLR Materials'!$B$2:$B$20001,MATCH($C67,'JLR Materials'!$A$2:$A$20001,0)),IF($E67="labour",IFERROR(INDEX('JLR Labour'!$B$2:$B$20001,MATCH($C67,'JLR Labour'!$A$2:$A$20001,0)),"labour category "&amp;$C67&amp;" — from the machine tab"),""))),"NOT FOUND — check the code"))</f>
        <v/>
      </c>
      <c r="E67" s="30" t="s">
        <v>268</v>
      </c>
    </row>
    <row r="68" spans="1:5" x14ac:dyDescent="0.25">
      <c r="A68" s="28" t="s">
        <v>399</v>
      </c>
      <c r="B68" s="19" t="s">
        <v>400</v>
      </c>
      <c r="C68" s="29"/>
      <c r="D68" s="17" t="str">
        <f>IF($C68="","",IFERROR(IF($E68="machine",INDEX('JLR Machines'!$B$2:$B$20001,MATCH($C68,'JLR Machines'!$A$2:$A$20001,0)),IF($E68="material",INDEX('JLR Materials'!$B$2:$B$20001,MATCH($C68,'JLR Materials'!$A$2:$A$20001,0)),IF($E68="labour",IFERROR(INDEX('JLR Labour'!$B$2:$B$20001,MATCH($C68,'JLR Labour'!$A$2:$A$20001,0)),"labour category "&amp;$C68&amp;" — from the machine tab"),""))),"NOT FOUND — check the code"))</f>
        <v/>
      </c>
      <c r="E68" s="30" t="s">
        <v>268</v>
      </c>
    </row>
    <row r="69" spans="1:5" x14ac:dyDescent="0.25">
      <c r="A69" s="28" t="s">
        <v>401</v>
      </c>
      <c r="B69" s="19" t="s">
        <v>402</v>
      </c>
      <c r="C69" s="29"/>
      <c r="D69" s="17" t="str">
        <f>IF($C69="","",IFERROR(IF($E69="machine",INDEX('JLR Machines'!$B$2:$B$20001,MATCH($C69,'JLR Machines'!$A$2:$A$20001,0)),IF($E69="material",INDEX('JLR Materials'!$B$2:$B$20001,MATCH($C69,'JLR Materials'!$A$2:$A$20001,0)),IF($E69="labour",IFERROR(INDEX('JLR Labour'!$B$2:$B$20001,MATCH($C69,'JLR Labour'!$A$2:$A$20001,0)),"labour category "&amp;$C69&amp;" — from the machine tab"),""))),"NOT FOUND — check the code"))</f>
        <v/>
      </c>
      <c r="E69" s="30" t="s">
        <v>268</v>
      </c>
    </row>
    <row r="70" spans="1:5" x14ac:dyDescent="0.25">
      <c r="A70" s="28" t="s">
        <v>403</v>
      </c>
      <c r="B70" s="19" t="s">
        <v>404</v>
      </c>
      <c r="C70" s="29"/>
      <c r="D70" s="17" t="str">
        <f>IF($C70="","",IFERROR(IF($E70="machine",INDEX('JLR Machines'!$B$2:$B$20001,MATCH($C70,'JLR Machines'!$A$2:$A$20001,0)),IF($E70="material",INDEX('JLR Materials'!$B$2:$B$20001,MATCH($C70,'JLR Materials'!$A$2:$A$20001,0)),IF($E70="labour",IFERROR(INDEX('JLR Labour'!$B$2:$B$20001,MATCH($C70,'JLR Labour'!$A$2:$A$20001,0)),"labour category "&amp;$C70&amp;" — from the machine tab"),""))),"NOT FOUND — check the code"))</f>
        <v/>
      </c>
      <c r="E70" s="30" t="s">
        <v>268</v>
      </c>
    </row>
    <row r="71" spans="1:5" x14ac:dyDescent="0.25">
      <c r="A71" s="28" t="s">
        <v>405</v>
      </c>
      <c r="B71" s="19" t="s">
        <v>406</v>
      </c>
      <c r="C71" s="29"/>
      <c r="D71" s="17" t="str">
        <f>IF($C71="","",IFERROR(IF($E71="machine",INDEX('JLR Machines'!$B$2:$B$20001,MATCH($C71,'JLR Machines'!$A$2:$A$20001,0)),IF($E71="material",INDEX('JLR Materials'!$B$2:$B$20001,MATCH($C71,'JLR Materials'!$A$2:$A$20001,0)),IF($E71="labour",IFERROR(INDEX('JLR Labour'!$B$2:$B$20001,MATCH($C71,'JLR Labour'!$A$2:$A$20001,0)),"labour category "&amp;$C71&amp;" — from the machine tab"),""))),"NOT FOUND — check the code"))</f>
        <v/>
      </c>
      <c r="E71" s="30" t="s">
        <v>268</v>
      </c>
    </row>
    <row r="72" spans="1:5" x14ac:dyDescent="0.25">
      <c r="A72" s="28" t="s">
        <v>407</v>
      </c>
      <c r="B72" s="19" t="s">
        <v>408</v>
      </c>
      <c r="C72" s="29"/>
      <c r="D72" s="17" t="str">
        <f>IF($C72="","",IFERROR(IF($E72="machine",INDEX('JLR Machines'!$B$2:$B$20001,MATCH($C72,'JLR Machines'!$A$2:$A$20001,0)),IF($E72="material",INDEX('JLR Materials'!$B$2:$B$20001,MATCH($C72,'JLR Materials'!$A$2:$A$20001,0)),IF($E72="labour",IFERROR(INDEX('JLR Labour'!$B$2:$B$20001,MATCH($C72,'JLR Labour'!$A$2:$A$20001,0)),"labour category "&amp;$C72&amp;" — from the machine tab"),""))),"NOT FOUND — check the code"))</f>
        <v/>
      </c>
      <c r="E72" s="30" t="s">
        <v>268</v>
      </c>
    </row>
    <row r="73" spans="1:5" x14ac:dyDescent="0.25">
      <c r="A73" s="28" t="s">
        <v>409</v>
      </c>
      <c r="B73" s="19" t="s">
        <v>410</v>
      </c>
      <c r="C73" s="29"/>
      <c r="D73" s="17" t="str">
        <f>IF($C73="","",IFERROR(IF($E73="machine",INDEX('JLR Machines'!$B$2:$B$20001,MATCH($C73,'JLR Machines'!$A$2:$A$20001,0)),IF($E73="material",INDEX('JLR Materials'!$B$2:$B$20001,MATCH($C73,'JLR Materials'!$A$2:$A$20001,0)),IF($E73="labour",IFERROR(INDEX('JLR Labour'!$B$2:$B$20001,MATCH($C73,'JLR Labour'!$A$2:$A$20001,0)),"labour category "&amp;$C73&amp;" — from the machine tab"),""))),"NOT FOUND — check the code"))</f>
        <v/>
      </c>
      <c r="E73" s="30" t="s">
        <v>268</v>
      </c>
    </row>
    <row r="74" spans="1:5" x14ac:dyDescent="0.25">
      <c r="A74" s="28" t="s">
        <v>411</v>
      </c>
      <c r="B74" s="19" t="s">
        <v>412</v>
      </c>
      <c r="C74" s="29"/>
      <c r="D74" s="17" t="str">
        <f>IF($C74="","",IFERROR(IF($E74="machine",INDEX('JLR Machines'!$B$2:$B$20001,MATCH($C74,'JLR Machines'!$A$2:$A$20001,0)),IF($E74="material",INDEX('JLR Materials'!$B$2:$B$20001,MATCH($C74,'JLR Materials'!$A$2:$A$20001,0)),IF($E74="labour",IFERROR(INDEX('JLR Labour'!$B$2:$B$20001,MATCH($C74,'JLR Labour'!$A$2:$A$20001,0)),"labour category "&amp;$C74&amp;" — from the machine tab"),""))),"NOT FOUND — check the code"))</f>
        <v/>
      </c>
      <c r="E74" s="30" t="s">
        <v>268</v>
      </c>
    </row>
    <row r="75" spans="1:5" x14ac:dyDescent="0.25">
      <c r="A75" s="28" t="s">
        <v>413</v>
      </c>
      <c r="B75" s="19" t="s">
        <v>414</v>
      </c>
      <c r="C75" s="29"/>
      <c r="D75" s="17" t="str">
        <f>IF($C75="","",IFERROR(IF($E75="machine",INDEX('JLR Machines'!$B$2:$B$20001,MATCH($C75,'JLR Machines'!$A$2:$A$20001,0)),IF($E75="material",INDEX('JLR Materials'!$B$2:$B$20001,MATCH($C75,'JLR Materials'!$A$2:$A$20001,0)),IF($E75="labour",IFERROR(INDEX('JLR Labour'!$B$2:$B$20001,MATCH($C75,'JLR Labour'!$A$2:$A$20001,0)),"labour category "&amp;$C75&amp;" — from the machine tab"),""))),"NOT FOUND — check the code"))</f>
        <v/>
      </c>
      <c r="E75" s="30" t="s">
        <v>268</v>
      </c>
    </row>
    <row r="76" spans="1:5" x14ac:dyDescent="0.25">
      <c r="A76" s="28" t="s">
        <v>415</v>
      </c>
      <c r="B76" s="19" t="s">
        <v>416</v>
      </c>
      <c r="C76" s="29"/>
      <c r="D76" s="17" t="str">
        <f>IF($C76="","",IFERROR(IF($E76="machine",INDEX('JLR Machines'!$B$2:$B$20001,MATCH($C76,'JLR Machines'!$A$2:$A$20001,0)),IF($E76="material",INDEX('JLR Materials'!$B$2:$B$20001,MATCH($C76,'JLR Materials'!$A$2:$A$20001,0)),IF($E76="labour",IFERROR(INDEX('JLR Labour'!$B$2:$B$20001,MATCH($C76,'JLR Labour'!$A$2:$A$20001,0)),"labour category "&amp;$C76&amp;" — from the machine tab"),""))),"NOT FOUND — check the code"))</f>
        <v/>
      </c>
      <c r="E76" s="30" t="s">
        <v>268</v>
      </c>
    </row>
    <row r="77" spans="1:5" x14ac:dyDescent="0.25">
      <c r="A77" s="28" t="s">
        <v>417</v>
      </c>
      <c r="B77" s="19" t="s">
        <v>418</v>
      </c>
      <c r="C77" s="29"/>
      <c r="D77" s="17" t="str">
        <f>IF($C77="","",IFERROR(IF($E77="machine",INDEX('JLR Machines'!$B$2:$B$20001,MATCH($C77,'JLR Machines'!$A$2:$A$20001,0)),IF($E77="material",INDEX('JLR Materials'!$B$2:$B$20001,MATCH($C77,'JLR Materials'!$A$2:$A$20001,0)),IF($E77="labour",IFERROR(INDEX('JLR Labour'!$B$2:$B$20001,MATCH($C77,'JLR Labour'!$A$2:$A$20001,0)),"labour category "&amp;$C77&amp;" — from the machine tab"),""))),"NOT FOUND — check the code"))</f>
        <v/>
      </c>
      <c r="E77" s="30" t="s">
        <v>268</v>
      </c>
    </row>
    <row r="78" spans="1:5" x14ac:dyDescent="0.25">
      <c r="A78" s="28" t="s">
        <v>419</v>
      </c>
      <c r="B78" s="19" t="s">
        <v>420</v>
      </c>
      <c r="C78" s="29"/>
      <c r="D78" s="17" t="str">
        <f>IF($C78="","",IFERROR(IF($E78="machine",INDEX('JLR Machines'!$B$2:$B$20001,MATCH($C78,'JLR Machines'!$A$2:$A$20001,0)),IF($E78="material",INDEX('JLR Materials'!$B$2:$B$20001,MATCH($C78,'JLR Materials'!$A$2:$A$20001,0)),IF($E78="labour",IFERROR(INDEX('JLR Labour'!$B$2:$B$20001,MATCH($C78,'JLR Labour'!$A$2:$A$20001,0)),"labour category "&amp;$C78&amp;" — from the machine tab"),""))),"NOT FOUND — check the code"))</f>
        <v/>
      </c>
      <c r="E78" s="30" t="s">
        <v>268</v>
      </c>
    </row>
    <row r="79" spans="1:5" x14ac:dyDescent="0.25">
      <c r="A79" s="28" t="s">
        <v>421</v>
      </c>
      <c r="B79" s="19" t="s">
        <v>422</v>
      </c>
      <c r="C79" s="29"/>
      <c r="D79" s="17" t="str">
        <f>IF($C79="","",IFERROR(IF($E79="machine",INDEX('JLR Machines'!$B$2:$B$20001,MATCH($C79,'JLR Machines'!$A$2:$A$20001,0)),IF($E79="material",INDEX('JLR Materials'!$B$2:$B$20001,MATCH($C79,'JLR Materials'!$A$2:$A$20001,0)),IF($E79="labour",IFERROR(INDEX('JLR Labour'!$B$2:$B$20001,MATCH($C79,'JLR Labour'!$A$2:$A$20001,0)),"labour category "&amp;$C79&amp;" — from the machine tab"),""))),"NOT FOUND — check the code"))</f>
        <v/>
      </c>
      <c r="E79" s="30" t="s">
        <v>268</v>
      </c>
    </row>
    <row r="80" spans="1:5" x14ac:dyDescent="0.25">
      <c r="A80" s="28" t="s">
        <v>423</v>
      </c>
      <c r="B80" s="19" t="s">
        <v>424</v>
      </c>
      <c r="C80" s="29"/>
      <c r="D80" s="17" t="str">
        <f>IF($C80="","",IFERROR(IF($E80="machine",INDEX('JLR Machines'!$B$2:$B$20001,MATCH($C80,'JLR Machines'!$A$2:$A$20001,0)),IF($E80="material",INDEX('JLR Materials'!$B$2:$B$20001,MATCH($C80,'JLR Materials'!$A$2:$A$20001,0)),IF($E80="labour",IFERROR(INDEX('JLR Labour'!$B$2:$B$20001,MATCH($C80,'JLR Labour'!$A$2:$A$20001,0)),"labour category "&amp;$C80&amp;" — from the machine tab"),""))),"NOT FOUND — check the code"))</f>
        <v/>
      </c>
      <c r="E80" s="30" t="s">
        <v>268</v>
      </c>
    </row>
    <row r="81" spans="1:5" x14ac:dyDescent="0.25">
      <c r="A81" s="28" t="s">
        <v>425</v>
      </c>
      <c r="B81" s="19" t="s">
        <v>426</v>
      </c>
      <c r="C81" s="29"/>
      <c r="D81" s="17" t="str">
        <f>IF($C81="","",IFERROR(IF($E81="machine",INDEX('JLR Machines'!$B$2:$B$20001,MATCH($C81,'JLR Machines'!$A$2:$A$20001,0)),IF($E81="material",INDEX('JLR Materials'!$B$2:$B$20001,MATCH($C81,'JLR Materials'!$A$2:$A$20001,0)),IF($E81="labour",IFERROR(INDEX('JLR Labour'!$B$2:$B$20001,MATCH($C81,'JLR Labour'!$A$2:$A$20001,0)),"labour category "&amp;$C81&amp;" — from the machine tab"),""))),"NOT FOUND — check the code"))</f>
        <v/>
      </c>
      <c r="E81" s="30" t="s">
        <v>268</v>
      </c>
    </row>
    <row r="82" spans="1:5" x14ac:dyDescent="0.25">
      <c r="A82" s="28" t="s">
        <v>427</v>
      </c>
      <c r="B82" s="19" t="s">
        <v>428</v>
      </c>
      <c r="C82" s="29"/>
      <c r="D82" s="17" t="str">
        <f>IF($C82="","",IFERROR(IF($E82="machine",INDEX('JLR Machines'!$B$2:$B$20001,MATCH($C82,'JLR Machines'!$A$2:$A$20001,0)),IF($E82="material",INDEX('JLR Materials'!$B$2:$B$20001,MATCH($C82,'JLR Materials'!$A$2:$A$20001,0)),IF($E82="labour",IFERROR(INDEX('JLR Labour'!$B$2:$B$20001,MATCH($C82,'JLR Labour'!$A$2:$A$20001,0)),"labour category "&amp;$C82&amp;" — from the machine tab"),""))),"NOT FOUND — check the code"))</f>
        <v/>
      </c>
      <c r="E82" s="30" t="s">
        <v>268</v>
      </c>
    </row>
    <row r="83" spans="1:5" x14ac:dyDescent="0.25">
      <c r="A83" s="28" t="s">
        <v>429</v>
      </c>
      <c r="B83" s="19" t="s">
        <v>430</v>
      </c>
      <c r="C83" s="29"/>
      <c r="D83" s="17" t="str">
        <f>IF($C83="","",IFERROR(IF($E83="machine",INDEX('JLR Machines'!$B$2:$B$20001,MATCH($C83,'JLR Machines'!$A$2:$A$20001,0)),IF($E83="material",INDEX('JLR Materials'!$B$2:$B$20001,MATCH($C83,'JLR Materials'!$A$2:$A$20001,0)),IF($E83="labour",IFERROR(INDEX('JLR Labour'!$B$2:$B$20001,MATCH($C83,'JLR Labour'!$A$2:$A$20001,0)),"labour category "&amp;$C83&amp;" — from the machine tab"),""))),"NOT FOUND — check the code"))</f>
        <v/>
      </c>
      <c r="E83" s="30" t="s">
        <v>268</v>
      </c>
    </row>
    <row r="84" spans="1:5" x14ac:dyDescent="0.25">
      <c r="A84" s="28" t="s">
        <v>431</v>
      </c>
      <c r="B84" s="19" t="s">
        <v>432</v>
      </c>
      <c r="C84" s="29"/>
      <c r="D84" s="17" t="str">
        <f>IF($C84="","",IFERROR(IF($E84="machine",INDEX('JLR Machines'!$B$2:$B$20001,MATCH($C84,'JLR Machines'!$A$2:$A$20001,0)),IF($E84="material",INDEX('JLR Materials'!$B$2:$B$20001,MATCH($C84,'JLR Materials'!$A$2:$A$20001,0)),IF($E84="labour",IFERROR(INDEX('JLR Labour'!$B$2:$B$20001,MATCH($C84,'JLR Labour'!$A$2:$A$20001,0)),"labour category "&amp;$C84&amp;" — from the machine tab"),""))),"NOT FOUND — check the code"))</f>
        <v/>
      </c>
      <c r="E84" s="30" t="s">
        <v>268</v>
      </c>
    </row>
    <row r="85" spans="1:5" x14ac:dyDescent="0.25">
      <c r="A85" s="28" t="s">
        <v>433</v>
      </c>
      <c r="B85" s="19" t="s">
        <v>434</v>
      </c>
      <c r="C85" s="29"/>
      <c r="D85" s="17" t="str">
        <f>IF($C85="","",IFERROR(IF($E85="machine",INDEX('JLR Machines'!$B$2:$B$20001,MATCH($C85,'JLR Machines'!$A$2:$A$20001,0)),IF($E85="material",INDEX('JLR Materials'!$B$2:$B$20001,MATCH($C85,'JLR Materials'!$A$2:$A$20001,0)),IF($E85="labour",IFERROR(INDEX('JLR Labour'!$B$2:$B$20001,MATCH($C85,'JLR Labour'!$A$2:$A$20001,0)),"labour category "&amp;$C85&amp;" — from the machine tab"),""))),"NOT FOUND — check the code"))</f>
        <v/>
      </c>
      <c r="E85" s="30" t="s">
        <v>268</v>
      </c>
    </row>
    <row r="86" spans="1:5" x14ac:dyDescent="0.25">
      <c r="A86" s="28" t="s">
        <v>435</v>
      </c>
      <c r="B86" s="19" t="s">
        <v>436</v>
      </c>
      <c r="C86" s="29"/>
      <c r="D86" s="17" t="str">
        <f>IF($C86="","",IFERROR(IF($E86="machine",INDEX('JLR Machines'!$B$2:$B$20001,MATCH($C86,'JLR Machines'!$A$2:$A$20001,0)),IF($E86="material",INDEX('JLR Materials'!$B$2:$B$20001,MATCH($C86,'JLR Materials'!$A$2:$A$20001,0)),IF($E86="labour",IFERROR(INDEX('JLR Labour'!$B$2:$B$20001,MATCH($C86,'JLR Labour'!$A$2:$A$20001,0)),"labour category "&amp;$C86&amp;" — from the machine tab"),""))),"NOT FOUND — check the code"))</f>
        <v/>
      </c>
      <c r="E86" s="30" t="s">
        <v>268</v>
      </c>
    </row>
    <row r="87" spans="1:5" x14ac:dyDescent="0.25">
      <c r="A87" s="28" t="s">
        <v>437</v>
      </c>
      <c r="B87" s="19" t="s">
        <v>438</v>
      </c>
      <c r="C87" s="29"/>
      <c r="D87" s="17" t="str">
        <f>IF($C87="","",IFERROR(IF($E87="machine",INDEX('JLR Machines'!$B$2:$B$20001,MATCH($C87,'JLR Machines'!$A$2:$A$20001,0)),IF($E87="material",INDEX('JLR Materials'!$B$2:$B$20001,MATCH($C87,'JLR Materials'!$A$2:$A$20001,0)),IF($E87="labour",IFERROR(INDEX('JLR Labour'!$B$2:$B$20001,MATCH($C87,'JLR Labour'!$A$2:$A$20001,0)),"labour category "&amp;$C87&amp;" — from the machine tab"),""))),"NOT FOUND — check the code"))</f>
        <v/>
      </c>
      <c r="E87" s="30" t="s">
        <v>268</v>
      </c>
    </row>
    <row r="88" spans="1:5" x14ac:dyDescent="0.25">
      <c r="A88" s="28" t="s">
        <v>439</v>
      </c>
      <c r="B88" s="19" t="s">
        <v>440</v>
      </c>
      <c r="C88" s="29"/>
      <c r="D88" s="17" t="str">
        <f>IF($C88="","",IFERROR(IF($E88="machine",INDEX('JLR Machines'!$B$2:$B$20001,MATCH($C88,'JLR Machines'!$A$2:$A$20001,0)),IF($E88="material",INDEX('JLR Materials'!$B$2:$B$20001,MATCH($C88,'JLR Materials'!$A$2:$A$20001,0)),IF($E88="labour",IFERROR(INDEX('JLR Labour'!$B$2:$B$20001,MATCH($C88,'JLR Labour'!$A$2:$A$20001,0)),"labour category "&amp;$C88&amp;" — from the machine tab"),""))),"NOT FOUND — check the code"))</f>
        <v/>
      </c>
      <c r="E88" s="30" t="s">
        <v>268</v>
      </c>
    </row>
    <row r="89" spans="1:5" x14ac:dyDescent="0.25">
      <c r="A89" s="28" t="s">
        <v>441</v>
      </c>
      <c r="B89" s="19" t="s">
        <v>442</v>
      </c>
      <c r="C89" s="29"/>
      <c r="D89" s="17" t="str">
        <f>IF($C89="","",IFERROR(IF($E89="machine",INDEX('JLR Machines'!$B$2:$B$20001,MATCH($C89,'JLR Machines'!$A$2:$A$20001,0)),IF($E89="material",INDEX('JLR Materials'!$B$2:$B$20001,MATCH($C89,'JLR Materials'!$A$2:$A$20001,0)),IF($E89="labour",IFERROR(INDEX('JLR Labour'!$B$2:$B$20001,MATCH($C89,'JLR Labour'!$A$2:$A$20001,0)),"labour category "&amp;$C89&amp;" — from the machine tab"),""))),"NOT FOUND — check the code"))</f>
        <v/>
      </c>
      <c r="E89" s="30" t="s">
        <v>268</v>
      </c>
    </row>
    <row r="90" spans="1:5" x14ac:dyDescent="0.25">
      <c r="A90" s="28" t="s">
        <v>443</v>
      </c>
      <c r="B90" s="19" t="s">
        <v>444</v>
      </c>
      <c r="C90" s="29"/>
      <c r="D90" s="17" t="str">
        <f>IF($C90="","",IFERROR(IF($E90="machine",INDEX('JLR Machines'!$B$2:$B$20001,MATCH($C90,'JLR Machines'!$A$2:$A$20001,0)),IF($E90="material",INDEX('JLR Materials'!$B$2:$B$20001,MATCH($C90,'JLR Materials'!$A$2:$A$20001,0)),IF($E90="labour",IFERROR(INDEX('JLR Labour'!$B$2:$B$20001,MATCH($C90,'JLR Labour'!$A$2:$A$20001,0)),"labour category "&amp;$C90&amp;" — from the machine tab"),""))),"NOT FOUND — check the code"))</f>
        <v/>
      </c>
      <c r="E90" s="30" t="s">
        <v>268</v>
      </c>
    </row>
    <row r="91" spans="1:5" x14ac:dyDescent="0.25">
      <c r="A91" s="28" t="s">
        <v>445</v>
      </c>
      <c r="B91" s="19" t="s">
        <v>446</v>
      </c>
      <c r="C91" s="29"/>
      <c r="D91" s="17" t="str">
        <f>IF($C91="","",IFERROR(IF($E91="machine",INDEX('JLR Machines'!$B$2:$B$20001,MATCH($C91,'JLR Machines'!$A$2:$A$20001,0)),IF($E91="material",INDEX('JLR Materials'!$B$2:$B$20001,MATCH($C91,'JLR Materials'!$A$2:$A$20001,0)),IF($E91="labour",IFERROR(INDEX('JLR Labour'!$B$2:$B$20001,MATCH($C91,'JLR Labour'!$A$2:$A$20001,0)),"labour category "&amp;$C91&amp;" — from the machine tab"),""))),"NOT FOUND — check the code"))</f>
        <v/>
      </c>
      <c r="E91" s="30" t="s">
        <v>268</v>
      </c>
    </row>
    <row r="92" spans="1:5" x14ac:dyDescent="0.25">
      <c r="A92" s="28" t="s">
        <v>447</v>
      </c>
      <c r="B92" s="19" t="s">
        <v>448</v>
      </c>
      <c r="C92" s="29"/>
      <c r="D92" s="17" t="str">
        <f>IF($C92="","",IFERROR(IF($E92="machine",INDEX('JLR Machines'!$B$2:$B$20001,MATCH($C92,'JLR Machines'!$A$2:$A$20001,0)),IF($E92="material",INDEX('JLR Materials'!$B$2:$B$20001,MATCH($C92,'JLR Materials'!$A$2:$A$20001,0)),IF($E92="labour",IFERROR(INDEX('JLR Labour'!$B$2:$B$20001,MATCH($C92,'JLR Labour'!$A$2:$A$20001,0)),"labour category "&amp;$C92&amp;" — from the machine tab"),""))),"NOT FOUND — check the code"))</f>
        <v/>
      </c>
      <c r="E92" s="30" t="s">
        <v>268</v>
      </c>
    </row>
    <row r="93" spans="1:5" x14ac:dyDescent="0.25">
      <c r="A93" s="28" t="s">
        <v>449</v>
      </c>
      <c r="B93" s="19" t="s">
        <v>450</v>
      </c>
      <c r="C93" s="29"/>
      <c r="D93" s="17" t="str">
        <f>IF($C93="","",IFERROR(IF($E93="machine",INDEX('JLR Machines'!$B$2:$B$20001,MATCH($C93,'JLR Machines'!$A$2:$A$20001,0)),IF($E93="material",INDEX('JLR Materials'!$B$2:$B$20001,MATCH($C93,'JLR Materials'!$A$2:$A$20001,0)),IF($E93="labour",IFERROR(INDEX('JLR Labour'!$B$2:$B$20001,MATCH($C93,'JLR Labour'!$A$2:$A$20001,0)),"labour category "&amp;$C93&amp;" — from the machine tab"),""))),"NOT FOUND — check the code"))</f>
        <v/>
      </c>
      <c r="E93" s="30" t="s">
        <v>268</v>
      </c>
    </row>
    <row r="94" spans="1:5" x14ac:dyDescent="0.25">
      <c r="A94" s="28" t="s">
        <v>451</v>
      </c>
      <c r="B94" s="19" t="s">
        <v>452</v>
      </c>
      <c r="C94" s="29"/>
      <c r="D94" s="17" t="str">
        <f>IF($C94="","",IFERROR(IF($E94="machine",INDEX('JLR Machines'!$B$2:$B$20001,MATCH($C94,'JLR Machines'!$A$2:$A$20001,0)),IF($E94="material",INDEX('JLR Materials'!$B$2:$B$20001,MATCH($C94,'JLR Materials'!$A$2:$A$20001,0)),IF($E94="labour",IFERROR(INDEX('JLR Labour'!$B$2:$B$20001,MATCH($C94,'JLR Labour'!$A$2:$A$20001,0)),"labour category "&amp;$C94&amp;" — from the machine tab"),""))),"NOT FOUND — check the code"))</f>
        <v/>
      </c>
      <c r="E94" s="30" t="s">
        <v>268</v>
      </c>
    </row>
    <row r="95" spans="1:5" x14ac:dyDescent="0.25">
      <c r="A95" s="28" t="s">
        <v>453</v>
      </c>
      <c r="B95" s="19" t="s">
        <v>454</v>
      </c>
      <c r="C95" s="29"/>
      <c r="D95" s="17" t="str">
        <f>IF($C95="","",IFERROR(IF($E95="machine",INDEX('JLR Machines'!$B$2:$B$20001,MATCH($C95,'JLR Machines'!$A$2:$A$20001,0)),IF($E95="material",INDEX('JLR Materials'!$B$2:$B$20001,MATCH($C95,'JLR Materials'!$A$2:$A$20001,0)),IF($E95="labour",IFERROR(INDEX('JLR Labour'!$B$2:$B$20001,MATCH($C95,'JLR Labour'!$A$2:$A$20001,0)),"labour category "&amp;$C95&amp;" — from the machine tab"),""))),"NOT FOUND — check the code"))</f>
        <v/>
      </c>
      <c r="E95" s="30" t="s">
        <v>268</v>
      </c>
    </row>
    <row r="96" spans="1:5" x14ac:dyDescent="0.25">
      <c r="A96" s="28" t="s">
        <v>455</v>
      </c>
      <c r="B96" s="19" t="s">
        <v>456</v>
      </c>
      <c r="C96" s="29"/>
      <c r="D96" s="17" t="str">
        <f>IF($C96="","",IFERROR(IF($E96="machine",INDEX('JLR Machines'!$B$2:$B$20001,MATCH($C96,'JLR Machines'!$A$2:$A$20001,0)),IF($E96="material",INDEX('JLR Materials'!$B$2:$B$20001,MATCH($C96,'JLR Materials'!$A$2:$A$20001,0)),IF($E96="labour",IFERROR(INDEX('JLR Labour'!$B$2:$B$20001,MATCH($C96,'JLR Labour'!$A$2:$A$20001,0)),"labour category "&amp;$C96&amp;" — from the machine tab"),""))),"NOT FOUND — check the code"))</f>
        <v/>
      </c>
      <c r="E96" s="30" t="s">
        <v>268</v>
      </c>
    </row>
    <row r="97" spans="1:5" x14ac:dyDescent="0.25">
      <c r="A97" s="28" t="s">
        <v>457</v>
      </c>
      <c r="B97" s="19" t="s">
        <v>458</v>
      </c>
      <c r="C97" s="29"/>
      <c r="D97" s="17" t="str">
        <f>IF($C97="","",IFERROR(IF($E97="machine",INDEX('JLR Machines'!$B$2:$B$20001,MATCH($C97,'JLR Machines'!$A$2:$A$20001,0)),IF($E97="material",INDEX('JLR Materials'!$B$2:$B$20001,MATCH($C97,'JLR Materials'!$A$2:$A$20001,0)),IF($E97="labour",IFERROR(INDEX('JLR Labour'!$B$2:$B$20001,MATCH($C97,'JLR Labour'!$A$2:$A$20001,0)),"labour category "&amp;$C97&amp;" — from the machine tab"),""))),"NOT FOUND — check the code"))</f>
        <v/>
      </c>
      <c r="E97" s="30" t="s">
        <v>268</v>
      </c>
    </row>
    <row r="98" spans="1:5" x14ac:dyDescent="0.25">
      <c r="A98" s="28" t="s">
        <v>459</v>
      </c>
      <c r="B98" s="19" t="s">
        <v>460</v>
      </c>
      <c r="C98" s="29"/>
      <c r="D98" s="17" t="str">
        <f>IF($C98="","",IFERROR(IF($E98="machine",INDEX('JLR Machines'!$B$2:$B$20001,MATCH($C98,'JLR Machines'!$A$2:$A$20001,0)),IF($E98="material",INDEX('JLR Materials'!$B$2:$B$20001,MATCH($C98,'JLR Materials'!$A$2:$A$20001,0)),IF($E98="labour",IFERROR(INDEX('JLR Labour'!$B$2:$B$20001,MATCH($C98,'JLR Labour'!$A$2:$A$20001,0)),"labour category "&amp;$C98&amp;" — from the machine tab"),""))),"NOT FOUND — check the code"))</f>
        <v/>
      </c>
      <c r="E98" s="30" t="s">
        <v>268</v>
      </c>
    </row>
    <row r="99" spans="1:5" x14ac:dyDescent="0.25">
      <c r="A99" s="28" t="s">
        <v>461</v>
      </c>
      <c r="B99" s="19" t="s">
        <v>462</v>
      </c>
      <c r="C99" s="29"/>
      <c r="D99" s="17" t="str">
        <f>IF($C99="","",IFERROR(IF($E99="machine",INDEX('JLR Machines'!$B$2:$B$20001,MATCH($C99,'JLR Machines'!$A$2:$A$20001,0)),IF($E99="material",INDEX('JLR Materials'!$B$2:$B$20001,MATCH($C99,'JLR Materials'!$A$2:$A$20001,0)),IF($E99="labour",IFERROR(INDEX('JLR Labour'!$B$2:$B$20001,MATCH($C99,'JLR Labour'!$A$2:$A$20001,0)),"labour category "&amp;$C99&amp;" — from the machine tab"),""))),"NOT FOUND — check the code"))</f>
        <v/>
      </c>
      <c r="E99" s="30" t="s">
        <v>268</v>
      </c>
    </row>
    <row r="100" spans="1:5" x14ac:dyDescent="0.25">
      <c r="A100" s="28" t="s">
        <v>463</v>
      </c>
      <c r="B100" s="19" t="s">
        <v>464</v>
      </c>
      <c r="C100" s="29"/>
      <c r="D100" s="17" t="str">
        <f>IF($C100="","",IFERROR(IF($E100="machine",INDEX('JLR Machines'!$B$2:$B$20001,MATCH($C100,'JLR Machines'!$A$2:$A$20001,0)),IF($E100="material",INDEX('JLR Materials'!$B$2:$B$20001,MATCH($C100,'JLR Materials'!$A$2:$A$20001,0)),IF($E100="labour",IFERROR(INDEX('JLR Labour'!$B$2:$B$20001,MATCH($C100,'JLR Labour'!$A$2:$A$20001,0)),"labour category "&amp;$C100&amp;" — from the machine tab"),""))),"NOT FOUND — check the code"))</f>
        <v/>
      </c>
      <c r="E100" s="30" t="s">
        <v>268</v>
      </c>
    </row>
    <row r="101" spans="1:5" x14ac:dyDescent="0.25">
      <c r="A101" s="28" t="s">
        <v>465</v>
      </c>
      <c r="B101" s="19" t="s">
        <v>466</v>
      </c>
      <c r="C101" s="29"/>
      <c r="D101" s="17" t="str">
        <f>IF($C101="","",IFERROR(IF($E101="machine",INDEX('JLR Machines'!$B$2:$B$20001,MATCH($C101,'JLR Machines'!$A$2:$A$20001,0)),IF($E101="material",INDEX('JLR Materials'!$B$2:$B$20001,MATCH($C101,'JLR Materials'!$A$2:$A$20001,0)),IF($E101="labour",IFERROR(INDEX('JLR Labour'!$B$2:$B$20001,MATCH($C101,'JLR Labour'!$A$2:$A$20001,0)),"labour category "&amp;$C101&amp;" — from the machine tab"),""))),"NOT FOUND — check the code"))</f>
        <v/>
      </c>
      <c r="E101" s="30" t="s">
        <v>268</v>
      </c>
    </row>
    <row r="102" spans="1:5" x14ac:dyDescent="0.25">
      <c r="A102" s="28" t="s">
        <v>467</v>
      </c>
      <c r="B102" s="19" t="s">
        <v>468</v>
      </c>
      <c r="C102" s="29"/>
      <c r="D102" s="17" t="str">
        <f>IF($C102="","",IFERROR(IF($E102="machine",INDEX('JLR Machines'!$B$2:$B$20001,MATCH($C102,'JLR Machines'!$A$2:$A$20001,0)),IF($E102="material",INDEX('JLR Materials'!$B$2:$B$20001,MATCH($C102,'JLR Materials'!$A$2:$A$20001,0)),IF($E102="labour",IFERROR(INDEX('JLR Labour'!$B$2:$B$20001,MATCH($C102,'JLR Labour'!$A$2:$A$20001,0)),"labour category "&amp;$C102&amp;" — from the machine tab"),""))),"NOT FOUND — check the code"))</f>
        <v/>
      </c>
      <c r="E102" s="30" t="s">
        <v>268</v>
      </c>
    </row>
    <row r="103" spans="1:5" x14ac:dyDescent="0.25">
      <c r="A103" s="28" t="s">
        <v>469</v>
      </c>
      <c r="B103" s="19" t="s">
        <v>470</v>
      </c>
      <c r="C103" s="29"/>
      <c r="D103" s="17" t="str">
        <f>IF($C103="","",IFERROR(IF($E103="machine",INDEX('JLR Machines'!$B$2:$B$20001,MATCH($C103,'JLR Machines'!$A$2:$A$20001,0)),IF($E103="material",INDEX('JLR Materials'!$B$2:$B$20001,MATCH($C103,'JLR Materials'!$A$2:$A$20001,0)),IF($E103="labour",IFERROR(INDEX('JLR Labour'!$B$2:$B$20001,MATCH($C103,'JLR Labour'!$A$2:$A$20001,0)),"labour category "&amp;$C103&amp;" — from the machine tab"),""))),"NOT FOUND — check the code"))</f>
        <v/>
      </c>
      <c r="E103" s="30" t="s">
        <v>268</v>
      </c>
    </row>
    <row r="104" spans="1:5" x14ac:dyDescent="0.25">
      <c r="A104" s="28" t="s">
        <v>471</v>
      </c>
      <c r="B104" s="19" t="s">
        <v>472</v>
      </c>
      <c r="C104" s="29"/>
      <c r="D104" s="17" t="str">
        <f>IF($C104="","",IFERROR(IF($E104="machine",INDEX('JLR Machines'!$B$2:$B$20001,MATCH($C104,'JLR Machines'!$A$2:$A$20001,0)),IF($E104="material",INDEX('JLR Materials'!$B$2:$B$20001,MATCH($C104,'JLR Materials'!$A$2:$A$20001,0)),IF($E104="labour",IFERROR(INDEX('JLR Labour'!$B$2:$B$20001,MATCH($C104,'JLR Labour'!$A$2:$A$20001,0)),"labour category "&amp;$C104&amp;" — from the machine tab"),""))),"NOT FOUND — check the code"))</f>
        <v/>
      </c>
      <c r="E104" s="30" t="s">
        <v>268</v>
      </c>
    </row>
    <row r="105" spans="1:5" x14ac:dyDescent="0.25">
      <c r="A105" s="28" t="s">
        <v>473</v>
      </c>
      <c r="B105" s="19" t="s">
        <v>474</v>
      </c>
      <c r="C105" s="29"/>
      <c r="D105" s="17" t="str">
        <f>IF($C105="","",IFERROR(IF($E105="machine",INDEX('JLR Machines'!$B$2:$B$20001,MATCH($C105,'JLR Machines'!$A$2:$A$20001,0)),IF($E105="material",INDEX('JLR Materials'!$B$2:$B$20001,MATCH($C105,'JLR Materials'!$A$2:$A$20001,0)),IF($E105="labour",IFERROR(INDEX('JLR Labour'!$B$2:$B$20001,MATCH($C105,'JLR Labour'!$A$2:$A$20001,0)),"labour category "&amp;$C105&amp;" — from the machine tab"),""))),"NOT FOUND — check the code"))</f>
        <v/>
      </c>
      <c r="E105" s="30" t="s">
        <v>268</v>
      </c>
    </row>
    <row r="106" spans="1:5" x14ac:dyDescent="0.25">
      <c r="A106" s="28" t="s">
        <v>475</v>
      </c>
      <c r="B106" s="19" t="s">
        <v>476</v>
      </c>
      <c r="C106" s="29"/>
      <c r="D106" s="17" t="str">
        <f>IF($C106="","",IFERROR(IF($E106="machine",INDEX('JLR Machines'!$B$2:$B$20001,MATCH($C106,'JLR Machines'!$A$2:$A$20001,0)),IF($E106="material",INDEX('JLR Materials'!$B$2:$B$20001,MATCH($C106,'JLR Materials'!$A$2:$A$20001,0)),IF($E106="labour",IFERROR(INDEX('JLR Labour'!$B$2:$B$20001,MATCH($C106,'JLR Labour'!$A$2:$A$20001,0)),"labour category "&amp;$C106&amp;" — from the machine tab"),""))),"NOT FOUND — check the code"))</f>
        <v/>
      </c>
      <c r="E106" s="30" t="s">
        <v>268</v>
      </c>
    </row>
    <row r="107" spans="1:5" x14ac:dyDescent="0.25">
      <c r="A107" s="28" t="s">
        <v>477</v>
      </c>
      <c r="B107" s="19" t="s">
        <v>478</v>
      </c>
      <c r="C107" s="29"/>
      <c r="D107" s="17" t="str">
        <f>IF($C107="","",IFERROR(IF($E107="machine",INDEX('JLR Machines'!$B$2:$B$20001,MATCH($C107,'JLR Machines'!$A$2:$A$20001,0)),IF($E107="material",INDEX('JLR Materials'!$B$2:$B$20001,MATCH($C107,'JLR Materials'!$A$2:$A$20001,0)),IF($E107="labour",IFERROR(INDEX('JLR Labour'!$B$2:$B$20001,MATCH($C107,'JLR Labour'!$A$2:$A$20001,0)),"labour category "&amp;$C107&amp;" — from the machine tab"),""))),"NOT FOUND — check the code"))</f>
        <v/>
      </c>
      <c r="E107" s="30" t="s">
        <v>268</v>
      </c>
    </row>
    <row r="108" spans="1:5" x14ac:dyDescent="0.25">
      <c r="A108" s="28" t="s">
        <v>479</v>
      </c>
      <c r="B108" s="19" t="s">
        <v>480</v>
      </c>
      <c r="C108" s="29"/>
      <c r="D108" s="17" t="str">
        <f>IF($C108="","",IFERROR(IF($E108="machine",INDEX('JLR Machines'!$B$2:$B$20001,MATCH($C108,'JLR Machines'!$A$2:$A$20001,0)),IF($E108="material",INDEX('JLR Materials'!$B$2:$B$20001,MATCH($C108,'JLR Materials'!$A$2:$A$20001,0)),IF($E108="labour",IFERROR(INDEX('JLR Labour'!$B$2:$B$20001,MATCH($C108,'JLR Labour'!$A$2:$A$20001,0)),"labour category "&amp;$C108&amp;" — from the machine tab"),""))),"NOT FOUND — check the code"))</f>
        <v/>
      </c>
      <c r="E108" s="30" t="s">
        <v>268</v>
      </c>
    </row>
    <row r="109" spans="1:5" x14ac:dyDescent="0.25">
      <c r="A109" s="28" t="s">
        <v>481</v>
      </c>
      <c r="B109" s="19" t="s">
        <v>482</v>
      </c>
      <c r="C109" s="29"/>
      <c r="D109" s="17" t="str">
        <f>IF($C109="","",IFERROR(IF($E109="machine",INDEX('JLR Machines'!$B$2:$B$20001,MATCH($C109,'JLR Machines'!$A$2:$A$20001,0)),IF($E109="material",INDEX('JLR Materials'!$B$2:$B$20001,MATCH($C109,'JLR Materials'!$A$2:$A$20001,0)),IF($E109="labour",IFERROR(INDEX('JLR Labour'!$B$2:$B$20001,MATCH($C109,'JLR Labour'!$A$2:$A$20001,0)),"labour category "&amp;$C109&amp;" — from the machine tab"),""))),"NOT FOUND — check the code"))</f>
        <v/>
      </c>
      <c r="E109" s="30" t="s">
        <v>268</v>
      </c>
    </row>
    <row r="110" spans="1:5" x14ac:dyDescent="0.25">
      <c r="A110" s="28" t="s">
        <v>483</v>
      </c>
      <c r="B110" s="19" t="s">
        <v>484</v>
      </c>
      <c r="C110" s="29"/>
      <c r="D110" s="17" t="str">
        <f>IF($C110="","",IFERROR(IF($E110="machine",INDEX('JLR Machines'!$B$2:$B$20001,MATCH($C110,'JLR Machines'!$A$2:$A$20001,0)),IF($E110="material",INDEX('JLR Materials'!$B$2:$B$20001,MATCH($C110,'JLR Materials'!$A$2:$A$20001,0)),IF($E110="labour",IFERROR(INDEX('JLR Labour'!$B$2:$B$20001,MATCH($C110,'JLR Labour'!$A$2:$A$20001,0)),"labour category "&amp;$C110&amp;" — from the machine tab"),""))),"NOT FOUND — check the code"))</f>
        <v/>
      </c>
      <c r="E110" s="30" t="s">
        <v>268</v>
      </c>
    </row>
    <row r="111" spans="1:5" x14ac:dyDescent="0.25">
      <c r="A111" s="28" t="s">
        <v>485</v>
      </c>
      <c r="B111" s="19" t="s">
        <v>486</v>
      </c>
      <c r="C111" s="29"/>
      <c r="D111" s="17" t="str">
        <f>IF($C111="","",IFERROR(IF($E111="machine",INDEX('JLR Machines'!$B$2:$B$20001,MATCH($C111,'JLR Machines'!$A$2:$A$20001,0)),IF($E111="material",INDEX('JLR Materials'!$B$2:$B$20001,MATCH($C111,'JLR Materials'!$A$2:$A$20001,0)),IF($E111="labour",IFERROR(INDEX('JLR Labour'!$B$2:$B$20001,MATCH($C111,'JLR Labour'!$A$2:$A$20001,0)),"labour category "&amp;$C111&amp;" — from the machine tab"),""))),"NOT FOUND — check the code"))</f>
        <v/>
      </c>
      <c r="E111" s="30" t="s">
        <v>268</v>
      </c>
    </row>
    <row r="112" spans="1:5" x14ac:dyDescent="0.25">
      <c r="A112" s="28" t="s">
        <v>487</v>
      </c>
      <c r="B112" s="19" t="s">
        <v>488</v>
      </c>
      <c r="C112" s="29"/>
      <c r="D112" s="17" t="str">
        <f>IF($C112="","",IFERROR(IF($E112="machine",INDEX('JLR Machines'!$B$2:$B$20001,MATCH($C112,'JLR Machines'!$A$2:$A$20001,0)),IF($E112="material",INDEX('JLR Materials'!$B$2:$B$20001,MATCH($C112,'JLR Materials'!$A$2:$A$20001,0)),IF($E112="labour",IFERROR(INDEX('JLR Labour'!$B$2:$B$20001,MATCH($C112,'JLR Labour'!$A$2:$A$20001,0)),"labour category "&amp;$C112&amp;" — from the machine tab"),""))),"NOT FOUND — check the code"))</f>
        <v/>
      </c>
      <c r="E112" s="30" t="s">
        <v>268</v>
      </c>
    </row>
    <row r="113" spans="1:5" x14ac:dyDescent="0.25">
      <c r="A113" s="28" t="s">
        <v>489</v>
      </c>
      <c r="B113" s="19" t="s">
        <v>490</v>
      </c>
      <c r="C113" s="29"/>
      <c r="D113" s="17" t="str">
        <f>IF($C113="","",IFERROR(IF($E113="machine",INDEX('JLR Machines'!$B$2:$B$20001,MATCH($C113,'JLR Machines'!$A$2:$A$20001,0)),IF($E113="material",INDEX('JLR Materials'!$B$2:$B$20001,MATCH($C113,'JLR Materials'!$A$2:$A$20001,0)),IF($E113="labour",IFERROR(INDEX('JLR Labour'!$B$2:$B$20001,MATCH($C113,'JLR Labour'!$A$2:$A$20001,0)),"labour category "&amp;$C113&amp;" — from the machine tab"),""))),"NOT FOUND — check the code"))</f>
        <v/>
      </c>
      <c r="E113" s="30" t="s">
        <v>268</v>
      </c>
    </row>
    <row r="114" spans="1:5" x14ac:dyDescent="0.25">
      <c r="A114" s="28" t="s">
        <v>491</v>
      </c>
      <c r="B114" s="19" t="s">
        <v>492</v>
      </c>
      <c r="C114" s="29"/>
      <c r="D114" s="17" t="str">
        <f>IF($C114="","",IFERROR(IF($E114="machine",INDEX('JLR Machines'!$B$2:$B$20001,MATCH($C114,'JLR Machines'!$A$2:$A$20001,0)),IF($E114="material",INDEX('JLR Materials'!$B$2:$B$20001,MATCH($C114,'JLR Materials'!$A$2:$A$20001,0)),IF($E114="labour",IFERROR(INDEX('JLR Labour'!$B$2:$B$20001,MATCH($C114,'JLR Labour'!$A$2:$A$20001,0)),"labour category "&amp;$C114&amp;" — from the machine tab"),""))),"NOT FOUND — check the code"))</f>
        <v/>
      </c>
      <c r="E114" s="30" t="s">
        <v>268</v>
      </c>
    </row>
    <row r="115" spans="1:5" x14ac:dyDescent="0.25">
      <c r="A115" s="28" t="s">
        <v>493</v>
      </c>
      <c r="B115" s="19" t="s">
        <v>494</v>
      </c>
      <c r="C115" s="29"/>
      <c r="D115" s="17" t="str">
        <f>IF($C115="","",IFERROR(IF($E115="machine",INDEX('JLR Machines'!$B$2:$B$20001,MATCH($C115,'JLR Machines'!$A$2:$A$20001,0)),IF($E115="material",INDEX('JLR Materials'!$B$2:$B$20001,MATCH($C115,'JLR Materials'!$A$2:$A$20001,0)),IF($E115="labour",IFERROR(INDEX('JLR Labour'!$B$2:$B$20001,MATCH($C115,'JLR Labour'!$A$2:$A$20001,0)),"labour category "&amp;$C115&amp;" — from the machine tab"),""))),"NOT FOUND — check the code"))</f>
        <v/>
      </c>
      <c r="E115" s="30" t="s">
        <v>268</v>
      </c>
    </row>
    <row r="116" spans="1:5" x14ac:dyDescent="0.25">
      <c r="A116" s="28" t="s">
        <v>495</v>
      </c>
      <c r="B116" s="19" t="s">
        <v>496</v>
      </c>
      <c r="C116" s="29"/>
      <c r="D116" s="17" t="str">
        <f>IF($C116="","",IFERROR(IF($E116="machine",INDEX('JLR Machines'!$B$2:$B$20001,MATCH($C116,'JLR Machines'!$A$2:$A$20001,0)),IF($E116="material",INDEX('JLR Materials'!$B$2:$B$20001,MATCH($C116,'JLR Materials'!$A$2:$A$20001,0)),IF($E116="labour",IFERROR(INDEX('JLR Labour'!$B$2:$B$20001,MATCH($C116,'JLR Labour'!$A$2:$A$20001,0)),"labour category "&amp;$C116&amp;" — from the machine tab"),""))),"NOT FOUND — check the code"))</f>
        <v/>
      </c>
      <c r="E116" s="30" t="s">
        <v>268</v>
      </c>
    </row>
    <row r="117" spans="1:5" x14ac:dyDescent="0.25">
      <c r="A117" s="28" t="s">
        <v>497</v>
      </c>
      <c r="B117" s="19" t="s">
        <v>498</v>
      </c>
      <c r="C117" s="29"/>
      <c r="D117" s="17" t="str">
        <f>IF($C117="","",IFERROR(IF($E117="machine",INDEX('JLR Machines'!$B$2:$B$20001,MATCH($C117,'JLR Machines'!$A$2:$A$20001,0)),IF($E117="material",INDEX('JLR Materials'!$B$2:$B$20001,MATCH($C117,'JLR Materials'!$A$2:$A$20001,0)),IF($E117="labour",IFERROR(INDEX('JLR Labour'!$B$2:$B$20001,MATCH($C117,'JLR Labour'!$A$2:$A$20001,0)),"labour category "&amp;$C117&amp;" — from the machine tab"),""))),"NOT FOUND — check the code"))</f>
        <v/>
      </c>
      <c r="E117" s="30" t="s">
        <v>268</v>
      </c>
    </row>
    <row r="118" spans="1:5" x14ac:dyDescent="0.25">
      <c r="A118" s="28" t="s">
        <v>499</v>
      </c>
      <c r="B118" s="19" t="s">
        <v>500</v>
      </c>
      <c r="C118" s="29"/>
      <c r="D118" s="17" t="str">
        <f>IF($C118="","",IFERROR(IF($E118="machine",INDEX('JLR Machines'!$B$2:$B$20001,MATCH($C118,'JLR Machines'!$A$2:$A$20001,0)),IF($E118="material",INDEX('JLR Materials'!$B$2:$B$20001,MATCH($C118,'JLR Materials'!$A$2:$A$20001,0)),IF($E118="labour",IFERROR(INDEX('JLR Labour'!$B$2:$B$20001,MATCH($C118,'JLR Labour'!$A$2:$A$20001,0)),"labour category "&amp;$C118&amp;" — from the machine tab"),""))),"NOT FOUND — check the code"))</f>
        <v/>
      </c>
      <c r="E118" s="30" t="s">
        <v>268</v>
      </c>
    </row>
    <row r="119" spans="1:5" x14ac:dyDescent="0.25">
      <c r="A119" s="28" t="s">
        <v>501</v>
      </c>
      <c r="B119" s="19" t="s">
        <v>502</v>
      </c>
      <c r="C119" s="29"/>
      <c r="D119" s="17" t="str">
        <f>IF($C119="","",IFERROR(IF($E119="machine",INDEX('JLR Machines'!$B$2:$B$20001,MATCH($C119,'JLR Machines'!$A$2:$A$20001,0)),IF($E119="material",INDEX('JLR Materials'!$B$2:$B$20001,MATCH($C119,'JLR Materials'!$A$2:$A$20001,0)),IF($E119="labour",IFERROR(INDEX('JLR Labour'!$B$2:$B$20001,MATCH($C119,'JLR Labour'!$A$2:$A$20001,0)),"labour category "&amp;$C119&amp;" — from the machine tab"),""))),"NOT FOUND — check the code"))</f>
        <v/>
      </c>
      <c r="E119" s="30" t="s">
        <v>268</v>
      </c>
    </row>
    <row r="120" spans="1:5" x14ac:dyDescent="0.25">
      <c r="A120" s="28" t="s">
        <v>503</v>
      </c>
      <c r="B120" s="19" t="s">
        <v>504</v>
      </c>
      <c r="C120" s="29"/>
      <c r="D120" s="17" t="str">
        <f>IF($C120="","",IFERROR(IF($E120="machine",INDEX('JLR Machines'!$B$2:$B$20001,MATCH($C120,'JLR Machines'!$A$2:$A$20001,0)),IF($E120="material",INDEX('JLR Materials'!$B$2:$B$20001,MATCH($C120,'JLR Materials'!$A$2:$A$20001,0)),IF($E120="labour",IFERROR(INDEX('JLR Labour'!$B$2:$B$20001,MATCH($C120,'JLR Labour'!$A$2:$A$20001,0)),"labour category "&amp;$C120&amp;" — from the machine tab"),""))),"NOT FOUND — check the code"))</f>
        <v/>
      </c>
      <c r="E120" s="30" t="s">
        <v>268</v>
      </c>
    </row>
    <row r="121" spans="1:5" x14ac:dyDescent="0.25">
      <c r="A121" s="28" t="s">
        <v>505</v>
      </c>
      <c r="B121" s="19" t="s">
        <v>506</v>
      </c>
      <c r="C121" s="29"/>
      <c r="D121" s="17" t="str">
        <f>IF($C121="","",IFERROR(IF($E121="machine",INDEX('JLR Machines'!$B$2:$B$20001,MATCH($C121,'JLR Machines'!$A$2:$A$20001,0)),IF($E121="material",INDEX('JLR Materials'!$B$2:$B$20001,MATCH($C121,'JLR Materials'!$A$2:$A$20001,0)),IF($E121="labour",IFERROR(INDEX('JLR Labour'!$B$2:$B$20001,MATCH($C121,'JLR Labour'!$A$2:$A$20001,0)),"labour category "&amp;$C121&amp;" — from the machine tab"),""))),"NOT FOUND — check the code"))</f>
        <v/>
      </c>
      <c r="E121" s="30" t="s">
        <v>268</v>
      </c>
    </row>
    <row r="122" spans="1:5" x14ac:dyDescent="0.25">
      <c r="A122" s="28" t="s">
        <v>507</v>
      </c>
      <c r="B122" s="19" t="s">
        <v>508</v>
      </c>
      <c r="C122" s="29"/>
      <c r="D122" s="17" t="str">
        <f>IF($C122="","",IFERROR(IF($E122="machine",INDEX('JLR Machines'!$B$2:$B$20001,MATCH($C122,'JLR Machines'!$A$2:$A$20001,0)),IF($E122="material",INDEX('JLR Materials'!$B$2:$B$20001,MATCH($C122,'JLR Materials'!$A$2:$A$20001,0)),IF($E122="labour",IFERROR(INDEX('JLR Labour'!$B$2:$B$20001,MATCH($C122,'JLR Labour'!$A$2:$A$20001,0)),"labour category "&amp;$C122&amp;" — from the machine tab"),""))),"NOT FOUND — check the code"))</f>
        <v/>
      </c>
      <c r="E122" s="30" t="s">
        <v>268</v>
      </c>
    </row>
    <row r="123" spans="1:5" x14ac:dyDescent="0.25">
      <c r="A123" s="28" t="s">
        <v>509</v>
      </c>
      <c r="B123" s="19" t="s">
        <v>510</v>
      </c>
      <c r="C123" s="29"/>
      <c r="D123" s="17" t="str">
        <f>IF($C123="","",IFERROR(IF($E123="machine",INDEX('JLR Machines'!$B$2:$B$20001,MATCH($C123,'JLR Machines'!$A$2:$A$20001,0)),IF($E123="material",INDEX('JLR Materials'!$B$2:$B$20001,MATCH($C123,'JLR Materials'!$A$2:$A$20001,0)),IF($E123="labour",IFERROR(INDEX('JLR Labour'!$B$2:$B$20001,MATCH($C123,'JLR Labour'!$A$2:$A$20001,0)),"labour category "&amp;$C123&amp;" — from the machine tab"),""))),"NOT FOUND — check the code"))</f>
        <v/>
      </c>
      <c r="E123" s="30" t="s">
        <v>268</v>
      </c>
    </row>
    <row r="124" spans="1:5" x14ac:dyDescent="0.25">
      <c r="A124" s="28" t="s">
        <v>511</v>
      </c>
      <c r="B124" s="19" t="s">
        <v>512</v>
      </c>
      <c r="C124" s="29"/>
      <c r="D124" s="17" t="str">
        <f>IF($C124="","",IFERROR(IF($E124="machine",INDEX('JLR Machines'!$B$2:$B$20001,MATCH($C124,'JLR Machines'!$A$2:$A$20001,0)),IF($E124="material",INDEX('JLR Materials'!$B$2:$B$20001,MATCH($C124,'JLR Materials'!$A$2:$A$20001,0)),IF($E124="labour",IFERROR(INDEX('JLR Labour'!$B$2:$B$20001,MATCH($C124,'JLR Labour'!$A$2:$A$20001,0)),"labour category "&amp;$C124&amp;" — from the machine tab"),""))),"NOT FOUND — check the code"))</f>
        <v/>
      </c>
      <c r="E124" s="30" t="s">
        <v>268</v>
      </c>
    </row>
    <row r="125" spans="1:5" x14ac:dyDescent="0.25">
      <c r="A125" s="28" t="s">
        <v>513</v>
      </c>
      <c r="B125" s="19" t="s">
        <v>514</v>
      </c>
      <c r="C125" s="29"/>
      <c r="D125" s="17" t="str">
        <f>IF($C125="","",IFERROR(IF($E125="machine",INDEX('JLR Machines'!$B$2:$B$20001,MATCH($C125,'JLR Machines'!$A$2:$A$20001,0)),IF($E125="material",INDEX('JLR Materials'!$B$2:$B$20001,MATCH($C125,'JLR Materials'!$A$2:$A$20001,0)),IF($E125="labour",IFERROR(INDEX('JLR Labour'!$B$2:$B$20001,MATCH($C125,'JLR Labour'!$A$2:$A$20001,0)),"labour category "&amp;$C125&amp;" — from the machine tab"),""))),"NOT FOUND — check the code"))</f>
        <v/>
      </c>
      <c r="E125" s="30" t="s">
        <v>268</v>
      </c>
    </row>
    <row r="126" spans="1:5" x14ac:dyDescent="0.25">
      <c r="A126" s="28" t="s">
        <v>515</v>
      </c>
      <c r="B126" s="19" t="s">
        <v>516</v>
      </c>
      <c r="C126" s="29"/>
      <c r="D126" s="17" t="str">
        <f>IF($C126="","",IFERROR(IF($E126="machine",INDEX('JLR Machines'!$B$2:$B$20001,MATCH($C126,'JLR Machines'!$A$2:$A$20001,0)),IF($E126="material",INDEX('JLR Materials'!$B$2:$B$20001,MATCH($C126,'JLR Materials'!$A$2:$A$20001,0)),IF($E126="labour",IFERROR(INDEX('JLR Labour'!$B$2:$B$20001,MATCH($C126,'JLR Labour'!$A$2:$A$20001,0)),"labour category "&amp;$C126&amp;" — from the machine tab"),""))),"NOT FOUND — check the code"))</f>
        <v/>
      </c>
      <c r="E126" s="30" t="s">
        <v>268</v>
      </c>
    </row>
    <row r="127" spans="1:5" x14ac:dyDescent="0.25">
      <c r="A127" s="28" t="s">
        <v>517</v>
      </c>
      <c r="B127" s="19" t="s">
        <v>518</v>
      </c>
      <c r="C127" s="29"/>
      <c r="D127" s="17" t="str">
        <f>IF($C127="","",IFERROR(IF($E127="machine",INDEX('JLR Machines'!$B$2:$B$20001,MATCH($C127,'JLR Machines'!$A$2:$A$20001,0)),IF($E127="material",INDEX('JLR Materials'!$B$2:$B$20001,MATCH($C127,'JLR Materials'!$A$2:$A$20001,0)),IF($E127="labour",IFERROR(INDEX('JLR Labour'!$B$2:$B$20001,MATCH($C127,'JLR Labour'!$A$2:$A$20001,0)),"labour category "&amp;$C127&amp;" — from the machine tab"),""))),"NOT FOUND — check the code"))</f>
        <v/>
      </c>
      <c r="E127" s="30" t="s">
        <v>268</v>
      </c>
    </row>
    <row r="128" spans="1:5" x14ac:dyDescent="0.25">
      <c r="A128" s="28" t="s">
        <v>519</v>
      </c>
      <c r="B128" s="19" t="s">
        <v>520</v>
      </c>
      <c r="C128" s="29"/>
      <c r="D128" s="17" t="str">
        <f>IF($C128="","",IFERROR(IF($E128="machine",INDEX('JLR Machines'!$B$2:$B$20001,MATCH($C128,'JLR Machines'!$A$2:$A$20001,0)),IF($E128="material",INDEX('JLR Materials'!$B$2:$B$20001,MATCH($C128,'JLR Materials'!$A$2:$A$20001,0)),IF($E128="labour",IFERROR(INDEX('JLR Labour'!$B$2:$B$20001,MATCH($C128,'JLR Labour'!$A$2:$A$20001,0)),"labour category "&amp;$C128&amp;" — from the machine tab"),""))),"NOT FOUND — check the code"))</f>
        <v/>
      </c>
      <c r="E128" s="30" t="s">
        <v>268</v>
      </c>
    </row>
    <row r="129" spans="1:5" x14ac:dyDescent="0.25">
      <c r="A129" s="28" t="s">
        <v>521</v>
      </c>
      <c r="B129" s="19" t="s">
        <v>522</v>
      </c>
      <c r="C129" s="29"/>
      <c r="D129" s="17" t="str">
        <f>IF($C129="","",IFERROR(IF($E129="machine",INDEX('JLR Machines'!$B$2:$B$20001,MATCH($C129,'JLR Machines'!$A$2:$A$20001,0)),IF($E129="material",INDEX('JLR Materials'!$B$2:$B$20001,MATCH($C129,'JLR Materials'!$A$2:$A$20001,0)),IF($E129="labour",IFERROR(INDEX('JLR Labour'!$B$2:$B$20001,MATCH($C129,'JLR Labour'!$A$2:$A$20001,0)),"labour category "&amp;$C129&amp;" — from the machine tab"),""))),"NOT FOUND — check the code"))</f>
        <v/>
      </c>
      <c r="E129" s="30" t="s">
        <v>268</v>
      </c>
    </row>
    <row r="130" spans="1:5" x14ac:dyDescent="0.25">
      <c r="A130" s="28" t="s">
        <v>523</v>
      </c>
      <c r="B130" s="19" t="s">
        <v>524</v>
      </c>
      <c r="C130" s="29"/>
      <c r="D130" s="17" t="str">
        <f>IF($C130="","",IFERROR(IF($E130="machine",INDEX('JLR Machines'!$B$2:$B$20001,MATCH($C130,'JLR Machines'!$A$2:$A$20001,0)),IF($E130="material",INDEX('JLR Materials'!$B$2:$B$20001,MATCH($C130,'JLR Materials'!$A$2:$A$20001,0)),IF($E130="labour",IFERROR(INDEX('JLR Labour'!$B$2:$B$20001,MATCH($C130,'JLR Labour'!$A$2:$A$20001,0)),"labour category "&amp;$C130&amp;" — from the machine tab"),""))),"NOT FOUND — check the code"))</f>
        <v/>
      </c>
      <c r="E130" s="30" t="s">
        <v>268</v>
      </c>
    </row>
    <row r="131" spans="1:5" x14ac:dyDescent="0.25">
      <c r="A131" s="28" t="s">
        <v>525</v>
      </c>
      <c r="B131" s="19" t="s">
        <v>526</v>
      </c>
      <c r="C131" s="29"/>
      <c r="D131" s="17" t="str">
        <f>IF($C131="","",IFERROR(IF($E131="machine",INDEX('JLR Machines'!$B$2:$B$20001,MATCH($C131,'JLR Machines'!$A$2:$A$20001,0)),IF($E131="material",INDEX('JLR Materials'!$B$2:$B$20001,MATCH($C131,'JLR Materials'!$A$2:$A$20001,0)),IF($E131="labour",IFERROR(INDEX('JLR Labour'!$B$2:$B$20001,MATCH($C131,'JLR Labour'!$A$2:$A$20001,0)),"labour category "&amp;$C131&amp;" — from the machine tab"),""))),"NOT FOUND — check the code"))</f>
        <v/>
      </c>
      <c r="E131" s="30" t="s">
        <v>268</v>
      </c>
    </row>
    <row r="132" spans="1:5" x14ac:dyDescent="0.25">
      <c r="A132" s="28" t="s">
        <v>527</v>
      </c>
      <c r="B132" s="19" t="s">
        <v>528</v>
      </c>
      <c r="C132" s="29"/>
      <c r="D132" s="17" t="str">
        <f>IF($C132="","",IFERROR(IF($E132="machine",INDEX('JLR Machines'!$B$2:$B$20001,MATCH($C132,'JLR Machines'!$A$2:$A$20001,0)),IF($E132="material",INDEX('JLR Materials'!$B$2:$B$20001,MATCH($C132,'JLR Materials'!$A$2:$A$20001,0)),IF($E132="labour",IFERROR(INDEX('JLR Labour'!$B$2:$B$20001,MATCH($C132,'JLR Labour'!$A$2:$A$20001,0)),"labour category "&amp;$C132&amp;" — from the machine tab"),""))),"NOT FOUND — check the code"))</f>
        <v/>
      </c>
      <c r="E132" s="30" t="s">
        <v>268</v>
      </c>
    </row>
    <row r="133" spans="1:5" x14ac:dyDescent="0.25">
      <c r="A133" s="28" t="s">
        <v>529</v>
      </c>
      <c r="B133" s="19" t="s">
        <v>530</v>
      </c>
      <c r="C133" s="29"/>
      <c r="D133" s="17" t="str">
        <f>IF($C133="","",IFERROR(IF($E133="machine",INDEX('JLR Machines'!$B$2:$B$20001,MATCH($C133,'JLR Machines'!$A$2:$A$20001,0)),IF($E133="material",INDEX('JLR Materials'!$B$2:$B$20001,MATCH($C133,'JLR Materials'!$A$2:$A$20001,0)),IF($E133="labour",IFERROR(INDEX('JLR Labour'!$B$2:$B$20001,MATCH($C133,'JLR Labour'!$A$2:$A$20001,0)),"labour category "&amp;$C133&amp;" — from the machine tab"),""))),"NOT FOUND — check the code"))</f>
        <v/>
      </c>
      <c r="E133" s="30" t="s">
        <v>268</v>
      </c>
    </row>
    <row r="134" spans="1:5" x14ac:dyDescent="0.25">
      <c r="A134" s="28" t="s">
        <v>531</v>
      </c>
      <c r="B134" s="19" t="s">
        <v>532</v>
      </c>
      <c r="C134" s="29"/>
      <c r="D134" s="17" t="str">
        <f>IF($C134="","",IFERROR(IF($E134="machine",INDEX('JLR Machines'!$B$2:$B$20001,MATCH($C134,'JLR Machines'!$A$2:$A$20001,0)),IF($E134="material",INDEX('JLR Materials'!$B$2:$B$20001,MATCH($C134,'JLR Materials'!$A$2:$A$20001,0)),IF($E134="labour",IFERROR(INDEX('JLR Labour'!$B$2:$B$20001,MATCH($C134,'JLR Labour'!$A$2:$A$20001,0)),"labour category "&amp;$C134&amp;" — from the machine tab"),""))),"NOT FOUND — check the code"))</f>
        <v/>
      </c>
      <c r="E134" s="30" t="s">
        <v>268</v>
      </c>
    </row>
    <row r="135" spans="1:5" x14ac:dyDescent="0.25">
      <c r="A135" s="28" t="s">
        <v>533</v>
      </c>
      <c r="B135" s="19" t="s">
        <v>534</v>
      </c>
      <c r="C135" s="29"/>
      <c r="D135" s="17" t="str">
        <f>IF($C135="","",IFERROR(IF($E135="machine",INDEX('JLR Machines'!$B$2:$B$20001,MATCH($C135,'JLR Machines'!$A$2:$A$20001,0)),IF($E135="material",INDEX('JLR Materials'!$B$2:$B$20001,MATCH($C135,'JLR Materials'!$A$2:$A$20001,0)),IF($E135="labour",IFERROR(INDEX('JLR Labour'!$B$2:$B$20001,MATCH($C135,'JLR Labour'!$A$2:$A$20001,0)),"labour category "&amp;$C135&amp;" — from the machine tab"),""))),"NOT FOUND — check the code"))</f>
        <v/>
      </c>
      <c r="E135" s="30" t="s">
        <v>268</v>
      </c>
    </row>
    <row r="136" spans="1:5" x14ac:dyDescent="0.25">
      <c r="A136" s="28" t="s">
        <v>535</v>
      </c>
      <c r="B136" s="19" t="s">
        <v>536</v>
      </c>
      <c r="C136" s="29"/>
      <c r="D136" s="17" t="str">
        <f>IF($C136="","",IFERROR(IF($E136="machine",INDEX('JLR Machines'!$B$2:$B$20001,MATCH($C136,'JLR Machines'!$A$2:$A$20001,0)),IF($E136="material",INDEX('JLR Materials'!$B$2:$B$20001,MATCH($C136,'JLR Materials'!$A$2:$A$20001,0)),IF($E136="labour",IFERROR(INDEX('JLR Labour'!$B$2:$B$20001,MATCH($C136,'JLR Labour'!$A$2:$A$20001,0)),"labour category "&amp;$C136&amp;" — from the machine tab"),""))),"NOT FOUND — check the code"))</f>
        <v/>
      </c>
      <c r="E136" s="30" t="s">
        <v>268</v>
      </c>
    </row>
    <row r="137" spans="1:5" x14ac:dyDescent="0.25">
      <c r="A137" s="28" t="s">
        <v>537</v>
      </c>
      <c r="B137" s="19" t="s">
        <v>538</v>
      </c>
      <c r="C137" s="29"/>
      <c r="D137" s="17" t="str">
        <f>IF($C137="","",IFERROR(IF($E137="machine",INDEX('JLR Machines'!$B$2:$B$20001,MATCH($C137,'JLR Machines'!$A$2:$A$20001,0)),IF($E137="material",INDEX('JLR Materials'!$B$2:$B$20001,MATCH($C137,'JLR Materials'!$A$2:$A$20001,0)),IF($E137="labour",IFERROR(INDEX('JLR Labour'!$B$2:$B$20001,MATCH($C137,'JLR Labour'!$A$2:$A$20001,0)),"labour category "&amp;$C137&amp;" — from the machine tab"),""))),"NOT FOUND — check the code"))</f>
        <v/>
      </c>
      <c r="E137" s="30" t="s">
        <v>268</v>
      </c>
    </row>
    <row r="138" spans="1:5" x14ac:dyDescent="0.25">
      <c r="A138" s="28" t="s">
        <v>539</v>
      </c>
      <c r="B138" s="19" t="s">
        <v>540</v>
      </c>
      <c r="C138" s="29"/>
      <c r="D138" s="17" t="str">
        <f>IF($C138="","",IFERROR(IF($E138="machine",INDEX('JLR Machines'!$B$2:$B$20001,MATCH($C138,'JLR Machines'!$A$2:$A$20001,0)),IF($E138="material",INDEX('JLR Materials'!$B$2:$B$20001,MATCH($C138,'JLR Materials'!$A$2:$A$20001,0)),IF($E138="labour",IFERROR(INDEX('JLR Labour'!$B$2:$B$20001,MATCH($C138,'JLR Labour'!$A$2:$A$20001,0)),"labour category "&amp;$C138&amp;" — from the machine tab"),""))),"NOT FOUND — check the code"))</f>
        <v/>
      </c>
      <c r="E138" s="30" t="s">
        <v>268</v>
      </c>
    </row>
    <row r="139" spans="1:5" x14ac:dyDescent="0.25">
      <c r="A139" s="28" t="s">
        <v>541</v>
      </c>
      <c r="B139" s="19" t="s">
        <v>542</v>
      </c>
      <c r="C139" s="29"/>
      <c r="D139" s="17" t="str">
        <f>IF($C139="","",IFERROR(IF($E139="machine",INDEX('JLR Machines'!$B$2:$B$20001,MATCH($C139,'JLR Machines'!$A$2:$A$20001,0)),IF($E139="material",INDEX('JLR Materials'!$B$2:$B$20001,MATCH($C139,'JLR Materials'!$A$2:$A$20001,0)),IF($E139="labour",IFERROR(INDEX('JLR Labour'!$B$2:$B$20001,MATCH($C139,'JLR Labour'!$A$2:$A$20001,0)),"labour category "&amp;$C139&amp;" — from the machine tab"),""))),"NOT FOUND — check the code"))</f>
        <v/>
      </c>
      <c r="E139" s="30" t="s">
        <v>268</v>
      </c>
    </row>
    <row r="140" spans="1:5" x14ac:dyDescent="0.25">
      <c r="A140" s="28" t="s">
        <v>543</v>
      </c>
      <c r="B140" s="19" t="s">
        <v>544</v>
      </c>
      <c r="C140" s="29"/>
      <c r="D140" s="17" t="str">
        <f>IF($C140="","",IFERROR(IF($E140="machine",INDEX('JLR Machines'!$B$2:$B$20001,MATCH($C140,'JLR Machines'!$A$2:$A$20001,0)),IF($E140="material",INDEX('JLR Materials'!$B$2:$B$20001,MATCH($C140,'JLR Materials'!$A$2:$A$20001,0)),IF($E140="labour",IFERROR(INDEX('JLR Labour'!$B$2:$B$20001,MATCH($C140,'JLR Labour'!$A$2:$A$20001,0)),"labour category "&amp;$C140&amp;" — from the machine tab"),""))),"NOT FOUND — check the code"))</f>
        <v/>
      </c>
      <c r="E140" s="30" t="s">
        <v>268</v>
      </c>
    </row>
    <row r="141" spans="1:5" x14ac:dyDescent="0.25">
      <c r="A141" s="28" t="s">
        <v>545</v>
      </c>
      <c r="B141" s="19" t="s">
        <v>546</v>
      </c>
      <c r="C141" s="29"/>
      <c r="D141" s="17" t="str">
        <f>IF($C141="","",IFERROR(IF($E141="machine",INDEX('JLR Machines'!$B$2:$B$20001,MATCH($C141,'JLR Machines'!$A$2:$A$20001,0)),IF($E141="material",INDEX('JLR Materials'!$B$2:$B$20001,MATCH($C141,'JLR Materials'!$A$2:$A$20001,0)),IF($E141="labour",IFERROR(INDEX('JLR Labour'!$B$2:$B$20001,MATCH($C141,'JLR Labour'!$A$2:$A$20001,0)),"labour category "&amp;$C141&amp;" — from the machine tab"),""))),"NOT FOUND — check the code"))</f>
        <v/>
      </c>
      <c r="E141" s="30" t="s">
        <v>268</v>
      </c>
    </row>
    <row r="142" spans="1:5" x14ac:dyDescent="0.25">
      <c r="A142" s="28" t="s">
        <v>547</v>
      </c>
      <c r="B142" s="19" t="s">
        <v>548</v>
      </c>
      <c r="C142" s="29"/>
      <c r="D142" s="17" t="str">
        <f>IF($C142="","",IFERROR(IF($E142="machine",INDEX('JLR Machines'!$B$2:$B$20001,MATCH($C142,'JLR Machines'!$A$2:$A$20001,0)),IF($E142="material",INDEX('JLR Materials'!$B$2:$B$20001,MATCH($C142,'JLR Materials'!$A$2:$A$20001,0)),IF($E142="labour",IFERROR(INDEX('JLR Labour'!$B$2:$B$20001,MATCH($C142,'JLR Labour'!$A$2:$A$20001,0)),"labour category "&amp;$C142&amp;" — from the machine tab"),""))),"NOT FOUND — check the code"))</f>
        <v/>
      </c>
      <c r="E142" s="30" t="s">
        <v>268</v>
      </c>
    </row>
    <row r="143" spans="1:5" x14ac:dyDescent="0.25">
      <c r="A143" s="28" t="s">
        <v>549</v>
      </c>
      <c r="B143" s="19" t="s">
        <v>550</v>
      </c>
      <c r="C143" s="29"/>
      <c r="D143" s="17" t="str">
        <f>IF($C143="","",IFERROR(IF($E143="machine",INDEX('JLR Machines'!$B$2:$B$20001,MATCH($C143,'JLR Machines'!$A$2:$A$20001,0)),IF($E143="material",INDEX('JLR Materials'!$B$2:$B$20001,MATCH($C143,'JLR Materials'!$A$2:$A$20001,0)),IF($E143="labour",IFERROR(INDEX('JLR Labour'!$B$2:$B$20001,MATCH($C143,'JLR Labour'!$A$2:$A$20001,0)),"labour category "&amp;$C143&amp;" — from the machine tab"),""))),"NOT FOUND — check the code"))</f>
        <v/>
      </c>
      <c r="E143" s="30" t="s">
        <v>268</v>
      </c>
    </row>
    <row r="144" spans="1:5" x14ac:dyDescent="0.25">
      <c r="A144" s="28" t="s">
        <v>551</v>
      </c>
      <c r="B144" s="19" t="s">
        <v>552</v>
      </c>
      <c r="C144" s="29"/>
      <c r="D144" s="17" t="str">
        <f>IF($C144="","",IFERROR(IF($E144="machine",INDEX('JLR Machines'!$B$2:$B$20001,MATCH($C144,'JLR Machines'!$A$2:$A$20001,0)),IF($E144="material",INDEX('JLR Materials'!$B$2:$B$20001,MATCH($C144,'JLR Materials'!$A$2:$A$20001,0)),IF($E144="labour",IFERROR(INDEX('JLR Labour'!$B$2:$B$20001,MATCH($C144,'JLR Labour'!$A$2:$A$20001,0)),"labour category "&amp;$C144&amp;" — from the machine tab"),""))),"NOT FOUND — check the code"))</f>
        <v/>
      </c>
      <c r="E144" s="30" t="s">
        <v>268</v>
      </c>
    </row>
    <row r="145" spans="1:5" x14ac:dyDescent="0.25">
      <c r="A145" s="28" t="s">
        <v>553</v>
      </c>
      <c r="B145" s="19" t="s">
        <v>554</v>
      </c>
      <c r="C145" s="29"/>
      <c r="D145" s="17" t="str">
        <f>IF($C145="","",IFERROR(IF($E145="machine",INDEX('JLR Machines'!$B$2:$B$20001,MATCH($C145,'JLR Machines'!$A$2:$A$20001,0)),IF($E145="material",INDEX('JLR Materials'!$B$2:$B$20001,MATCH($C145,'JLR Materials'!$A$2:$A$20001,0)),IF($E145="labour",IFERROR(INDEX('JLR Labour'!$B$2:$B$20001,MATCH($C145,'JLR Labour'!$A$2:$A$20001,0)),"labour category "&amp;$C145&amp;" — from the machine tab"),""))),"NOT FOUND — check the code"))</f>
        <v/>
      </c>
      <c r="E145" s="30" t="s">
        <v>268</v>
      </c>
    </row>
    <row r="146" spans="1:5" x14ac:dyDescent="0.25">
      <c r="A146" s="28" t="s">
        <v>555</v>
      </c>
      <c r="B146" s="19" t="s">
        <v>556</v>
      </c>
      <c r="C146" s="29"/>
      <c r="D146" s="17" t="str">
        <f>IF($C146="","",IFERROR(IF($E146="machine",INDEX('JLR Machines'!$B$2:$B$20001,MATCH($C146,'JLR Machines'!$A$2:$A$20001,0)),IF($E146="material",INDEX('JLR Materials'!$B$2:$B$20001,MATCH($C146,'JLR Materials'!$A$2:$A$20001,0)),IF($E146="labour",IFERROR(INDEX('JLR Labour'!$B$2:$B$20001,MATCH($C146,'JLR Labour'!$A$2:$A$20001,0)),"labour category "&amp;$C146&amp;" — from the machine tab"),""))),"NOT FOUND — check the code"))</f>
        <v/>
      </c>
      <c r="E146" s="30" t="s">
        <v>268</v>
      </c>
    </row>
    <row r="147" spans="1:5" x14ac:dyDescent="0.25">
      <c r="A147" s="28" t="s">
        <v>557</v>
      </c>
      <c r="B147" s="19" t="s">
        <v>558</v>
      </c>
      <c r="C147" s="29"/>
      <c r="D147" s="17" t="str">
        <f>IF($C147="","",IFERROR(IF($E147="machine",INDEX('JLR Machines'!$B$2:$B$20001,MATCH($C147,'JLR Machines'!$A$2:$A$20001,0)),IF($E147="material",INDEX('JLR Materials'!$B$2:$B$20001,MATCH($C147,'JLR Materials'!$A$2:$A$20001,0)),IF($E147="labour",IFERROR(INDEX('JLR Labour'!$B$2:$B$20001,MATCH($C147,'JLR Labour'!$A$2:$A$20001,0)),"labour category "&amp;$C147&amp;" — from the machine tab"),""))),"NOT FOUND — check the code"))</f>
        <v/>
      </c>
      <c r="E147" s="30" t="s">
        <v>268</v>
      </c>
    </row>
    <row r="148" spans="1:5" x14ac:dyDescent="0.25">
      <c r="A148" s="28" t="s">
        <v>559</v>
      </c>
      <c r="B148" s="19" t="s">
        <v>560</v>
      </c>
      <c r="C148" s="29"/>
      <c r="D148" s="17" t="str">
        <f>IF($C148="","",IFERROR(IF($E148="machine",INDEX('JLR Machines'!$B$2:$B$20001,MATCH($C148,'JLR Machines'!$A$2:$A$20001,0)),IF($E148="material",INDEX('JLR Materials'!$B$2:$B$20001,MATCH($C148,'JLR Materials'!$A$2:$A$20001,0)),IF($E148="labour",IFERROR(INDEX('JLR Labour'!$B$2:$B$20001,MATCH($C148,'JLR Labour'!$A$2:$A$20001,0)),"labour category "&amp;$C148&amp;" — from the machine tab"),""))),"NOT FOUND — check the code"))</f>
        <v/>
      </c>
      <c r="E148" s="30" t="s">
        <v>268</v>
      </c>
    </row>
    <row r="149" spans="1:5" x14ac:dyDescent="0.25">
      <c r="A149" s="28" t="s">
        <v>561</v>
      </c>
      <c r="B149" s="19" t="s">
        <v>562</v>
      </c>
      <c r="C149" s="29"/>
      <c r="D149" s="17" t="str">
        <f>IF($C149="","",IFERROR(IF($E149="machine",INDEX('JLR Machines'!$B$2:$B$20001,MATCH($C149,'JLR Machines'!$A$2:$A$20001,0)),IF($E149="material",INDEX('JLR Materials'!$B$2:$B$20001,MATCH($C149,'JLR Materials'!$A$2:$A$20001,0)),IF($E149="labour",IFERROR(INDEX('JLR Labour'!$B$2:$B$20001,MATCH($C149,'JLR Labour'!$A$2:$A$20001,0)),"labour category "&amp;$C149&amp;" — from the machine tab"),""))),"NOT FOUND — check the code"))</f>
        <v/>
      </c>
      <c r="E149" s="30" t="s">
        <v>268</v>
      </c>
    </row>
    <row r="150" spans="1:5" x14ac:dyDescent="0.25">
      <c r="A150" s="28" t="s">
        <v>563</v>
      </c>
      <c r="B150" s="19" t="s">
        <v>564</v>
      </c>
      <c r="C150" s="29"/>
      <c r="D150" s="17" t="str">
        <f>IF($C150="","",IFERROR(IF($E150="machine",INDEX('JLR Machines'!$B$2:$B$20001,MATCH($C150,'JLR Machines'!$A$2:$A$20001,0)),IF($E150="material",INDEX('JLR Materials'!$B$2:$B$20001,MATCH($C150,'JLR Materials'!$A$2:$A$20001,0)),IF($E150="labour",IFERROR(INDEX('JLR Labour'!$B$2:$B$20001,MATCH($C150,'JLR Labour'!$A$2:$A$20001,0)),"labour category "&amp;$C150&amp;" — from the machine tab"),""))),"NOT FOUND — check the code"))</f>
        <v/>
      </c>
      <c r="E150" s="30" t="s">
        <v>268</v>
      </c>
    </row>
    <row r="151" spans="1:5" x14ac:dyDescent="0.25">
      <c r="A151" s="28" t="s">
        <v>565</v>
      </c>
      <c r="B151" s="19" t="s">
        <v>566</v>
      </c>
      <c r="C151" s="29"/>
      <c r="D151" s="17" t="str">
        <f>IF($C151="","",IFERROR(IF($E151="machine",INDEX('JLR Machines'!$B$2:$B$20001,MATCH($C151,'JLR Machines'!$A$2:$A$20001,0)),IF($E151="material",INDEX('JLR Materials'!$B$2:$B$20001,MATCH($C151,'JLR Materials'!$A$2:$A$20001,0)),IF($E151="labour",IFERROR(INDEX('JLR Labour'!$B$2:$B$20001,MATCH($C151,'JLR Labour'!$A$2:$A$20001,0)),"labour category "&amp;$C151&amp;" — from the machine tab"),""))),"NOT FOUND — check the code"))</f>
        <v/>
      </c>
      <c r="E151" s="30" t="s">
        <v>268</v>
      </c>
    </row>
    <row r="152" spans="1:5" x14ac:dyDescent="0.25">
      <c r="A152" s="28" t="s">
        <v>567</v>
      </c>
      <c r="B152" s="19" t="s">
        <v>568</v>
      </c>
      <c r="C152" s="29"/>
      <c r="D152" s="17" t="str">
        <f>IF($C152="","",IFERROR(IF($E152="machine",INDEX('JLR Machines'!$B$2:$B$20001,MATCH($C152,'JLR Machines'!$A$2:$A$20001,0)),IF($E152="material",INDEX('JLR Materials'!$B$2:$B$20001,MATCH($C152,'JLR Materials'!$A$2:$A$20001,0)),IF($E152="labour",IFERROR(INDEX('JLR Labour'!$B$2:$B$20001,MATCH($C152,'JLR Labour'!$A$2:$A$20001,0)),"labour category "&amp;$C152&amp;" — from the machine tab"),""))),"NOT FOUND — check the code"))</f>
        <v/>
      </c>
      <c r="E152" s="30" t="s">
        <v>268</v>
      </c>
    </row>
    <row r="153" spans="1:5" x14ac:dyDescent="0.25">
      <c r="A153" s="28" t="s">
        <v>569</v>
      </c>
      <c r="B153" s="19" t="s">
        <v>570</v>
      </c>
      <c r="C153" s="29"/>
      <c r="D153" s="17" t="str">
        <f>IF($C153="","",IFERROR(IF($E153="machine",INDEX('JLR Machines'!$B$2:$B$20001,MATCH($C153,'JLR Machines'!$A$2:$A$20001,0)),IF($E153="material",INDEX('JLR Materials'!$B$2:$B$20001,MATCH($C153,'JLR Materials'!$A$2:$A$20001,0)),IF($E153="labour",IFERROR(INDEX('JLR Labour'!$B$2:$B$20001,MATCH($C153,'JLR Labour'!$A$2:$A$20001,0)),"labour category "&amp;$C153&amp;" — from the machine tab"),""))),"NOT FOUND — check the code"))</f>
        <v/>
      </c>
      <c r="E153" s="30" t="s">
        <v>268</v>
      </c>
    </row>
    <row r="154" spans="1:5" x14ac:dyDescent="0.25">
      <c r="A154" s="28" t="s">
        <v>571</v>
      </c>
      <c r="B154" s="19" t="s">
        <v>572</v>
      </c>
      <c r="C154" s="29"/>
      <c r="D154" s="17" t="str">
        <f>IF($C154="","",IFERROR(IF($E154="machine",INDEX('JLR Machines'!$B$2:$B$20001,MATCH($C154,'JLR Machines'!$A$2:$A$20001,0)),IF($E154="material",INDEX('JLR Materials'!$B$2:$B$20001,MATCH($C154,'JLR Materials'!$A$2:$A$20001,0)),IF($E154="labour",IFERROR(INDEX('JLR Labour'!$B$2:$B$20001,MATCH($C154,'JLR Labour'!$A$2:$A$20001,0)),"labour category "&amp;$C154&amp;" — from the machine tab"),""))),"NOT FOUND — check the code"))</f>
        <v/>
      </c>
      <c r="E154" s="30" t="s">
        <v>268</v>
      </c>
    </row>
    <row r="155" spans="1:5" x14ac:dyDescent="0.25">
      <c r="A155" s="28" t="s">
        <v>573</v>
      </c>
      <c r="B155" s="19" t="s">
        <v>574</v>
      </c>
      <c r="C155" s="29"/>
      <c r="D155" s="17" t="str">
        <f>IF($C155="","",IFERROR(IF($E155="machine",INDEX('JLR Machines'!$B$2:$B$20001,MATCH($C155,'JLR Machines'!$A$2:$A$20001,0)),IF($E155="material",INDEX('JLR Materials'!$B$2:$B$20001,MATCH($C155,'JLR Materials'!$A$2:$A$20001,0)),IF($E155="labour",IFERROR(INDEX('JLR Labour'!$B$2:$B$20001,MATCH($C155,'JLR Labour'!$A$2:$A$20001,0)),"labour category "&amp;$C155&amp;" — from the machine tab"),""))),"NOT FOUND — check the code"))</f>
        <v/>
      </c>
      <c r="E155" s="30" t="s">
        <v>268</v>
      </c>
    </row>
    <row r="156" spans="1:5" x14ac:dyDescent="0.25">
      <c r="A156" s="28" t="s">
        <v>575</v>
      </c>
      <c r="B156" s="19" t="s">
        <v>576</v>
      </c>
      <c r="C156" s="29"/>
      <c r="D156" s="17" t="str">
        <f>IF($C156="","",IFERROR(IF($E156="machine",INDEX('JLR Machines'!$B$2:$B$20001,MATCH($C156,'JLR Machines'!$A$2:$A$20001,0)),IF($E156="material",INDEX('JLR Materials'!$B$2:$B$20001,MATCH($C156,'JLR Materials'!$A$2:$A$20001,0)),IF($E156="labour",IFERROR(INDEX('JLR Labour'!$B$2:$B$20001,MATCH($C156,'JLR Labour'!$A$2:$A$20001,0)),"labour category "&amp;$C156&amp;" — from the machine tab"),""))),"NOT FOUND — check the code"))</f>
        <v/>
      </c>
      <c r="E156" s="30" t="s">
        <v>268</v>
      </c>
    </row>
    <row r="157" spans="1:5" x14ac:dyDescent="0.25">
      <c r="A157" s="28" t="s">
        <v>577</v>
      </c>
      <c r="B157" s="19" t="s">
        <v>578</v>
      </c>
      <c r="C157" s="29"/>
      <c r="D157" s="17" t="str">
        <f>IF($C157="","",IFERROR(IF($E157="machine",INDEX('JLR Machines'!$B$2:$B$20001,MATCH($C157,'JLR Machines'!$A$2:$A$20001,0)),IF($E157="material",INDEX('JLR Materials'!$B$2:$B$20001,MATCH($C157,'JLR Materials'!$A$2:$A$20001,0)),IF($E157="labour",IFERROR(INDEX('JLR Labour'!$B$2:$B$20001,MATCH($C157,'JLR Labour'!$A$2:$A$20001,0)),"labour category "&amp;$C157&amp;" — from the machine tab"),""))),"NOT FOUND — check the code"))</f>
        <v/>
      </c>
      <c r="E157" s="30" t="s">
        <v>268</v>
      </c>
    </row>
    <row r="158" spans="1:5" x14ac:dyDescent="0.25">
      <c r="A158" s="28" t="s">
        <v>579</v>
      </c>
      <c r="B158" s="19" t="s">
        <v>580</v>
      </c>
      <c r="C158" s="29"/>
      <c r="D158" s="17" t="str">
        <f>IF($C158="","",IFERROR(IF($E158="machine",INDEX('JLR Machines'!$B$2:$B$20001,MATCH($C158,'JLR Machines'!$A$2:$A$20001,0)),IF($E158="material",INDEX('JLR Materials'!$B$2:$B$20001,MATCH($C158,'JLR Materials'!$A$2:$A$20001,0)),IF($E158="labour",IFERROR(INDEX('JLR Labour'!$B$2:$B$20001,MATCH($C158,'JLR Labour'!$A$2:$A$20001,0)),"labour category "&amp;$C158&amp;" — from the machine tab"),""))),"NOT FOUND — check the code"))</f>
        <v/>
      </c>
      <c r="E158" s="30" t="s">
        <v>268</v>
      </c>
    </row>
    <row r="159" spans="1:5" x14ac:dyDescent="0.25">
      <c r="A159" s="28" t="s">
        <v>581</v>
      </c>
      <c r="B159" s="19" t="s">
        <v>582</v>
      </c>
      <c r="C159" s="29"/>
      <c r="D159" s="17" t="str">
        <f>IF($C159="","",IFERROR(IF($E159="machine",INDEX('JLR Machines'!$B$2:$B$20001,MATCH($C159,'JLR Machines'!$A$2:$A$20001,0)),IF($E159="material",INDEX('JLR Materials'!$B$2:$B$20001,MATCH($C159,'JLR Materials'!$A$2:$A$20001,0)),IF($E159="labour",IFERROR(INDEX('JLR Labour'!$B$2:$B$20001,MATCH($C159,'JLR Labour'!$A$2:$A$20001,0)),"labour category "&amp;$C159&amp;" — from the machine tab"),""))),"NOT FOUND — check the code"))</f>
        <v/>
      </c>
      <c r="E159" s="30" t="s">
        <v>268</v>
      </c>
    </row>
    <row r="160" spans="1:5" x14ac:dyDescent="0.25">
      <c r="A160" s="28" t="s">
        <v>583</v>
      </c>
      <c r="B160" s="19" t="s">
        <v>584</v>
      </c>
      <c r="C160" s="29"/>
      <c r="D160" s="17" t="str">
        <f>IF($C160="","",IFERROR(IF($E160="machine",INDEX('JLR Machines'!$B$2:$B$20001,MATCH($C160,'JLR Machines'!$A$2:$A$20001,0)),IF($E160="material",INDEX('JLR Materials'!$B$2:$B$20001,MATCH($C160,'JLR Materials'!$A$2:$A$20001,0)),IF($E160="labour",IFERROR(INDEX('JLR Labour'!$B$2:$B$20001,MATCH($C160,'JLR Labour'!$A$2:$A$20001,0)),"labour category "&amp;$C160&amp;" — from the machine tab"),""))),"NOT FOUND — check the code"))</f>
        <v/>
      </c>
      <c r="E160" s="30" t="s">
        <v>268</v>
      </c>
    </row>
    <row r="161" spans="1:5" x14ac:dyDescent="0.25">
      <c r="A161" s="28" t="s">
        <v>585</v>
      </c>
      <c r="B161" s="19" t="s">
        <v>586</v>
      </c>
      <c r="C161" s="29"/>
      <c r="D161" s="17" t="str">
        <f>IF($C161="","",IFERROR(IF($E161="machine",INDEX('JLR Machines'!$B$2:$B$20001,MATCH($C161,'JLR Machines'!$A$2:$A$20001,0)),IF($E161="material",INDEX('JLR Materials'!$B$2:$B$20001,MATCH($C161,'JLR Materials'!$A$2:$A$20001,0)),IF($E161="labour",IFERROR(INDEX('JLR Labour'!$B$2:$B$20001,MATCH($C161,'JLR Labour'!$A$2:$A$20001,0)),"labour category "&amp;$C161&amp;" — from the machine tab"),""))),"NOT FOUND — check the code"))</f>
        <v/>
      </c>
      <c r="E161" s="30" t="s">
        <v>268</v>
      </c>
    </row>
    <row r="162" spans="1:5" x14ac:dyDescent="0.25">
      <c r="A162" s="28" t="s">
        <v>587</v>
      </c>
      <c r="B162" s="19" t="s">
        <v>588</v>
      </c>
      <c r="C162" s="29"/>
      <c r="D162" s="17" t="str">
        <f>IF($C162="","",IFERROR(IF($E162="machine",INDEX('JLR Machines'!$B$2:$B$20001,MATCH($C162,'JLR Machines'!$A$2:$A$20001,0)),IF($E162="material",INDEX('JLR Materials'!$B$2:$B$20001,MATCH($C162,'JLR Materials'!$A$2:$A$20001,0)),IF($E162="labour",IFERROR(INDEX('JLR Labour'!$B$2:$B$20001,MATCH($C162,'JLR Labour'!$A$2:$A$20001,0)),"labour category "&amp;$C162&amp;" — from the machine tab"),""))),"NOT FOUND — check the code"))</f>
        <v/>
      </c>
      <c r="E162" s="30" t="s">
        <v>268</v>
      </c>
    </row>
    <row r="163" spans="1:5" x14ac:dyDescent="0.25">
      <c r="A163" s="28" t="s">
        <v>589</v>
      </c>
      <c r="B163" s="19" t="s">
        <v>590</v>
      </c>
      <c r="C163" s="29"/>
      <c r="D163" s="17" t="str">
        <f>IF($C163="","",IFERROR(IF($E163="machine",INDEX('JLR Machines'!$B$2:$B$20001,MATCH($C163,'JLR Machines'!$A$2:$A$20001,0)),IF($E163="material",INDEX('JLR Materials'!$B$2:$B$20001,MATCH($C163,'JLR Materials'!$A$2:$A$20001,0)),IF($E163="labour",IFERROR(INDEX('JLR Labour'!$B$2:$B$20001,MATCH($C163,'JLR Labour'!$A$2:$A$20001,0)),"labour category "&amp;$C163&amp;" — from the machine tab"),""))),"NOT FOUND — check the code"))</f>
        <v/>
      </c>
      <c r="E163" s="30" t="s">
        <v>268</v>
      </c>
    </row>
    <row r="164" spans="1:5" x14ac:dyDescent="0.25">
      <c r="A164" s="28" t="s">
        <v>591</v>
      </c>
      <c r="B164" s="19" t="s">
        <v>592</v>
      </c>
      <c r="C164" s="29"/>
      <c r="D164" s="17" t="str">
        <f>IF($C164="","",IFERROR(IF($E164="machine",INDEX('JLR Machines'!$B$2:$B$20001,MATCH($C164,'JLR Machines'!$A$2:$A$20001,0)),IF($E164="material",INDEX('JLR Materials'!$B$2:$B$20001,MATCH($C164,'JLR Materials'!$A$2:$A$20001,0)),IF($E164="labour",IFERROR(INDEX('JLR Labour'!$B$2:$B$20001,MATCH($C164,'JLR Labour'!$A$2:$A$20001,0)),"labour category "&amp;$C164&amp;" — from the machine tab"),""))),"NOT FOUND — check the code"))</f>
        <v/>
      </c>
      <c r="E164" s="30" t="s">
        <v>268</v>
      </c>
    </row>
    <row r="165" spans="1:5" x14ac:dyDescent="0.25">
      <c r="A165" s="28" t="s">
        <v>593</v>
      </c>
      <c r="B165" s="19" t="s">
        <v>594</v>
      </c>
      <c r="C165" s="29"/>
      <c r="D165" s="17" t="str">
        <f>IF($C165="","",IFERROR(IF($E165="machine",INDEX('JLR Machines'!$B$2:$B$20001,MATCH($C165,'JLR Machines'!$A$2:$A$20001,0)),IF($E165="material",INDEX('JLR Materials'!$B$2:$B$20001,MATCH($C165,'JLR Materials'!$A$2:$A$20001,0)),IF($E165="labour",IFERROR(INDEX('JLR Labour'!$B$2:$B$20001,MATCH($C165,'JLR Labour'!$A$2:$A$20001,0)),"labour category "&amp;$C165&amp;" — from the machine tab"),""))),"NOT FOUND — check the code"))</f>
        <v/>
      </c>
      <c r="E165" s="30" t="s">
        <v>268</v>
      </c>
    </row>
    <row r="166" spans="1:5" x14ac:dyDescent="0.25">
      <c r="A166" s="28" t="s">
        <v>595</v>
      </c>
      <c r="B166" s="19" t="s">
        <v>596</v>
      </c>
      <c r="C166" s="29"/>
      <c r="D166" s="17" t="str">
        <f>IF($C166="","",IFERROR(IF($E166="machine",INDEX('JLR Machines'!$B$2:$B$20001,MATCH($C166,'JLR Machines'!$A$2:$A$20001,0)),IF($E166="material",INDEX('JLR Materials'!$B$2:$B$20001,MATCH($C166,'JLR Materials'!$A$2:$A$20001,0)),IF($E166="labour",IFERROR(INDEX('JLR Labour'!$B$2:$B$20001,MATCH($C166,'JLR Labour'!$A$2:$A$20001,0)),"labour category "&amp;$C166&amp;" — from the machine tab"),""))),"NOT FOUND — check the code"))</f>
        <v/>
      </c>
      <c r="E166" s="30" t="s">
        <v>268</v>
      </c>
    </row>
    <row r="167" spans="1:5" x14ac:dyDescent="0.25">
      <c r="A167" s="28" t="s">
        <v>597</v>
      </c>
      <c r="B167" s="19" t="s">
        <v>598</v>
      </c>
      <c r="C167" s="29"/>
      <c r="D167" s="17" t="str">
        <f>IF($C167="","",IFERROR(IF($E167="machine",INDEX('JLR Machines'!$B$2:$B$20001,MATCH($C167,'JLR Machines'!$A$2:$A$20001,0)),IF($E167="material",INDEX('JLR Materials'!$B$2:$B$20001,MATCH($C167,'JLR Materials'!$A$2:$A$20001,0)),IF($E167="labour",IFERROR(INDEX('JLR Labour'!$B$2:$B$20001,MATCH($C167,'JLR Labour'!$A$2:$A$20001,0)),"labour category "&amp;$C167&amp;" — from the machine tab"),""))),"NOT FOUND — check the code"))</f>
        <v/>
      </c>
      <c r="E167" s="30" t="s">
        <v>268</v>
      </c>
    </row>
    <row r="168" spans="1:5" x14ac:dyDescent="0.25">
      <c r="A168" s="28" t="s">
        <v>599</v>
      </c>
      <c r="B168" s="19" t="s">
        <v>600</v>
      </c>
      <c r="C168" s="29"/>
      <c r="D168" s="17" t="str">
        <f>IF($C168="","",IFERROR(IF($E168="machine",INDEX('JLR Machines'!$B$2:$B$20001,MATCH($C168,'JLR Machines'!$A$2:$A$20001,0)),IF($E168="material",INDEX('JLR Materials'!$B$2:$B$20001,MATCH($C168,'JLR Materials'!$A$2:$A$20001,0)),IF($E168="labour",IFERROR(INDEX('JLR Labour'!$B$2:$B$20001,MATCH($C168,'JLR Labour'!$A$2:$A$20001,0)),"labour category "&amp;$C168&amp;" — from the machine tab"),""))),"NOT FOUND — check the code"))</f>
        <v/>
      </c>
      <c r="E168" s="30" t="s">
        <v>268</v>
      </c>
    </row>
    <row r="169" spans="1:5" x14ac:dyDescent="0.25">
      <c r="A169" s="28" t="s">
        <v>601</v>
      </c>
      <c r="B169" s="19" t="s">
        <v>602</v>
      </c>
      <c r="C169" s="29"/>
      <c r="D169" s="17" t="str">
        <f>IF($C169="","",IFERROR(IF($E169="machine",INDEX('JLR Machines'!$B$2:$B$20001,MATCH($C169,'JLR Machines'!$A$2:$A$20001,0)),IF($E169="material",INDEX('JLR Materials'!$B$2:$B$20001,MATCH($C169,'JLR Materials'!$A$2:$A$20001,0)),IF($E169="labour",IFERROR(INDEX('JLR Labour'!$B$2:$B$20001,MATCH($C169,'JLR Labour'!$A$2:$A$20001,0)),"labour category "&amp;$C169&amp;" — from the machine tab"),""))),"NOT FOUND — check the code"))</f>
        <v/>
      </c>
      <c r="E169" s="30" t="s">
        <v>268</v>
      </c>
    </row>
    <row r="170" spans="1:5" x14ac:dyDescent="0.25">
      <c r="A170" s="28" t="s">
        <v>603</v>
      </c>
      <c r="B170" s="19" t="s">
        <v>604</v>
      </c>
      <c r="C170" s="29"/>
      <c r="D170" s="17" t="str">
        <f>IF($C170="","",IFERROR(IF($E170="machine",INDEX('JLR Machines'!$B$2:$B$20001,MATCH($C170,'JLR Machines'!$A$2:$A$20001,0)),IF($E170="material",INDEX('JLR Materials'!$B$2:$B$20001,MATCH($C170,'JLR Materials'!$A$2:$A$20001,0)),IF($E170="labour",IFERROR(INDEX('JLR Labour'!$B$2:$B$20001,MATCH($C170,'JLR Labour'!$A$2:$A$20001,0)),"labour category "&amp;$C170&amp;" — from the machine tab"),""))),"NOT FOUND — check the code"))</f>
        <v/>
      </c>
      <c r="E170" s="30" t="s">
        <v>268</v>
      </c>
    </row>
    <row r="171" spans="1:5" x14ac:dyDescent="0.25">
      <c r="A171" s="28" t="s">
        <v>605</v>
      </c>
      <c r="B171" s="19" t="s">
        <v>606</v>
      </c>
      <c r="C171" s="29"/>
      <c r="D171" s="17" t="str">
        <f>IF($C171="","",IFERROR(IF($E171="machine",INDEX('JLR Machines'!$B$2:$B$20001,MATCH($C171,'JLR Machines'!$A$2:$A$20001,0)),IF($E171="material",INDEX('JLR Materials'!$B$2:$B$20001,MATCH($C171,'JLR Materials'!$A$2:$A$20001,0)),IF($E171="labour",IFERROR(INDEX('JLR Labour'!$B$2:$B$20001,MATCH($C171,'JLR Labour'!$A$2:$A$20001,0)),"labour category "&amp;$C171&amp;" — from the machine tab"),""))),"NOT FOUND — check the code"))</f>
        <v/>
      </c>
      <c r="E171" s="30" t="s">
        <v>268</v>
      </c>
    </row>
    <row r="172" spans="1:5" x14ac:dyDescent="0.25">
      <c r="A172" s="28" t="s">
        <v>607</v>
      </c>
      <c r="B172" s="19" t="s">
        <v>608</v>
      </c>
      <c r="C172" s="29"/>
      <c r="D172" s="17" t="str">
        <f>IF($C172="","",IFERROR(IF($E172="machine",INDEX('JLR Machines'!$B$2:$B$20001,MATCH($C172,'JLR Machines'!$A$2:$A$20001,0)),IF($E172="material",INDEX('JLR Materials'!$B$2:$B$20001,MATCH($C172,'JLR Materials'!$A$2:$A$20001,0)),IF($E172="labour",IFERROR(INDEX('JLR Labour'!$B$2:$B$20001,MATCH($C172,'JLR Labour'!$A$2:$A$20001,0)),"labour category "&amp;$C172&amp;" — from the machine tab"),""))),"NOT FOUND — check the code"))</f>
        <v/>
      </c>
      <c r="E172" s="30" t="s">
        <v>268</v>
      </c>
    </row>
    <row r="173" spans="1:5" x14ac:dyDescent="0.25">
      <c r="A173" s="28" t="s">
        <v>609</v>
      </c>
      <c r="B173" s="19" t="s">
        <v>610</v>
      </c>
      <c r="C173" s="29"/>
      <c r="D173" s="17" t="str">
        <f>IF($C173="","",IFERROR(IF($E173="machine",INDEX('JLR Machines'!$B$2:$B$20001,MATCH($C173,'JLR Machines'!$A$2:$A$20001,0)),IF($E173="material",INDEX('JLR Materials'!$B$2:$B$20001,MATCH($C173,'JLR Materials'!$A$2:$A$20001,0)),IF($E173="labour",IFERROR(INDEX('JLR Labour'!$B$2:$B$20001,MATCH($C173,'JLR Labour'!$A$2:$A$20001,0)),"labour category "&amp;$C173&amp;" — from the machine tab"),""))),"NOT FOUND — check the code"))</f>
        <v/>
      </c>
      <c r="E173" s="30" t="s">
        <v>268</v>
      </c>
    </row>
    <row r="174" spans="1:5" x14ac:dyDescent="0.25">
      <c r="A174" s="28" t="s">
        <v>611</v>
      </c>
      <c r="B174" s="19" t="s">
        <v>612</v>
      </c>
      <c r="C174" s="29"/>
      <c r="D174" s="17" t="str">
        <f>IF($C174="","",IFERROR(IF($E174="machine",INDEX('JLR Machines'!$B$2:$B$20001,MATCH($C174,'JLR Machines'!$A$2:$A$20001,0)),IF($E174="material",INDEX('JLR Materials'!$B$2:$B$20001,MATCH($C174,'JLR Materials'!$A$2:$A$20001,0)),IF($E174="labour",IFERROR(INDEX('JLR Labour'!$B$2:$B$20001,MATCH($C174,'JLR Labour'!$A$2:$A$20001,0)),"labour category "&amp;$C174&amp;" — from the machine tab"),""))),"NOT FOUND — check the code"))</f>
        <v/>
      </c>
      <c r="E174" s="30" t="s">
        <v>268</v>
      </c>
    </row>
    <row r="175" spans="1:5" x14ac:dyDescent="0.25">
      <c r="A175" s="28" t="s">
        <v>613</v>
      </c>
      <c r="B175" s="19" t="s">
        <v>614</v>
      </c>
      <c r="C175" s="29"/>
      <c r="D175" s="17" t="str">
        <f>IF($C175="","",IFERROR(IF($E175="machine",INDEX('JLR Machines'!$B$2:$B$20001,MATCH($C175,'JLR Machines'!$A$2:$A$20001,0)),IF($E175="material",INDEX('JLR Materials'!$B$2:$B$20001,MATCH($C175,'JLR Materials'!$A$2:$A$20001,0)),IF($E175="labour",IFERROR(INDEX('JLR Labour'!$B$2:$B$20001,MATCH($C175,'JLR Labour'!$A$2:$A$20001,0)),"labour category "&amp;$C175&amp;" — from the machine tab"),""))),"NOT FOUND — check the code"))</f>
        <v/>
      </c>
      <c r="E175" s="30" t="s">
        <v>268</v>
      </c>
    </row>
    <row r="176" spans="1:5" x14ac:dyDescent="0.25">
      <c r="A176" s="28" t="s">
        <v>615</v>
      </c>
      <c r="B176" s="19" t="s">
        <v>616</v>
      </c>
      <c r="C176" s="29"/>
      <c r="D176" s="17" t="str">
        <f>IF($C176="","",IFERROR(IF($E176="machine",INDEX('JLR Machines'!$B$2:$B$20001,MATCH($C176,'JLR Machines'!$A$2:$A$20001,0)),IF($E176="material",INDEX('JLR Materials'!$B$2:$B$20001,MATCH($C176,'JLR Materials'!$A$2:$A$20001,0)),IF($E176="labour",IFERROR(INDEX('JLR Labour'!$B$2:$B$20001,MATCH($C176,'JLR Labour'!$A$2:$A$20001,0)),"labour category "&amp;$C176&amp;" — from the machine tab"),""))),"NOT FOUND — check the code"))</f>
        <v/>
      </c>
      <c r="E176" s="30" t="s">
        <v>268</v>
      </c>
    </row>
    <row r="177" spans="1:5" x14ac:dyDescent="0.25">
      <c r="A177" s="28" t="s">
        <v>617</v>
      </c>
      <c r="B177" s="19" t="s">
        <v>618</v>
      </c>
      <c r="C177" s="29"/>
      <c r="D177" s="17" t="str">
        <f>IF($C177="","",IFERROR(IF($E177="machine",INDEX('JLR Machines'!$B$2:$B$20001,MATCH($C177,'JLR Machines'!$A$2:$A$20001,0)),IF($E177="material",INDEX('JLR Materials'!$B$2:$B$20001,MATCH($C177,'JLR Materials'!$A$2:$A$20001,0)),IF($E177="labour",IFERROR(INDEX('JLR Labour'!$B$2:$B$20001,MATCH($C177,'JLR Labour'!$A$2:$A$20001,0)),"labour category "&amp;$C177&amp;" — from the machine tab"),""))),"NOT FOUND — check the code"))</f>
        <v/>
      </c>
      <c r="E177" s="30" t="s">
        <v>268</v>
      </c>
    </row>
    <row r="178" spans="1:5" x14ac:dyDescent="0.25">
      <c r="A178" s="28" t="s">
        <v>619</v>
      </c>
      <c r="B178" s="19" t="s">
        <v>620</v>
      </c>
      <c r="C178" s="29"/>
      <c r="D178" s="17" t="str">
        <f>IF($C178="","",IFERROR(IF($E178="machine",INDEX('JLR Machines'!$B$2:$B$20001,MATCH($C178,'JLR Machines'!$A$2:$A$20001,0)),IF($E178="material",INDEX('JLR Materials'!$B$2:$B$20001,MATCH($C178,'JLR Materials'!$A$2:$A$20001,0)),IF($E178="labour",IFERROR(INDEX('JLR Labour'!$B$2:$B$20001,MATCH($C178,'JLR Labour'!$A$2:$A$20001,0)),"labour category "&amp;$C178&amp;" — from the machine tab"),""))),"NOT FOUND — check the code"))</f>
        <v/>
      </c>
      <c r="E178" s="30" t="s">
        <v>268</v>
      </c>
    </row>
    <row r="179" spans="1:5" x14ac:dyDescent="0.25">
      <c r="A179" s="28" t="s">
        <v>621</v>
      </c>
      <c r="B179" s="19" t="s">
        <v>622</v>
      </c>
      <c r="C179" s="29"/>
      <c r="D179" s="17" t="str">
        <f>IF($C179="","",IFERROR(IF($E179="machine",INDEX('JLR Machines'!$B$2:$B$20001,MATCH($C179,'JLR Machines'!$A$2:$A$20001,0)),IF($E179="material",INDEX('JLR Materials'!$B$2:$B$20001,MATCH($C179,'JLR Materials'!$A$2:$A$20001,0)),IF($E179="labour",IFERROR(INDEX('JLR Labour'!$B$2:$B$20001,MATCH($C179,'JLR Labour'!$A$2:$A$20001,0)),"labour category "&amp;$C179&amp;" — from the machine tab"),""))),"NOT FOUND — check the code"))</f>
        <v/>
      </c>
      <c r="E179" s="30" t="s">
        <v>268</v>
      </c>
    </row>
    <row r="180" spans="1:5" x14ac:dyDescent="0.25">
      <c r="A180" s="28" t="s">
        <v>623</v>
      </c>
      <c r="B180" s="19" t="s">
        <v>624</v>
      </c>
      <c r="C180" s="29"/>
      <c r="D180" s="17" t="str">
        <f>IF($C180="","",IFERROR(IF($E180="machine",INDEX('JLR Machines'!$B$2:$B$20001,MATCH($C180,'JLR Machines'!$A$2:$A$20001,0)),IF($E180="material",INDEX('JLR Materials'!$B$2:$B$20001,MATCH($C180,'JLR Materials'!$A$2:$A$20001,0)),IF($E180="labour",IFERROR(INDEX('JLR Labour'!$B$2:$B$20001,MATCH($C180,'JLR Labour'!$A$2:$A$20001,0)),"labour category "&amp;$C180&amp;" — from the machine tab"),""))),"NOT FOUND — check the code"))</f>
        <v/>
      </c>
      <c r="E180" s="30" t="s">
        <v>268</v>
      </c>
    </row>
    <row r="181" spans="1:5" x14ac:dyDescent="0.25">
      <c r="A181" s="28" t="s">
        <v>625</v>
      </c>
      <c r="B181" s="19" t="s">
        <v>626</v>
      </c>
      <c r="C181" s="29"/>
      <c r="D181" s="17" t="str">
        <f>IF($C181="","",IFERROR(IF($E181="machine",INDEX('JLR Machines'!$B$2:$B$20001,MATCH($C181,'JLR Machines'!$A$2:$A$20001,0)),IF($E181="material",INDEX('JLR Materials'!$B$2:$B$20001,MATCH($C181,'JLR Materials'!$A$2:$A$20001,0)),IF($E181="labour",IFERROR(INDEX('JLR Labour'!$B$2:$B$20001,MATCH($C181,'JLR Labour'!$A$2:$A$20001,0)),"labour category "&amp;$C181&amp;" — from the machine tab"),""))),"NOT FOUND — check the code"))</f>
        <v/>
      </c>
      <c r="E181" s="30" t="s">
        <v>268</v>
      </c>
    </row>
    <row r="182" spans="1:5" x14ac:dyDescent="0.25">
      <c r="A182" s="28" t="s">
        <v>627</v>
      </c>
      <c r="B182" s="19" t="s">
        <v>628</v>
      </c>
      <c r="C182" s="29"/>
      <c r="D182" s="17" t="str">
        <f>IF($C182="","",IFERROR(IF($E182="machine",INDEX('JLR Machines'!$B$2:$B$20001,MATCH($C182,'JLR Machines'!$A$2:$A$20001,0)),IF($E182="material",INDEX('JLR Materials'!$B$2:$B$20001,MATCH($C182,'JLR Materials'!$A$2:$A$20001,0)),IF($E182="labour",IFERROR(INDEX('JLR Labour'!$B$2:$B$20001,MATCH($C182,'JLR Labour'!$A$2:$A$20001,0)),"labour category "&amp;$C182&amp;" — from the machine tab"),""))),"NOT FOUND — check the code"))</f>
        <v/>
      </c>
      <c r="E182" s="30" t="s">
        <v>268</v>
      </c>
    </row>
    <row r="183" spans="1:5" x14ac:dyDescent="0.25">
      <c r="A183" s="28" t="s">
        <v>629</v>
      </c>
      <c r="B183" s="19" t="s">
        <v>630</v>
      </c>
      <c r="C183" s="29"/>
      <c r="D183" s="17" t="str">
        <f>IF($C183="","",IFERROR(IF($E183="machine",INDEX('JLR Machines'!$B$2:$B$20001,MATCH($C183,'JLR Machines'!$A$2:$A$20001,0)),IF($E183="material",INDEX('JLR Materials'!$B$2:$B$20001,MATCH($C183,'JLR Materials'!$A$2:$A$20001,0)),IF($E183="labour",IFERROR(INDEX('JLR Labour'!$B$2:$B$20001,MATCH($C183,'JLR Labour'!$A$2:$A$20001,0)),"labour category "&amp;$C183&amp;" — from the machine tab"),""))),"NOT FOUND — check the code"))</f>
        <v/>
      </c>
      <c r="E183" s="30" t="s">
        <v>268</v>
      </c>
    </row>
    <row r="184" spans="1:5" x14ac:dyDescent="0.25">
      <c r="A184" s="28" t="s">
        <v>631</v>
      </c>
      <c r="B184" s="19" t="s">
        <v>632</v>
      </c>
      <c r="C184" s="29"/>
      <c r="D184" s="17" t="str">
        <f>IF($C184="","",IFERROR(IF($E184="machine",INDEX('JLR Machines'!$B$2:$B$20001,MATCH($C184,'JLR Machines'!$A$2:$A$20001,0)),IF($E184="material",INDEX('JLR Materials'!$B$2:$B$20001,MATCH($C184,'JLR Materials'!$A$2:$A$20001,0)),IF($E184="labour",IFERROR(INDEX('JLR Labour'!$B$2:$B$20001,MATCH($C184,'JLR Labour'!$A$2:$A$20001,0)),"labour category "&amp;$C184&amp;" — from the machine tab"),""))),"NOT FOUND — check the code"))</f>
        <v/>
      </c>
      <c r="E184" s="30" t="s">
        <v>268</v>
      </c>
    </row>
    <row r="185" spans="1:5" x14ac:dyDescent="0.25">
      <c r="A185" s="28" t="s">
        <v>633</v>
      </c>
      <c r="B185" s="19" t="s">
        <v>634</v>
      </c>
      <c r="C185" s="29"/>
      <c r="D185" s="17" t="str">
        <f>IF($C185="","",IFERROR(IF($E185="machine",INDEX('JLR Machines'!$B$2:$B$20001,MATCH($C185,'JLR Machines'!$A$2:$A$20001,0)),IF($E185="material",INDEX('JLR Materials'!$B$2:$B$20001,MATCH($C185,'JLR Materials'!$A$2:$A$20001,0)),IF($E185="labour",IFERROR(INDEX('JLR Labour'!$B$2:$B$20001,MATCH($C185,'JLR Labour'!$A$2:$A$20001,0)),"labour category "&amp;$C185&amp;" — from the machine tab"),""))),"NOT FOUND — check the code"))</f>
        <v/>
      </c>
      <c r="E185" s="30" t="s">
        <v>268</v>
      </c>
    </row>
    <row r="186" spans="1:5" x14ac:dyDescent="0.25">
      <c r="A186" s="28" t="s">
        <v>635</v>
      </c>
      <c r="B186" s="19" t="s">
        <v>636</v>
      </c>
      <c r="C186" s="29"/>
      <c r="D186" s="17" t="str">
        <f>IF($C186="","",IFERROR(IF($E186="machine",INDEX('JLR Machines'!$B$2:$B$20001,MATCH($C186,'JLR Machines'!$A$2:$A$20001,0)),IF($E186="material",INDEX('JLR Materials'!$B$2:$B$20001,MATCH($C186,'JLR Materials'!$A$2:$A$20001,0)),IF($E186="labour",IFERROR(INDEX('JLR Labour'!$B$2:$B$20001,MATCH($C186,'JLR Labour'!$A$2:$A$20001,0)),"labour category "&amp;$C186&amp;" — from the machine tab"),""))),"NOT FOUND — check the code"))</f>
        <v/>
      </c>
      <c r="E186" s="30" t="s">
        <v>268</v>
      </c>
    </row>
    <row r="187" spans="1:5" x14ac:dyDescent="0.25">
      <c r="A187" s="28" t="s">
        <v>637</v>
      </c>
      <c r="B187" s="19" t="s">
        <v>638</v>
      </c>
      <c r="C187" s="29"/>
      <c r="D187" s="17" t="str">
        <f>IF($C187="","",IFERROR(IF($E187="machine",INDEX('JLR Machines'!$B$2:$B$20001,MATCH($C187,'JLR Machines'!$A$2:$A$20001,0)),IF($E187="material",INDEX('JLR Materials'!$B$2:$B$20001,MATCH($C187,'JLR Materials'!$A$2:$A$20001,0)),IF($E187="labour",IFERROR(INDEX('JLR Labour'!$B$2:$B$20001,MATCH($C187,'JLR Labour'!$A$2:$A$20001,0)),"labour category "&amp;$C187&amp;" — from the machine tab"),""))),"NOT FOUND — check the code"))</f>
        <v/>
      </c>
      <c r="E187" s="30" t="s">
        <v>268</v>
      </c>
    </row>
    <row r="188" spans="1:5" x14ac:dyDescent="0.25">
      <c r="A188" s="28" t="s">
        <v>639</v>
      </c>
      <c r="B188" s="19" t="s">
        <v>640</v>
      </c>
      <c r="C188" s="29"/>
      <c r="D188" s="17" t="str">
        <f>IF($C188="","",IFERROR(IF($E188="machine",INDEX('JLR Machines'!$B$2:$B$20001,MATCH($C188,'JLR Machines'!$A$2:$A$20001,0)),IF($E188="material",INDEX('JLR Materials'!$B$2:$B$20001,MATCH($C188,'JLR Materials'!$A$2:$A$20001,0)),IF($E188="labour",IFERROR(INDEX('JLR Labour'!$B$2:$B$20001,MATCH($C188,'JLR Labour'!$A$2:$A$20001,0)),"labour category "&amp;$C188&amp;" — from the machine tab"),""))),"NOT FOUND — check the code"))</f>
        <v/>
      </c>
      <c r="E188" s="30" t="s">
        <v>268</v>
      </c>
    </row>
    <row r="189" spans="1:5" x14ac:dyDescent="0.25">
      <c r="A189" s="28" t="s">
        <v>641</v>
      </c>
      <c r="B189" s="19" t="s">
        <v>642</v>
      </c>
      <c r="C189" s="29"/>
      <c r="D189" s="17" t="str">
        <f>IF($C189="","",IFERROR(IF($E189="machine",INDEX('JLR Machines'!$B$2:$B$20001,MATCH($C189,'JLR Machines'!$A$2:$A$20001,0)),IF($E189="material",INDEX('JLR Materials'!$B$2:$B$20001,MATCH($C189,'JLR Materials'!$A$2:$A$20001,0)),IF($E189="labour",IFERROR(INDEX('JLR Labour'!$B$2:$B$20001,MATCH($C189,'JLR Labour'!$A$2:$A$20001,0)),"labour category "&amp;$C189&amp;" — from the machine tab"),""))),"NOT FOUND — check the code"))</f>
        <v/>
      </c>
      <c r="E189" s="30" t="s">
        <v>268</v>
      </c>
    </row>
    <row r="190" spans="1:5" x14ac:dyDescent="0.25">
      <c r="A190" s="28" t="s">
        <v>643</v>
      </c>
      <c r="B190" s="19" t="s">
        <v>644</v>
      </c>
      <c r="C190" s="29"/>
      <c r="D190" s="17" t="str">
        <f>IF($C190="","",IFERROR(IF($E190="machine",INDEX('JLR Machines'!$B$2:$B$20001,MATCH($C190,'JLR Machines'!$A$2:$A$20001,0)),IF($E190="material",INDEX('JLR Materials'!$B$2:$B$20001,MATCH($C190,'JLR Materials'!$A$2:$A$20001,0)),IF($E190="labour",IFERROR(INDEX('JLR Labour'!$B$2:$B$20001,MATCH($C190,'JLR Labour'!$A$2:$A$20001,0)),"labour category "&amp;$C190&amp;" — from the machine tab"),""))),"NOT FOUND — check the code"))</f>
        <v/>
      </c>
      <c r="E190" s="30" t="s">
        <v>268</v>
      </c>
    </row>
    <row r="191" spans="1:5" x14ac:dyDescent="0.25">
      <c r="A191" s="28" t="s">
        <v>645</v>
      </c>
      <c r="B191" s="19" t="s">
        <v>646</v>
      </c>
      <c r="C191" s="29"/>
      <c r="D191" s="17" t="str">
        <f>IF($C191="","",IFERROR(IF($E191="machine",INDEX('JLR Machines'!$B$2:$B$20001,MATCH($C191,'JLR Machines'!$A$2:$A$20001,0)),IF($E191="material",INDEX('JLR Materials'!$B$2:$B$20001,MATCH($C191,'JLR Materials'!$A$2:$A$20001,0)),IF($E191="labour",IFERROR(INDEX('JLR Labour'!$B$2:$B$20001,MATCH($C191,'JLR Labour'!$A$2:$A$20001,0)),"labour category "&amp;$C191&amp;" — from the machine tab"),""))),"NOT FOUND — check the code"))</f>
        <v/>
      </c>
      <c r="E191" s="30" t="s">
        <v>268</v>
      </c>
    </row>
    <row r="192" spans="1:5" x14ac:dyDescent="0.25">
      <c r="A192" s="28" t="s">
        <v>647</v>
      </c>
      <c r="B192" s="19" t="s">
        <v>648</v>
      </c>
      <c r="C192" s="29"/>
      <c r="D192" s="17" t="str">
        <f>IF($C192="","",IFERROR(IF($E192="machine",INDEX('JLR Machines'!$B$2:$B$20001,MATCH($C192,'JLR Machines'!$A$2:$A$20001,0)),IF($E192="material",INDEX('JLR Materials'!$B$2:$B$20001,MATCH($C192,'JLR Materials'!$A$2:$A$20001,0)),IF($E192="labour",IFERROR(INDEX('JLR Labour'!$B$2:$B$20001,MATCH($C192,'JLR Labour'!$A$2:$A$20001,0)),"labour category "&amp;$C192&amp;" — from the machine tab"),""))),"NOT FOUND — check the code"))</f>
        <v/>
      </c>
      <c r="E192" s="30" t="s">
        <v>268</v>
      </c>
    </row>
    <row r="193" spans="1:5" x14ac:dyDescent="0.25">
      <c r="A193" s="28" t="s">
        <v>649</v>
      </c>
      <c r="B193" s="19" t="s">
        <v>650</v>
      </c>
      <c r="C193" s="29"/>
      <c r="D193" s="17" t="str">
        <f>IF($C193="","",IFERROR(IF($E193="machine",INDEX('JLR Machines'!$B$2:$B$20001,MATCH($C193,'JLR Machines'!$A$2:$A$20001,0)),IF($E193="material",INDEX('JLR Materials'!$B$2:$B$20001,MATCH($C193,'JLR Materials'!$A$2:$A$20001,0)),IF($E193="labour",IFERROR(INDEX('JLR Labour'!$B$2:$B$20001,MATCH($C193,'JLR Labour'!$A$2:$A$20001,0)),"labour category "&amp;$C193&amp;" — from the machine tab"),""))),"NOT FOUND — check the code"))</f>
        <v/>
      </c>
      <c r="E193" s="30" t="s">
        <v>268</v>
      </c>
    </row>
    <row r="194" spans="1:5" x14ac:dyDescent="0.25">
      <c r="A194" s="28" t="s">
        <v>651</v>
      </c>
      <c r="B194" s="19" t="s">
        <v>652</v>
      </c>
      <c r="C194" s="29"/>
      <c r="D194" s="17" t="str">
        <f>IF($C194="","",IFERROR(IF($E194="machine",INDEX('JLR Machines'!$B$2:$B$20001,MATCH($C194,'JLR Machines'!$A$2:$A$20001,0)),IF($E194="material",INDEX('JLR Materials'!$B$2:$B$20001,MATCH($C194,'JLR Materials'!$A$2:$A$20001,0)),IF($E194="labour",IFERROR(INDEX('JLR Labour'!$B$2:$B$20001,MATCH($C194,'JLR Labour'!$A$2:$A$20001,0)),"labour category "&amp;$C194&amp;" — from the machine tab"),""))),"NOT FOUND — check the code"))</f>
        <v/>
      </c>
      <c r="E194" s="30" t="s">
        <v>268</v>
      </c>
    </row>
    <row r="195" spans="1:5" x14ac:dyDescent="0.25">
      <c r="A195" s="28" t="s">
        <v>653</v>
      </c>
      <c r="B195" s="19" t="s">
        <v>654</v>
      </c>
      <c r="C195" s="29"/>
      <c r="D195" s="17" t="str">
        <f>IF($C195="","",IFERROR(IF($E195="machine",INDEX('JLR Machines'!$B$2:$B$20001,MATCH($C195,'JLR Machines'!$A$2:$A$20001,0)),IF($E195="material",INDEX('JLR Materials'!$B$2:$B$20001,MATCH($C195,'JLR Materials'!$A$2:$A$20001,0)),IF($E195="labour",IFERROR(INDEX('JLR Labour'!$B$2:$B$20001,MATCH($C195,'JLR Labour'!$A$2:$A$20001,0)),"labour category "&amp;$C195&amp;" — from the machine tab"),""))),"NOT FOUND — check the code"))</f>
        <v/>
      </c>
      <c r="E195" s="30" t="s">
        <v>268</v>
      </c>
    </row>
    <row r="196" spans="1:5" x14ac:dyDescent="0.25">
      <c r="A196" s="28" t="s">
        <v>655</v>
      </c>
      <c r="B196" s="19" t="s">
        <v>656</v>
      </c>
      <c r="C196" s="29"/>
      <c r="D196" s="17" t="str">
        <f>IF($C196="","",IFERROR(IF($E196="machine",INDEX('JLR Machines'!$B$2:$B$20001,MATCH($C196,'JLR Machines'!$A$2:$A$20001,0)),IF($E196="material",INDEX('JLR Materials'!$B$2:$B$20001,MATCH($C196,'JLR Materials'!$A$2:$A$20001,0)),IF($E196="labour",IFERROR(INDEX('JLR Labour'!$B$2:$B$20001,MATCH($C196,'JLR Labour'!$A$2:$A$20001,0)),"labour category "&amp;$C196&amp;" — from the machine tab"),""))),"NOT FOUND — check the code"))</f>
        <v/>
      </c>
      <c r="E196" s="30" t="s">
        <v>268</v>
      </c>
    </row>
    <row r="197" spans="1:5" x14ac:dyDescent="0.25">
      <c r="A197" s="28" t="s">
        <v>657</v>
      </c>
      <c r="B197" s="19" t="s">
        <v>658</v>
      </c>
      <c r="C197" s="29"/>
      <c r="D197" s="17" t="str">
        <f>IF($C197="","",IFERROR(IF($E197="machine",INDEX('JLR Machines'!$B$2:$B$20001,MATCH($C197,'JLR Machines'!$A$2:$A$20001,0)),IF($E197="material",INDEX('JLR Materials'!$B$2:$B$20001,MATCH($C197,'JLR Materials'!$A$2:$A$20001,0)),IF($E197="labour",IFERROR(INDEX('JLR Labour'!$B$2:$B$20001,MATCH($C197,'JLR Labour'!$A$2:$A$20001,0)),"labour category "&amp;$C197&amp;" — from the machine tab"),""))),"NOT FOUND — check the code"))</f>
        <v/>
      </c>
      <c r="E197" s="30" t="s">
        <v>268</v>
      </c>
    </row>
    <row r="198" spans="1:5" x14ac:dyDescent="0.25">
      <c r="A198" s="28" t="s">
        <v>659</v>
      </c>
      <c r="B198" s="19" t="s">
        <v>660</v>
      </c>
      <c r="C198" s="29"/>
      <c r="D198" s="17" t="str">
        <f>IF($C198="","",IFERROR(IF($E198="machine",INDEX('JLR Machines'!$B$2:$B$20001,MATCH($C198,'JLR Machines'!$A$2:$A$20001,0)),IF($E198="material",INDEX('JLR Materials'!$B$2:$B$20001,MATCH($C198,'JLR Materials'!$A$2:$A$20001,0)),IF($E198="labour",IFERROR(INDEX('JLR Labour'!$B$2:$B$20001,MATCH($C198,'JLR Labour'!$A$2:$A$20001,0)),"labour category "&amp;$C198&amp;" — from the machine tab"),""))),"NOT FOUND — check the code"))</f>
        <v/>
      </c>
      <c r="E198" s="30" t="s">
        <v>268</v>
      </c>
    </row>
    <row r="199" spans="1:5" x14ac:dyDescent="0.25">
      <c r="A199" s="28" t="s">
        <v>661</v>
      </c>
      <c r="B199" s="19" t="s">
        <v>662</v>
      </c>
      <c r="C199" s="29"/>
      <c r="D199" s="17" t="str">
        <f>IF($C199="","",IFERROR(IF($E199="machine",INDEX('JLR Machines'!$B$2:$B$20001,MATCH($C199,'JLR Machines'!$A$2:$A$20001,0)),IF($E199="material",INDEX('JLR Materials'!$B$2:$B$20001,MATCH($C199,'JLR Materials'!$A$2:$A$20001,0)),IF($E199="labour",IFERROR(INDEX('JLR Labour'!$B$2:$B$20001,MATCH($C199,'JLR Labour'!$A$2:$A$20001,0)),"labour category "&amp;$C199&amp;" — from the machine tab"),""))),"NOT FOUND — check the code"))</f>
        <v/>
      </c>
      <c r="E199" s="30" t="s">
        <v>268</v>
      </c>
    </row>
    <row r="200" spans="1:5" x14ac:dyDescent="0.25">
      <c r="A200" s="28" t="s">
        <v>663</v>
      </c>
      <c r="B200" s="19" t="s">
        <v>664</v>
      </c>
      <c r="C200" s="29"/>
      <c r="D200" s="17" t="str">
        <f>IF($C200="","",IFERROR(IF($E200="machine",INDEX('JLR Machines'!$B$2:$B$20001,MATCH($C200,'JLR Machines'!$A$2:$A$20001,0)),IF($E200="material",INDEX('JLR Materials'!$B$2:$B$20001,MATCH($C200,'JLR Materials'!$A$2:$A$20001,0)),IF($E200="labour",IFERROR(INDEX('JLR Labour'!$B$2:$B$20001,MATCH($C200,'JLR Labour'!$A$2:$A$20001,0)),"labour category "&amp;$C200&amp;" — from the machine tab"),""))),"NOT FOUND — check the code"))</f>
        <v/>
      </c>
      <c r="E200" s="30" t="s">
        <v>268</v>
      </c>
    </row>
    <row r="201" spans="1:5" x14ac:dyDescent="0.25">
      <c r="A201" s="28" t="s">
        <v>665</v>
      </c>
      <c r="B201" s="19" t="s">
        <v>666</v>
      </c>
      <c r="C201" s="29"/>
      <c r="D201" s="17" t="str">
        <f>IF($C201="","",IFERROR(IF($E201="machine",INDEX('JLR Machines'!$B$2:$B$20001,MATCH($C201,'JLR Machines'!$A$2:$A$20001,0)),IF($E201="material",INDEX('JLR Materials'!$B$2:$B$20001,MATCH($C201,'JLR Materials'!$A$2:$A$20001,0)),IF($E201="labour",IFERROR(INDEX('JLR Labour'!$B$2:$B$20001,MATCH($C201,'JLR Labour'!$A$2:$A$20001,0)),"labour category "&amp;$C201&amp;" — from the machine tab"),""))),"NOT FOUND — check the code"))</f>
        <v/>
      </c>
      <c r="E201" s="30" t="s">
        <v>268</v>
      </c>
    </row>
    <row r="202" spans="1:5" x14ac:dyDescent="0.25">
      <c r="A202" s="28" t="s">
        <v>667</v>
      </c>
      <c r="B202" s="19" t="s">
        <v>668</v>
      </c>
      <c r="C202" s="29"/>
      <c r="D202" s="17" t="str">
        <f>IF($C202="","",IFERROR(IF($E202="machine",INDEX('JLR Machines'!$B$2:$B$20001,MATCH($C202,'JLR Machines'!$A$2:$A$20001,0)),IF($E202="material",INDEX('JLR Materials'!$B$2:$B$20001,MATCH($C202,'JLR Materials'!$A$2:$A$20001,0)),IF($E202="labour",IFERROR(INDEX('JLR Labour'!$B$2:$B$20001,MATCH($C202,'JLR Labour'!$A$2:$A$20001,0)),"labour category "&amp;$C202&amp;" — from the machine tab"),""))),"NOT FOUND — check the code"))</f>
        <v/>
      </c>
      <c r="E202" s="30" t="s">
        <v>268</v>
      </c>
    </row>
    <row r="203" spans="1:5" x14ac:dyDescent="0.25">
      <c r="A203" s="28" t="s">
        <v>669</v>
      </c>
      <c r="B203" s="19" t="s">
        <v>670</v>
      </c>
      <c r="C203" s="29"/>
      <c r="D203" s="17" t="str">
        <f>IF($C203="","",IFERROR(IF($E203="machine",INDEX('JLR Machines'!$B$2:$B$20001,MATCH($C203,'JLR Machines'!$A$2:$A$20001,0)),IF($E203="material",INDEX('JLR Materials'!$B$2:$B$20001,MATCH($C203,'JLR Materials'!$A$2:$A$20001,0)),IF($E203="labour",IFERROR(INDEX('JLR Labour'!$B$2:$B$20001,MATCH($C203,'JLR Labour'!$A$2:$A$20001,0)),"labour category "&amp;$C203&amp;" — from the machine tab"),""))),"NOT FOUND — check the code"))</f>
        <v/>
      </c>
      <c r="E203" s="30" t="s">
        <v>268</v>
      </c>
    </row>
    <row r="204" spans="1:5" x14ac:dyDescent="0.25">
      <c r="A204" s="28" t="s">
        <v>671</v>
      </c>
      <c r="B204" s="19" t="s">
        <v>672</v>
      </c>
      <c r="C204" s="29"/>
      <c r="D204" s="17" t="str">
        <f>IF($C204="","",IFERROR(IF($E204="machine",INDEX('JLR Machines'!$B$2:$B$20001,MATCH($C204,'JLR Machines'!$A$2:$A$20001,0)),IF($E204="material",INDEX('JLR Materials'!$B$2:$B$20001,MATCH($C204,'JLR Materials'!$A$2:$A$20001,0)),IF($E204="labour",IFERROR(INDEX('JLR Labour'!$B$2:$B$20001,MATCH($C204,'JLR Labour'!$A$2:$A$20001,0)),"labour category "&amp;$C204&amp;" — from the machine tab"),""))),"NOT FOUND — check the code"))</f>
        <v/>
      </c>
      <c r="E204" s="30" t="s">
        <v>268</v>
      </c>
    </row>
    <row r="205" spans="1:5" x14ac:dyDescent="0.25">
      <c r="A205" s="28" t="s">
        <v>673</v>
      </c>
      <c r="B205" s="19" t="s">
        <v>674</v>
      </c>
      <c r="C205" s="29"/>
      <c r="D205" s="17" t="str">
        <f>IF($C205="","",IFERROR(IF($E205="machine",INDEX('JLR Machines'!$B$2:$B$20001,MATCH($C205,'JLR Machines'!$A$2:$A$20001,0)),IF($E205="material",INDEX('JLR Materials'!$B$2:$B$20001,MATCH($C205,'JLR Materials'!$A$2:$A$20001,0)),IF($E205="labour",IFERROR(INDEX('JLR Labour'!$B$2:$B$20001,MATCH($C205,'JLR Labour'!$A$2:$A$20001,0)),"labour category "&amp;$C205&amp;" — from the machine tab"),""))),"NOT FOUND — check the code"))</f>
        <v/>
      </c>
      <c r="E205" s="30" t="s">
        <v>268</v>
      </c>
    </row>
    <row r="206" spans="1:5" x14ac:dyDescent="0.25">
      <c r="A206" s="28" t="s">
        <v>675</v>
      </c>
      <c r="B206" s="19" t="s">
        <v>676</v>
      </c>
      <c r="C206" s="29"/>
      <c r="D206" s="17" t="str">
        <f>IF($C206="","",IFERROR(IF($E206="machine",INDEX('JLR Machines'!$B$2:$B$20001,MATCH($C206,'JLR Machines'!$A$2:$A$20001,0)),IF($E206="material",INDEX('JLR Materials'!$B$2:$B$20001,MATCH($C206,'JLR Materials'!$A$2:$A$20001,0)),IF($E206="labour",IFERROR(INDEX('JLR Labour'!$B$2:$B$20001,MATCH($C206,'JLR Labour'!$A$2:$A$20001,0)),"labour category "&amp;$C206&amp;" — from the machine tab"),""))),"NOT FOUND — check the code"))</f>
        <v/>
      </c>
      <c r="E206" s="30" t="s">
        <v>268</v>
      </c>
    </row>
    <row r="207" spans="1:5" x14ac:dyDescent="0.25">
      <c r="A207" s="28" t="s">
        <v>677</v>
      </c>
      <c r="B207" s="19" t="s">
        <v>678</v>
      </c>
      <c r="C207" s="29"/>
      <c r="D207" s="17" t="str">
        <f>IF($C207="","",IFERROR(IF($E207="machine",INDEX('JLR Machines'!$B$2:$B$20001,MATCH($C207,'JLR Machines'!$A$2:$A$20001,0)),IF($E207="material",INDEX('JLR Materials'!$B$2:$B$20001,MATCH($C207,'JLR Materials'!$A$2:$A$20001,0)),IF($E207="labour",IFERROR(INDEX('JLR Labour'!$B$2:$B$20001,MATCH($C207,'JLR Labour'!$A$2:$A$20001,0)),"labour category "&amp;$C207&amp;" — from the machine tab"),""))),"NOT FOUND — check the code"))</f>
        <v/>
      </c>
      <c r="E207" s="30" t="s">
        <v>268</v>
      </c>
    </row>
    <row r="208" spans="1:5" x14ac:dyDescent="0.25">
      <c r="A208" s="28" t="s">
        <v>679</v>
      </c>
      <c r="B208" s="19" t="s">
        <v>680</v>
      </c>
      <c r="C208" s="29"/>
      <c r="D208" s="17" t="str">
        <f>IF($C208="","",IFERROR(IF($E208="machine",INDEX('JLR Machines'!$B$2:$B$20001,MATCH($C208,'JLR Machines'!$A$2:$A$20001,0)),IF($E208="material",INDEX('JLR Materials'!$B$2:$B$20001,MATCH($C208,'JLR Materials'!$A$2:$A$20001,0)),IF($E208="labour",IFERROR(INDEX('JLR Labour'!$B$2:$B$20001,MATCH($C208,'JLR Labour'!$A$2:$A$20001,0)),"labour category "&amp;$C208&amp;" — from the machine tab"),""))),"NOT FOUND — check the code"))</f>
        <v/>
      </c>
      <c r="E208" s="30" t="s">
        <v>268</v>
      </c>
    </row>
    <row r="209" spans="1:5" x14ac:dyDescent="0.25">
      <c r="A209" s="28" t="s">
        <v>681</v>
      </c>
      <c r="B209" s="19" t="s">
        <v>682</v>
      </c>
      <c r="C209" s="29"/>
      <c r="D209" s="17" t="str">
        <f>IF($C209="","",IFERROR(IF($E209="machine",INDEX('JLR Machines'!$B$2:$B$20001,MATCH($C209,'JLR Machines'!$A$2:$A$20001,0)),IF($E209="material",INDEX('JLR Materials'!$B$2:$B$20001,MATCH($C209,'JLR Materials'!$A$2:$A$20001,0)),IF($E209="labour",IFERROR(INDEX('JLR Labour'!$B$2:$B$20001,MATCH($C209,'JLR Labour'!$A$2:$A$20001,0)),"labour category "&amp;$C209&amp;" — from the machine tab"),""))),"NOT FOUND — check the code"))</f>
        <v/>
      </c>
      <c r="E209" s="30" t="s">
        <v>268</v>
      </c>
    </row>
    <row r="210" spans="1:5" x14ac:dyDescent="0.25">
      <c r="A210" s="28" t="s">
        <v>683</v>
      </c>
      <c r="B210" s="19" t="s">
        <v>684</v>
      </c>
      <c r="C210" s="29"/>
      <c r="D210" s="17" t="str">
        <f>IF($C210="","",IFERROR(IF($E210="machine",INDEX('JLR Machines'!$B$2:$B$20001,MATCH($C210,'JLR Machines'!$A$2:$A$20001,0)),IF($E210="material",INDEX('JLR Materials'!$B$2:$B$20001,MATCH($C210,'JLR Materials'!$A$2:$A$20001,0)),IF($E210="labour",IFERROR(INDEX('JLR Labour'!$B$2:$B$20001,MATCH($C210,'JLR Labour'!$A$2:$A$20001,0)),"labour category "&amp;$C210&amp;" — from the machine tab"),""))),"NOT FOUND — check the code"))</f>
        <v/>
      </c>
      <c r="E210" s="30" t="s">
        <v>268</v>
      </c>
    </row>
    <row r="211" spans="1:5" x14ac:dyDescent="0.25">
      <c r="A211" s="28" t="s">
        <v>685</v>
      </c>
      <c r="B211" s="19" t="s">
        <v>686</v>
      </c>
      <c r="C211" s="29"/>
      <c r="D211" s="17" t="str">
        <f>IF($C211="","",IFERROR(IF($E211="machine",INDEX('JLR Machines'!$B$2:$B$20001,MATCH($C211,'JLR Machines'!$A$2:$A$20001,0)),IF($E211="material",INDEX('JLR Materials'!$B$2:$B$20001,MATCH($C211,'JLR Materials'!$A$2:$A$20001,0)),IF($E211="labour",IFERROR(INDEX('JLR Labour'!$B$2:$B$20001,MATCH($C211,'JLR Labour'!$A$2:$A$20001,0)),"labour category "&amp;$C211&amp;" — from the machine tab"),""))),"NOT FOUND — check the code"))</f>
        <v/>
      </c>
      <c r="E211" s="30" t="s">
        <v>268</v>
      </c>
    </row>
    <row r="212" spans="1:5" x14ac:dyDescent="0.25">
      <c r="A212" s="28" t="s">
        <v>687</v>
      </c>
      <c r="B212" s="19" t="s">
        <v>688</v>
      </c>
      <c r="C212" s="29"/>
      <c r="D212" s="17" t="str">
        <f>IF($C212="","",IFERROR(IF($E212="machine",INDEX('JLR Machines'!$B$2:$B$20001,MATCH($C212,'JLR Machines'!$A$2:$A$20001,0)),IF($E212="material",INDEX('JLR Materials'!$B$2:$B$20001,MATCH($C212,'JLR Materials'!$A$2:$A$20001,0)),IF($E212="labour",IFERROR(INDEX('JLR Labour'!$B$2:$B$20001,MATCH($C212,'JLR Labour'!$A$2:$A$20001,0)),"labour category "&amp;$C212&amp;" — from the machine tab"),""))),"NOT FOUND — check the code"))</f>
        <v/>
      </c>
      <c r="E212" s="30" t="s">
        <v>268</v>
      </c>
    </row>
    <row r="213" spans="1:5" x14ac:dyDescent="0.25">
      <c r="A213" s="28" t="s">
        <v>689</v>
      </c>
      <c r="B213" s="19" t="s">
        <v>690</v>
      </c>
      <c r="C213" s="29"/>
      <c r="D213" s="17" t="str">
        <f>IF($C213="","",IFERROR(IF($E213="machine",INDEX('JLR Machines'!$B$2:$B$20001,MATCH($C213,'JLR Machines'!$A$2:$A$20001,0)),IF($E213="material",INDEX('JLR Materials'!$B$2:$B$20001,MATCH($C213,'JLR Materials'!$A$2:$A$20001,0)),IF($E213="labour",IFERROR(INDEX('JLR Labour'!$B$2:$B$20001,MATCH($C213,'JLR Labour'!$A$2:$A$20001,0)),"labour category "&amp;$C213&amp;" — from the machine tab"),""))),"NOT FOUND — check the code"))</f>
        <v/>
      </c>
      <c r="E213" s="30" t="s">
        <v>268</v>
      </c>
    </row>
    <row r="214" spans="1:5" x14ac:dyDescent="0.25">
      <c r="A214" s="28" t="s">
        <v>691</v>
      </c>
      <c r="B214" s="19" t="s">
        <v>692</v>
      </c>
      <c r="C214" s="29"/>
      <c r="D214" s="17" t="str">
        <f>IF($C214="","",IFERROR(IF($E214="machine",INDEX('JLR Machines'!$B$2:$B$20001,MATCH($C214,'JLR Machines'!$A$2:$A$20001,0)),IF($E214="material",INDEX('JLR Materials'!$B$2:$B$20001,MATCH($C214,'JLR Materials'!$A$2:$A$20001,0)),IF($E214="labour",IFERROR(INDEX('JLR Labour'!$B$2:$B$20001,MATCH($C214,'JLR Labour'!$A$2:$A$20001,0)),"labour category "&amp;$C214&amp;" — from the machine tab"),""))),"NOT FOUND — check the code"))</f>
        <v/>
      </c>
      <c r="E214" s="30" t="s">
        <v>268</v>
      </c>
    </row>
    <row r="215" spans="1:5" x14ac:dyDescent="0.25">
      <c r="A215" s="28" t="s">
        <v>693</v>
      </c>
      <c r="B215" s="19" t="s">
        <v>694</v>
      </c>
      <c r="C215" s="29"/>
      <c r="D215" s="17" t="str">
        <f>IF($C215="","",IFERROR(IF($E215="machine",INDEX('JLR Machines'!$B$2:$B$20001,MATCH($C215,'JLR Machines'!$A$2:$A$20001,0)),IF($E215="material",INDEX('JLR Materials'!$B$2:$B$20001,MATCH($C215,'JLR Materials'!$A$2:$A$20001,0)),IF($E215="labour",IFERROR(INDEX('JLR Labour'!$B$2:$B$20001,MATCH($C215,'JLR Labour'!$A$2:$A$20001,0)),"labour category "&amp;$C215&amp;" — from the machine tab"),""))),"NOT FOUND — check the code"))</f>
        <v/>
      </c>
      <c r="E215" s="30" t="s">
        <v>268</v>
      </c>
    </row>
    <row r="216" spans="1:5" x14ac:dyDescent="0.25">
      <c r="A216" s="28" t="s">
        <v>695</v>
      </c>
      <c r="B216" s="19" t="s">
        <v>696</v>
      </c>
      <c r="C216" s="29"/>
      <c r="D216" s="17" t="str">
        <f>IF($C216="","",IFERROR(IF($E216="machine",INDEX('JLR Machines'!$B$2:$B$20001,MATCH($C216,'JLR Machines'!$A$2:$A$20001,0)),IF($E216="material",INDEX('JLR Materials'!$B$2:$B$20001,MATCH($C216,'JLR Materials'!$A$2:$A$20001,0)),IF($E216="labour",IFERROR(INDEX('JLR Labour'!$B$2:$B$20001,MATCH($C216,'JLR Labour'!$A$2:$A$20001,0)),"labour category "&amp;$C216&amp;" — from the machine tab"),""))),"NOT FOUND — check the code"))</f>
        <v/>
      </c>
      <c r="E216" s="30" t="s">
        <v>268</v>
      </c>
    </row>
    <row r="217" spans="1:5" x14ac:dyDescent="0.25">
      <c r="A217" s="28" t="s">
        <v>697</v>
      </c>
      <c r="B217" s="19" t="s">
        <v>698</v>
      </c>
      <c r="C217" s="29"/>
      <c r="D217" s="17" t="str">
        <f>IF($C217="","",IFERROR(IF($E217="machine",INDEX('JLR Machines'!$B$2:$B$20001,MATCH($C217,'JLR Machines'!$A$2:$A$20001,0)),IF($E217="material",INDEX('JLR Materials'!$B$2:$B$20001,MATCH($C217,'JLR Materials'!$A$2:$A$20001,0)),IF($E217="labour",IFERROR(INDEX('JLR Labour'!$B$2:$B$20001,MATCH($C217,'JLR Labour'!$A$2:$A$20001,0)),"labour category "&amp;$C217&amp;" — from the machine tab"),""))),"NOT FOUND — check the code"))</f>
        <v/>
      </c>
      <c r="E217" s="30" t="s">
        <v>268</v>
      </c>
    </row>
    <row r="218" spans="1:5" x14ac:dyDescent="0.25">
      <c r="A218" s="28" t="s">
        <v>699</v>
      </c>
      <c r="B218" s="19" t="s">
        <v>700</v>
      </c>
      <c r="C218" s="29"/>
      <c r="D218" s="17" t="str">
        <f>IF($C218="","",IFERROR(IF($E218="machine",INDEX('JLR Machines'!$B$2:$B$20001,MATCH($C218,'JLR Machines'!$A$2:$A$20001,0)),IF($E218="material",INDEX('JLR Materials'!$B$2:$B$20001,MATCH($C218,'JLR Materials'!$A$2:$A$20001,0)),IF($E218="labour",IFERROR(INDEX('JLR Labour'!$B$2:$B$20001,MATCH($C218,'JLR Labour'!$A$2:$A$20001,0)),"labour category "&amp;$C218&amp;" — from the machine tab"),""))),"NOT FOUND — check the code"))</f>
        <v/>
      </c>
      <c r="E218" s="30" t="s">
        <v>268</v>
      </c>
    </row>
    <row r="219" spans="1:5" x14ac:dyDescent="0.25">
      <c r="A219" s="28" t="s">
        <v>701</v>
      </c>
      <c r="B219" s="19" t="s">
        <v>702</v>
      </c>
      <c r="C219" s="29"/>
      <c r="D219" s="17" t="str">
        <f>IF($C219="","",IFERROR(IF($E219="machine",INDEX('JLR Machines'!$B$2:$B$20001,MATCH($C219,'JLR Machines'!$A$2:$A$20001,0)),IF($E219="material",INDEX('JLR Materials'!$B$2:$B$20001,MATCH($C219,'JLR Materials'!$A$2:$A$20001,0)),IF($E219="labour",IFERROR(INDEX('JLR Labour'!$B$2:$B$20001,MATCH($C219,'JLR Labour'!$A$2:$A$20001,0)),"labour category "&amp;$C219&amp;" — from the machine tab"),""))),"NOT FOUND — check the code"))</f>
        <v/>
      </c>
      <c r="E219" s="30" t="s">
        <v>268</v>
      </c>
    </row>
    <row r="220" spans="1:5" x14ac:dyDescent="0.25">
      <c r="A220" s="28" t="s">
        <v>703</v>
      </c>
      <c r="B220" s="19" t="s">
        <v>704</v>
      </c>
      <c r="C220" s="29"/>
      <c r="D220" s="17" t="str">
        <f>IF($C220="","",IFERROR(IF($E220="machine",INDEX('JLR Machines'!$B$2:$B$20001,MATCH($C220,'JLR Machines'!$A$2:$A$20001,0)),IF($E220="material",INDEX('JLR Materials'!$B$2:$B$20001,MATCH($C220,'JLR Materials'!$A$2:$A$20001,0)),IF($E220="labour",IFERROR(INDEX('JLR Labour'!$B$2:$B$20001,MATCH($C220,'JLR Labour'!$A$2:$A$20001,0)),"labour category "&amp;$C220&amp;" — from the machine tab"),""))),"NOT FOUND — check the code"))</f>
        <v/>
      </c>
      <c r="E220" s="30" t="s">
        <v>268</v>
      </c>
    </row>
    <row r="221" spans="1:5" x14ac:dyDescent="0.25">
      <c r="A221" s="28" t="s">
        <v>705</v>
      </c>
      <c r="B221" s="19" t="s">
        <v>706</v>
      </c>
      <c r="C221" s="29"/>
      <c r="D221" s="17" t="str">
        <f>IF($C221="","",IFERROR(IF($E221="machine",INDEX('JLR Machines'!$B$2:$B$20001,MATCH($C221,'JLR Machines'!$A$2:$A$20001,0)),IF($E221="material",INDEX('JLR Materials'!$B$2:$B$20001,MATCH($C221,'JLR Materials'!$A$2:$A$20001,0)),IF($E221="labour",IFERROR(INDEX('JLR Labour'!$B$2:$B$20001,MATCH($C221,'JLR Labour'!$A$2:$A$20001,0)),"labour category "&amp;$C221&amp;" — from the machine tab"),""))),"NOT FOUND — check the code"))</f>
        <v/>
      </c>
      <c r="E221" s="30" t="s">
        <v>268</v>
      </c>
    </row>
    <row r="222" spans="1:5" x14ac:dyDescent="0.25">
      <c r="A222" s="28" t="s">
        <v>707</v>
      </c>
      <c r="B222" s="19" t="s">
        <v>708</v>
      </c>
      <c r="C222" s="29"/>
      <c r="D222" s="17" t="str">
        <f>IF($C222="","",IFERROR(IF($E222="machine",INDEX('JLR Machines'!$B$2:$B$20001,MATCH($C222,'JLR Machines'!$A$2:$A$20001,0)),IF($E222="material",INDEX('JLR Materials'!$B$2:$B$20001,MATCH($C222,'JLR Materials'!$A$2:$A$20001,0)),IF($E222="labour",IFERROR(INDEX('JLR Labour'!$B$2:$B$20001,MATCH($C222,'JLR Labour'!$A$2:$A$20001,0)),"labour category "&amp;$C222&amp;" — from the machine tab"),""))),"NOT FOUND — check the code"))</f>
        <v/>
      </c>
      <c r="E222" s="30" t="s">
        <v>268</v>
      </c>
    </row>
    <row r="223" spans="1:5" x14ac:dyDescent="0.25">
      <c r="A223" s="28" t="s">
        <v>709</v>
      </c>
      <c r="B223" s="19" t="s">
        <v>710</v>
      </c>
      <c r="C223" s="29"/>
      <c r="D223" s="17" t="str">
        <f>IF($C223="","",IFERROR(IF($E223="machine",INDEX('JLR Machines'!$B$2:$B$20001,MATCH($C223,'JLR Machines'!$A$2:$A$20001,0)),IF($E223="material",INDEX('JLR Materials'!$B$2:$B$20001,MATCH($C223,'JLR Materials'!$A$2:$A$20001,0)),IF($E223="labour",IFERROR(INDEX('JLR Labour'!$B$2:$B$20001,MATCH($C223,'JLR Labour'!$A$2:$A$20001,0)),"labour category "&amp;$C223&amp;" — from the machine tab"),""))),"NOT FOUND — check the code"))</f>
        <v/>
      </c>
      <c r="E223" s="30" t="s">
        <v>268</v>
      </c>
    </row>
    <row r="224" spans="1:5" x14ac:dyDescent="0.25">
      <c r="A224" s="28" t="s">
        <v>711</v>
      </c>
      <c r="B224" s="19" t="s">
        <v>712</v>
      </c>
      <c r="C224" s="29"/>
      <c r="D224" s="17" t="str">
        <f>IF($C224="","",IFERROR(IF($E224="machine",INDEX('JLR Machines'!$B$2:$B$20001,MATCH($C224,'JLR Machines'!$A$2:$A$20001,0)),IF($E224="material",INDEX('JLR Materials'!$B$2:$B$20001,MATCH($C224,'JLR Materials'!$A$2:$A$20001,0)),IF($E224="labour",IFERROR(INDEX('JLR Labour'!$B$2:$B$20001,MATCH($C224,'JLR Labour'!$A$2:$A$20001,0)),"labour category "&amp;$C224&amp;" — from the machine tab"),""))),"NOT FOUND — check the code"))</f>
        <v/>
      </c>
      <c r="E224" s="30" t="s">
        <v>268</v>
      </c>
    </row>
    <row r="225" spans="1:5" x14ac:dyDescent="0.25">
      <c r="A225" s="28" t="s">
        <v>713</v>
      </c>
      <c r="B225" s="19" t="s">
        <v>714</v>
      </c>
      <c r="C225" s="29"/>
      <c r="D225" s="17" t="str">
        <f>IF($C225="","",IFERROR(IF($E225="machine",INDEX('JLR Machines'!$B$2:$B$20001,MATCH($C225,'JLR Machines'!$A$2:$A$20001,0)),IF($E225="material",INDEX('JLR Materials'!$B$2:$B$20001,MATCH($C225,'JLR Materials'!$A$2:$A$20001,0)),IF($E225="labour",IFERROR(INDEX('JLR Labour'!$B$2:$B$20001,MATCH($C225,'JLR Labour'!$A$2:$A$20001,0)),"labour category "&amp;$C225&amp;" — from the machine tab"),""))),"NOT FOUND — check the code"))</f>
        <v/>
      </c>
      <c r="E225" s="30" t="s">
        <v>268</v>
      </c>
    </row>
    <row r="226" spans="1:5" x14ac:dyDescent="0.25">
      <c r="A226" s="28" t="s">
        <v>715</v>
      </c>
      <c r="B226" s="19" t="s">
        <v>716</v>
      </c>
      <c r="C226" s="29"/>
      <c r="D226" s="17" t="str">
        <f>IF($C226="","",IFERROR(IF($E226="machine",INDEX('JLR Machines'!$B$2:$B$20001,MATCH($C226,'JLR Machines'!$A$2:$A$20001,0)),IF($E226="material",INDEX('JLR Materials'!$B$2:$B$20001,MATCH($C226,'JLR Materials'!$A$2:$A$20001,0)),IF($E226="labour",IFERROR(INDEX('JLR Labour'!$B$2:$B$20001,MATCH($C226,'JLR Labour'!$A$2:$A$20001,0)),"labour category "&amp;$C226&amp;" — from the machine tab"),""))),"NOT FOUND — check the code"))</f>
        <v/>
      </c>
      <c r="E226" s="30" t="s">
        <v>268</v>
      </c>
    </row>
    <row r="227" spans="1:5" x14ac:dyDescent="0.25">
      <c r="A227" s="28" t="s">
        <v>717</v>
      </c>
      <c r="B227" s="19" t="s">
        <v>718</v>
      </c>
      <c r="C227" s="29"/>
      <c r="D227" s="17" t="str">
        <f>IF($C227="","",IFERROR(IF($E227="machine",INDEX('JLR Machines'!$B$2:$B$20001,MATCH($C227,'JLR Machines'!$A$2:$A$20001,0)),IF($E227="material",INDEX('JLR Materials'!$B$2:$B$20001,MATCH($C227,'JLR Materials'!$A$2:$A$20001,0)),IF($E227="labour",IFERROR(INDEX('JLR Labour'!$B$2:$B$20001,MATCH($C227,'JLR Labour'!$A$2:$A$20001,0)),"labour category "&amp;$C227&amp;" — from the machine tab"),""))),"NOT FOUND — check the code"))</f>
        <v/>
      </c>
      <c r="E227" s="30" t="s">
        <v>268</v>
      </c>
    </row>
    <row r="228" spans="1:5" x14ac:dyDescent="0.25">
      <c r="A228" s="28" t="s">
        <v>719</v>
      </c>
      <c r="B228" s="19" t="s">
        <v>720</v>
      </c>
      <c r="C228" s="29"/>
      <c r="D228" s="17" t="str">
        <f>IF($C228="","",IFERROR(IF($E228="machine",INDEX('JLR Machines'!$B$2:$B$20001,MATCH($C228,'JLR Machines'!$A$2:$A$20001,0)),IF($E228="material",INDEX('JLR Materials'!$B$2:$B$20001,MATCH($C228,'JLR Materials'!$A$2:$A$20001,0)),IF($E228="labour",IFERROR(INDEX('JLR Labour'!$B$2:$B$20001,MATCH($C228,'JLR Labour'!$A$2:$A$20001,0)),"labour category "&amp;$C228&amp;" — from the machine tab"),""))),"NOT FOUND — check the code"))</f>
        <v/>
      </c>
      <c r="E228" s="30" t="s">
        <v>268</v>
      </c>
    </row>
    <row r="229" spans="1:5" x14ac:dyDescent="0.25">
      <c r="A229" s="28" t="s">
        <v>721</v>
      </c>
      <c r="B229" s="19" t="s">
        <v>722</v>
      </c>
      <c r="C229" s="29"/>
      <c r="D229" s="17" t="str">
        <f>IF($C229="","",IFERROR(IF($E229="machine",INDEX('JLR Machines'!$B$2:$B$20001,MATCH($C229,'JLR Machines'!$A$2:$A$20001,0)),IF($E229="material",INDEX('JLR Materials'!$B$2:$B$20001,MATCH($C229,'JLR Materials'!$A$2:$A$20001,0)),IF($E229="labour",IFERROR(INDEX('JLR Labour'!$B$2:$B$20001,MATCH($C229,'JLR Labour'!$A$2:$A$20001,0)),"labour category "&amp;$C229&amp;" — from the machine tab"),""))),"NOT FOUND — check the code"))</f>
        <v/>
      </c>
      <c r="E229" s="30" t="s">
        <v>268</v>
      </c>
    </row>
    <row r="230" spans="1:5" x14ac:dyDescent="0.25">
      <c r="A230" s="28" t="s">
        <v>723</v>
      </c>
      <c r="B230" s="19" t="s">
        <v>724</v>
      </c>
      <c r="C230" s="29"/>
      <c r="D230" s="17" t="str">
        <f>IF($C230="","",IFERROR(IF($E230="machine",INDEX('JLR Machines'!$B$2:$B$20001,MATCH($C230,'JLR Machines'!$A$2:$A$20001,0)),IF($E230="material",INDEX('JLR Materials'!$B$2:$B$20001,MATCH($C230,'JLR Materials'!$A$2:$A$20001,0)),IF($E230="labour",IFERROR(INDEX('JLR Labour'!$B$2:$B$20001,MATCH($C230,'JLR Labour'!$A$2:$A$20001,0)),"labour category "&amp;$C230&amp;" — from the machine tab"),""))),"NOT FOUND — check the code"))</f>
        <v/>
      </c>
      <c r="E230" s="30" t="s">
        <v>268</v>
      </c>
    </row>
    <row r="231" spans="1:5" x14ac:dyDescent="0.25">
      <c r="A231" s="28" t="s">
        <v>725</v>
      </c>
      <c r="B231" s="19" t="s">
        <v>726</v>
      </c>
      <c r="C231" s="29"/>
      <c r="D231" s="17" t="str">
        <f>IF($C231="","",IFERROR(IF($E231="machine",INDEX('JLR Machines'!$B$2:$B$20001,MATCH($C231,'JLR Machines'!$A$2:$A$20001,0)),IF($E231="material",INDEX('JLR Materials'!$B$2:$B$20001,MATCH($C231,'JLR Materials'!$A$2:$A$20001,0)),IF($E231="labour",IFERROR(INDEX('JLR Labour'!$B$2:$B$20001,MATCH($C231,'JLR Labour'!$A$2:$A$20001,0)),"labour category "&amp;$C231&amp;" — from the machine tab"),""))),"NOT FOUND — check the code"))</f>
        <v/>
      </c>
      <c r="E231" s="30" t="s">
        <v>268</v>
      </c>
    </row>
    <row r="232" spans="1:5" x14ac:dyDescent="0.25">
      <c r="A232" s="28" t="s">
        <v>727</v>
      </c>
      <c r="B232" s="19" t="s">
        <v>728</v>
      </c>
      <c r="C232" s="29"/>
      <c r="D232" s="17" t="str">
        <f>IF($C232="","",IFERROR(IF($E232="machine",INDEX('JLR Machines'!$B$2:$B$20001,MATCH($C232,'JLR Machines'!$A$2:$A$20001,0)),IF($E232="material",INDEX('JLR Materials'!$B$2:$B$20001,MATCH($C232,'JLR Materials'!$A$2:$A$20001,0)),IF($E232="labour",IFERROR(INDEX('JLR Labour'!$B$2:$B$20001,MATCH($C232,'JLR Labour'!$A$2:$A$20001,0)),"labour category "&amp;$C232&amp;" — from the machine tab"),""))),"NOT FOUND — check the code"))</f>
        <v/>
      </c>
      <c r="E232" s="30" t="s">
        <v>268</v>
      </c>
    </row>
    <row r="233" spans="1:5" x14ac:dyDescent="0.25">
      <c r="A233" s="28" t="s">
        <v>729</v>
      </c>
      <c r="B233" s="19" t="s">
        <v>730</v>
      </c>
      <c r="C233" s="29"/>
      <c r="D233" s="17" t="str">
        <f>IF($C233="","",IFERROR(IF($E233="machine",INDEX('JLR Machines'!$B$2:$B$20001,MATCH($C233,'JLR Machines'!$A$2:$A$20001,0)),IF($E233="material",INDEX('JLR Materials'!$B$2:$B$20001,MATCH($C233,'JLR Materials'!$A$2:$A$20001,0)),IF($E233="labour",IFERROR(INDEX('JLR Labour'!$B$2:$B$20001,MATCH($C233,'JLR Labour'!$A$2:$A$20001,0)),"labour category "&amp;$C233&amp;" — from the machine tab"),""))),"NOT FOUND — check the code"))</f>
        <v/>
      </c>
      <c r="E233" s="30" t="s">
        <v>268</v>
      </c>
    </row>
    <row r="234" spans="1:5" x14ac:dyDescent="0.25">
      <c r="A234" s="28" t="s">
        <v>731</v>
      </c>
      <c r="B234" s="19" t="s">
        <v>732</v>
      </c>
      <c r="C234" s="29"/>
      <c r="D234" s="17" t="str">
        <f>IF($C234="","",IFERROR(IF($E234="machine",INDEX('JLR Machines'!$B$2:$B$20001,MATCH($C234,'JLR Machines'!$A$2:$A$20001,0)),IF($E234="material",INDEX('JLR Materials'!$B$2:$B$20001,MATCH($C234,'JLR Materials'!$A$2:$A$20001,0)),IF($E234="labour",IFERROR(INDEX('JLR Labour'!$B$2:$B$20001,MATCH($C234,'JLR Labour'!$A$2:$A$20001,0)),"labour category "&amp;$C234&amp;" — from the machine tab"),""))),"NOT FOUND — check the code"))</f>
        <v/>
      </c>
      <c r="E234" s="30" t="s">
        <v>268</v>
      </c>
    </row>
    <row r="235" spans="1:5" x14ac:dyDescent="0.25">
      <c r="A235" s="28" t="s">
        <v>733</v>
      </c>
      <c r="B235" s="19" t="s">
        <v>734</v>
      </c>
      <c r="C235" s="29"/>
      <c r="D235" s="17" t="str">
        <f>IF($C235="","",IFERROR(IF($E235="machine",INDEX('JLR Machines'!$B$2:$B$20001,MATCH($C235,'JLR Machines'!$A$2:$A$20001,0)),IF($E235="material",INDEX('JLR Materials'!$B$2:$B$20001,MATCH($C235,'JLR Materials'!$A$2:$A$20001,0)),IF($E235="labour",IFERROR(INDEX('JLR Labour'!$B$2:$B$20001,MATCH($C235,'JLR Labour'!$A$2:$A$20001,0)),"labour category "&amp;$C235&amp;" — from the machine tab"),""))),"NOT FOUND — check the code"))</f>
        <v/>
      </c>
      <c r="E235" s="30" t="s">
        <v>268</v>
      </c>
    </row>
    <row r="236" spans="1:5" x14ac:dyDescent="0.25">
      <c r="A236" s="28" t="s">
        <v>735</v>
      </c>
      <c r="B236" s="19" t="s">
        <v>736</v>
      </c>
      <c r="C236" s="29"/>
      <c r="D236" s="17" t="str">
        <f>IF($C236="","",IFERROR(IF($E236="machine",INDEX('JLR Machines'!$B$2:$B$20001,MATCH($C236,'JLR Machines'!$A$2:$A$20001,0)),IF($E236="material",INDEX('JLR Materials'!$B$2:$B$20001,MATCH($C236,'JLR Materials'!$A$2:$A$20001,0)),IF($E236="labour",IFERROR(INDEX('JLR Labour'!$B$2:$B$20001,MATCH($C236,'JLR Labour'!$A$2:$A$20001,0)),"labour category "&amp;$C236&amp;" — from the machine tab"),""))),"NOT FOUND — check the code"))</f>
        <v/>
      </c>
      <c r="E236" s="30" t="s">
        <v>268</v>
      </c>
    </row>
    <row r="237" spans="1:5" x14ac:dyDescent="0.25">
      <c r="A237" s="28" t="s">
        <v>737</v>
      </c>
      <c r="B237" s="19" t="s">
        <v>738</v>
      </c>
      <c r="C237" s="29"/>
      <c r="D237" s="17" t="str">
        <f>IF($C237="","",IFERROR(IF($E237="machine",INDEX('JLR Machines'!$B$2:$B$20001,MATCH($C237,'JLR Machines'!$A$2:$A$20001,0)),IF($E237="material",INDEX('JLR Materials'!$B$2:$B$20001,MATCH($C237,'JLR Materials'!$A$2:$A$20001,0)),IF($E237="labour",IFERROR(INDEX('JLR Labour'!$B$2:$B$20001,MATCH($C237,'JLR Labour'!$A$2:$A$20001,0)),"labour category "&amp;$C237&amp;" — from the machine tab"),""))),"NOT FOUND — check the code"))</f>
        <v/>
      </c>
      <c r="E237" s="30" t="s">
        <v>268</v>
      </c>
    </row>
    <row r="238" spans="1:5" x14ac:dyDescent="0.25">
      <c r="A238" s="28" t="s">
        <v>739</v>
      </c>
      <c r="B238" s="19" t="s">
        <v>740</v>
      </c>
      <c r="C238" s="29"/>
      <c r="D238" s="17" t="str">
        <f>IF($C238="","",IFERROR(IF($E238="machine",INDEX('JLR Machines'!$B$2:$B$20001,MATCH($C238,'JLR Machines'!$A$2:$A$20001,0)),IF($E238="material",INDEX('JLR Materials'!$B$2:$B$20001,MATCH($C238,'JLR Materials'!$A$2:$A$20001,0)),IF($E238="labour",IFERROR(INDEX('JLR Labour'!$B$2:$B$20001,MATCH($C238,'JLR Labour'!$A$2:$A$20001,0)),"labour category "&amp;$C238&amp;" — from the machine tab"),""))),"NOT FOUND — check the code"))</f>
        <v/>
      </c>
      <c r="E238" s="30" t="s">
        <v>268</v>
      </c>
    </row>
    <row r="239" spans="1:5" x14ac:dyDescent="0.25">
      <c r="A239" s="28" t="s">
        <v>741</v>
      </c>
      <c r="B239" s="19" t="s">
        <v>742</v>
      </c>
      <c r="C239" s="29"/>
      <c r="D239" s="17" t="str">
        <f>IF($C239="","",IFERROR(IF($E239="machine",INDEX('JLR Machines'!$B$2:$B$20001,MATCH($C239,'JLR Machines'!$A$2:$A$20001,0)),IF($E239="material",INDEX('JLR Materials'!$B$2:$B$20001,MATCH($C239,'JLR Materials'!$A$2:$A$20001,0)),IF($E239="labour",IFERROR(INDEX('JLR Labour'!$B$2:$B$20001,MATCH($C239,'JLR Labour'!$A$2:$A$20001,0)),"labour category "&amp;$C239&amp;" — from the machine tab"),""))),"NOT FOUND — check the code"))</f>
        <v/>
      </c>
      <c r="E239" s="30" t="s">
        <v>268</v>
      </c>
    </row>
    <row r="240" spans="1:5" x14ac:dyDescent="0.25">
      <c r="A240" s="28" t="s">
        <v>743</v>
      </c>
      <c r="B240" s="19" t="s">
        <v>744</v>
      </c>
      <c r="C240" s="29"/>
      <c r="D240" s="17" t="str">
        <f>IF($C240="","",IFERROR(IF($E240="machine",INDEX('JLR Machines'!$B$2:$B$20001,MATCH($C240,'JLR Machines'!$A$2:$A$20001,0)),IF($E240="material",INDEX('JLR Materials'!$B$2:$B$20001,MATCH($C240,'JLR Materials'!$A$2:$A$20001,0)),IF($E240="labour",IFERROR(INDEX('JLR Labour'!$B$2:$B$20001,MATCH($C240,'JLR Labour'!$A$2:$A$20001,0)),"labour category "&amp;$C240&amp;" — from the machine tab"),""))),"NOT FOUND — check the code"))</f>
        <v/>
      </c>
      <c r="E240" s="30" t="s">
        <v>268</v>
      </c>
    </row>
    <row r="241" spans="1:5" x14ac:dyDescent="0.25">
      <c r="A241" s="28" t="s">
        <v>745</v>
      </c>
      <c r="B241" s="19" t="s">
        <v>746</v>
      </c>
      <c r="C241" s="29"/>
      <c r="D241" s="17" t="str">
        <f>IF($C241="","",IFERROR(IF($E241="machine",INDEX('JLR Machines'!$B$2:$B$20001,MATCH($C241,'JLR Machines'!$A$2:$A$20001,0)),IF($E241="material",INDEX('JLR Materials'!$B$2:$B$20001,MATCH($C241,'JLR Materials'!$A$2:$A$20001,0)),IF($E241="labour",IFERROR(INDEX('JLR Labour'!$B$2:$B$20001,MATCH($C241,'JLR Labour'!$A$2:$A$20001,0)),"labour category "&amp;$C241&amp;" — from the machine tab"),""))),"NOT FOUND — check the code"))</f>
        <v/>
      </c>
      <c r="E241" s="30" t="s">
        <v>268</v>
      </c>
    </row>
    <row r="242" spans="1:5" x14ac:dyDescent="0.25">
      <c r="A242" s="28" t="s">
        <v>747</v>
      </c>
      <c r="B242" s="19" t="s">
        <v>748</v>
      </c>
      <c r="C242" s="29"/>
      <c r="D242" s="17" t="str">
        <f>IF($C242="","",IFERROR(IF($E242="machine",INDEX('JLR Machines'!$B$2:$B$20001,MATCH($C242,'JLR Machines'!$A$2:$A$20001,0)),IF($E242="material",INDEX('JLR Materials'!$B$2:$B$20001,MATCH($C242,'JLR Materials'!$A$2:$A$20001,0)),IF($E242="labour",IFERROR(INDEX('JLR Labour'!$B$2:$B$20001,MATCH($C242,'JLR Labour'!$A$2:$A$20001,0)),"labour category "&amp;$C242&amp;" — from the machine tab"),""))),"NOT FOUND — check the code"))</f>
        <v/>
      </c>
      <c r="E242" s="30" t="s">
        <v>268</v>
      </c>
    </row>
    <row r="243" spans="1:5" x14ac:dyDescent="0.25">
      <c r="A243" s="28" t="s">
        <v>749</v>
      </c>
      <c r="B243" s="19" t="s">
        <v>750</v>
      </c>
      <c r="C243" s="29"/>
      <c r="D243" s="17" t="str">
        <f>IF($C243="","",IFERROR(IF($E243="machine",INDEX('JLR Machines'!$B$2:$B$20001,MATCH($C243,'JLR Machines'!$A$2:$A$20001,0)),IF($E243="material",INDEX('JLR Materials'!$B$2:$B$20001,MATCH($C243,'JLR Materials'!$A$2:$A$20001,0)),IF($E243="labour",IFERROR(INDEX('JLR Labour'!$B$2:$B$20001,MATCH($C243,'JLR Labour'!$A$2:$A$20001,0)),"labour category "&amp;$C243&amp;" — from the machine tab"),""))),"NOT FOUND — check the code"))</f>
        <v/>
      </c>
      <c r="E243" s="30" t="s">
        <v>268</v>
      </c>
    </row>
    <row r="244" spans="1:5" x14ac:dyDescent="0.25">
      <c r="A244" s="28" t="s">
        <v>751</v>
      </c>
      <c r="B244" s="19" t="s">
        <v>752</v>
      </c>
      <c r="C244" s="29"/>
      <c r="D244" s="17" t="str">
        <f>IF($C244="","",IFERROR(IF($E244="machine",INDEX('JLR Machines'!$B$2:$B$20001,MATCH($C244,'JLR Machines'!$A$2:$A$20001,0)),IF($E244="material",INDEX('JLR Materials'!$B$2:$B$20001,MATCH($C244,'JLR Materials'!$A$2:$A$20001,0)),IF($E244="labour",IFERROR(INDEX('JLR Labour'!$B$2:$B$20001,MATCH($C244,'JLR Labour'!$A$2:$A$20001,0)),"labour category "&amp;$C244&amp;" — from the machine tab"),""))),"NOT FOUND — check the code"))</f>
        <v/>
      </c>
      <c r="E244" s="30" t="s">
        <v>268</v>
      </c>
    </row>
    <row r="245" spans="1:5" x14ac:dyDescent="0.25">
      <c r="A245" s="28" t="s">
        <v>753</v>
      </c>
      <c r="B245" s="19" t="s">
        <v>754</v>
      </c>
      <c r="C245" s="29"/>
      <c r="D245" s="17" t="str">
        <f>IF($C245="","",IFERROR(IF($E245="machine",INDEX('JLR Machines'!$B$2:$B$20001,MATCH($C245,'JLR Machines'!$A$2:$A$20001,0)),IF($E245="material",INDEX('JLR Materials'!$B$2:$B$20001,MATCH($C245,'JLR Materials'!$A$2:$A$20001,0)),IF($E245="labour",IFERROR(INDEX('JLR Labour'!$B$2:$B$20001,MATCH($C245,'JLR Labour'!$A$2:$A$20001,0)),"labour category "&amp;$C245&amp;" — from the machine tab"),""))),"NOT FOUND — check the code"))</f>
        <v/>
      </c>
      <c r="E245" s="30" t="s">
        <v>268</v>
      </c>
    </row>
    <row r="246" spans="1:5" x14ac:dyDescent="0.25">
      <c r="A246" s="28" t="s">
        <v>755</v>
      </c>
      <c r="B246" s="19" t="s">
        <v>756</v>
      </c>
      <c r="C246" s="29"/>
      <c r="D246" s="17" t="str">
        <f>IF($C246="","",IFERROR(IF($E246="machine",INDEX('JLR Machines'!$B$2:$B$20001,MATCH($C246,'JLR Machines'!$A$2:$A$20001,0)),IF($E246="material",INDEX('JLR Materials'!$B$2:$B$20001,MATCH($C246,'JLR Materials'!$A$2:$A$20001,0)),IF($E246="labour",IFERROR(INDEX('JLR Labour'!$B$2:$B$20001,MATCH($C246,'JLR Labour'!$A$2:$A$20001,0)),"labour category "&amp;$C246&amp;" — from the machine tab"),""))),"NOT FOUND — check the code"))</f>
        <v/>
      </c>
      <c r="E246" s="30" t="s">
        <v>268</v>
      </c>
    </row>
    <row r="247" spans="1:5" x14ac:dyDescent="0.25">
      <c r="A247" s="28" t="s">
        <v>757</v>
      </c>
      <c r="B247" s="19" t="s">
        <v>758</v>
      </c>
      <c r="C247" s="29"/>
      <c r="D247" s="17" t="str">
        <f>IF($C247="","",IFERROR(IF($E247="machine",INDEX('JLR Machines'!$B$2:$B$20001,MATCH($C247,'JLR Machines'!$A$2:$A$20001,0)),IF($E247="material",INDEX('JLR Materials'!$B$2:$B$20001,MATCH($C247,'JLR Materials'!$A$2:$A$20001,0)),IF($E247="labour",IFERROR(INDEX('JLR Labour'!$B$2:$B$20001,MATCH($C247,'JLR Labour'!$A$2:$A$20001,0)),"labour category "&amp;$C247&amp;" — from the machine tab"),""))),"NOT FOUND — check the code"))</f>
        <v/>
      </c>
      <c r="E247" s="30" t="s">
        <v>268</v>
      </c>
    </row>
    <row r="248" spans="1:5" x14ac:dyDescent="0.25">
      <c r="A248" s="28" t="s">
        <v>759</v>
      </c>
      <c r="B248" s="19" t="s">
        <v>760</v>
      </c>
      <c r="C248" s="29"/>
      <c r="D248" s="17" t="str">
        <f>IF($C248="","",IFERROR(IF($E248="machine",INDEX('JLR Machines'!$B$2:$B$20001,MATCH($C248,'JLR Machines'!$A$2:$A$20001,0)),IF($E248="material",INDEX('JLR Materials'!$B$2:$B$20001,MATCH($C248,'JLR Materials'!$A$2:$A$20001,0)),IF($E248="labour",IFERROR(INDEX('JLR Labour'!$B$2:$B$20001,MATCH($C248,'JLR Labour'!$A$2:$A$20001,0)),"labour category "&amp;$C248&amp;" — from the machine tab"),""))),"NOT FOUND — check the code"))</f>
        <v/>
      </c>
      <c r="E248" s="30" t="s">
        <v>268</v>
      </c>
    </row>
    <row r="249" spans="1:5" x14ac:dyDescent="0.25">
      <c r="A249" s="28" t="s">
        <v>761</v>
      </c>
      <c r="B249" s="19" t="s">
        <v>762</v>
      </c>
      <c r="C249" s="29"/>
      <c r="D249" s="17" t="str">
        <f>IF($C249="","",IFERROR(IF($E249="machine",INDEX('JLR Machines'!$B$2:$B$20001,MATCH($C249,'JLR Machines'!$A$2:$A$20001,0)),IF($E249="material",INDEX('JLR Materials'!$B$2:$B$20001,MATCH($C249,'JLR Materials'!$A$2:$A$20001,0)),IF($E249="labour",IFERROR(INDEX('JLR Labour'!$B$2:$B$20001,MATCH($C249,'JLR Labour'!$A$2:$A$20001,0)),"labour category "&amp;$C249&amp;" — from the machine tab"),""))),"NOT FOUND — check the code"))</f>
        <v/>
      </c>
      <c r="E249" s="30" t="s">
        <v>268</v>
      </c>
    </row>
    <row r="250" spans="1:5" x14ac:dyDescent="0.25">
      <c r="A250" s="28" t="s">
        <v>763</v>
      </c>
      <c r="B250" s="19" t="s">
        <v>764</v>
      </c>
      <c r="C250" s="29"/>
      <c r="D250" s="17" t="str">
        <f>IF($C250="","",IFERROR(IF($E250="machine",INDEX('JLR Machines'!$B$2:$B$20001,MATCH($C250,'JLR Machines'!$A$2:$A$20001,0)),IF($E250="material",INDEX('JLR Materials'!$B$2:$B$20001,MATCH($C250,'JLR Materials'!$A$2:$A$20001,0)),IF($E250="labour",IFERROR(INDEX('JLR Labour'!$B$2:$B$20001,MATCH($C250,'JLR Labour'!$A$2:$A$20001,0)),"labour category "&amp;$C250&amp;" — from the machine tab"),""))),"NOT FOUND — check the code"))</f>
        <v/>
      </c>
      <c r="E250" s="30" t="s">
        <v>268</v>
      </c>
    </row>
    <row r="251" spans="1:5" x14ac:dyDescent="0.25">
      <c r="A251" s="28" t="s">
        <v>765</v>
      </c>
      <c r="B251" s="19" t="s">
        <v>766</v>
      </c>
      <c r="C251" s="29"/>
      <c r="D251" s="17" t="str">
        <f>IF($C251="","",IFERROR(IF($E251="machine",INDEX('JLR Machines'!$B$2:$B$20001,MATCH($C251,'JLR Machines'!$A$2:$A$20001,0)),IF($E251="material",INDEX('JLR Materials'!$B$2:$B$20001,MATCH($C251,'JLR Materials'!$A$2:$A$20001,0)),IF($E251="labour",IFERROR(INDEX('JLR Labour'!$B$2:$B$20001,MATCH($C251,'JLR Labour'!$A$2:$A$20001,0)),"labour category "&amp;$C251&amp;" — from the machine tab"),""))),"NOT FOUND — check the code"))</f>
        <v/>
      </c>
      <c r="E251" s="30" t="s">
        <v>268</v>
      </c>
    </row>
    <row r="252" spans="1:5" x14ac:dyDescent="0.25">
      <c r="A252" s="28" t="s">
        <v>767</v>
      </c>
      <c r="B252" s="19" t="s">
        <v>768</v>
      </c>
      <c r="C252" s="29"/>
      <c r="D252" s="17" t="str">
        <f>IF($C252="","",IFERROR(IF($E252="machine",INDEX('JLR Machines'!$B$2:$B$20001,MATCH($C252,'JLR Machines'!$A$2:$A$20001,0)),IF($E252="material",INDEX('JLR Materials'!$B$2:$B$20001,MATCH($C252,'JLR Materials'!$A$2:$A$20001,0)),IF($E252="labour",IFERROR(INDEX('JLR Labour'!$B$2:$B$20001,MATCH($C252,'JLR Labour'!$A$2:$A$20001,0)),"labour category "&amp;$C252&amp;" — from the machine tab"),""))),"NOT FOUND — check the code"))</f>
        <v/>
      </c>
      <c r="E252" s="30" t="s">
        <v>268</v>
      </c>
    </row>
    <row r="253" spans="1:5" x14ac:dyDescent="0.25">
      <c r="A253" s="28" t="s">
        <v>769</v>
      </c>
      <c r="B253" s="19" t="s">
        <v>770</v>
      </c>
      <c r="C253" s="29"/>
      <c r="D253" s="17" t="str">
        <f>IF($C253="","",IFERROR(IF($E253="machine",INDEX('JLR Machines'!$B$2:$B$20001,MATCH($C253,'JLR Machines'!$A$2:$A$20001,0)),IF($E253="material",INDEX('JLR Materials'!$B$2:$B$20001,MATCH($C253,'JLR Materials'!$A$2:$A$20001,0)),IF($E253="labour",IFERROR(INDEX('JLR Labour'!$B$2:$B$20001,MATCH($C253,'JLR Labour'!$A$2:$A$20001,0)),"labour category "&amp;$C253&amp;" — from the machine tab"),""))),"NOT FOUND — check the code"))</f>
        <v/>
      </c>
      <c r="E253" s="30" t="s">
        <v>268</v>
      </c>
    </row>
    <row r="254" spans="1:5" x14ac:dyDescent="0.25">
      <c r="A254" s="28" t="s">
        <v>771</v>
      </c>
      <c r="B254" s="19" t="s">
        <v>772</v>
      </c>
      <c r="C254" s="29"/>
      <c r="D254" s="17" t="str">
        <f>IF($C254="","",IFERROR(IF($E254="machine",INDEX('JLR Machines'!$B$2:$B$20001,MATCH($C254,'JLR Machines'!$A$2:$A$20001,0)),IF($E254="material",INDEX('JLR Materials'!$B$2:$B$20001,MATCH($C254,'JLR Materials'!$A$2:$A$20001,0)),IF($E254="labour",IFERROR(INDEX('JLR Labour'!$B$2:$B$20001,MATCH($C254,'JLR Labour'!$A$2:$A$20001,0)),"labour category "&amp;$C254&amp;" — from the machine tab"),""))),"NOT FOUND — check the code"))</f>
        <v/>
      </c>
      <c r="E254" s="30" t="s">
        <v>268</v>
      </c>
    </row>
    <row r="255" spans="1:5" x14ac:dyDescent="0.25">
      <c r="A255" s="28" t="s">
        <v>773</v>
      </c>
      <c r="B255" s="19" t="s">
        <v>774</v>
      </c>
      <c r="C255" s="29"/>
      <c r="D255" s="17" t="str">
        <f>IF($C255="","",IFERROR(IF($E255="machine",INDEX('JLR Machines'!$B$2:$B$20001,MATCH($C255,'JLR Machines'!$A$2:$A$20001,0)),IF($E255="material",INDEX('JLR Materials'!$B$2:$B$20001,MATCH($C255,'JLR Materials'!$A$2:$A$20001,0)),IF($E255="labour",IFERROR(INDEX('JLR Labour'!$B$2:$B$20001,MATCH($C255,'JLR Labour'!$A$2:$A$20001,0)),"labour category "&amp;$C255&amp;" — from the machine tab"),""))),"NOT FOUND — check the code"))</f>
        <v/>
      </c>
      <c r="E255" s="30" t="s">
        <v>268</v>
      </c>
    </row>
    <row r="256" spans="1:5" x14ac:dyDescent="0.25">
      <c r="A256" s="28" t="s">
        <v>775</v>
      </c>
      <c r="B256" s="19" t="s">
        <v>776</v>
      </c>
      <c r="C256" s="29"/>
      <c r="D256" s="17" t="str">
        <f>IF($C256="","",IFERROR(IF($E256="machine",INDEX('JLR Machines'!$B$2:$B$20001,MATCH($C256,'JLR Machines'!$A$2:$A$20001,0)),IF($E256="material",INDEX('JLR Materials'!$B$2:$B$20001,MATCH($C256,'JLR Materials'!$A$2:$A$20001,0)),IF($E256="labour",IFERROR(INDEX('JLR Labour'!$B$2:$B$20001,MATCH($C256,'JLR Labour'!$A$2:$A$20001,0)),"labour category "&amp;$C256&amp;" — from the machine tab"),""))),"NOT FOUND — check the code"))</f>
        <v/>
      </c>
      <c r="E256" s="30" t="s">
        <v>268</v>
      </c>
    </row>
    <row r="257" spans="1:5" x14ac:dyDescent="0.25">
      <c r="A257" s="28" t="s">
        <v>777</v>
      </c>
      <c r="B257" s="19" t="s">
        <v>778</v>
      </c>
      <c r="C257" s="29"/>
      <c r="D257" s="17" t="str">
        <f>IF($C257="","",IFERROR(IF($E257="machine",INDEX('JLR Machines'!$B$2:$B$20001,MATCH($C257,'JLR Machines'!$A$2:$A$20001,0)),IF($E257="material",INDEX('JLR Materials'!$B$2:$B$20001,MATCH($C257,'JLR Materials'!$A$2:$A$20001,0)),IF($E257="labour",IFERROR(INDEX('JLR Labour'!$B$2:$B$20001,MATCH($C257,'JLR Labour'!$A$2:$A$20001,0)),"labour category "&amp;$C257&amp;" — from the machine tab"),""))),"NOT FOUND — check the code"))</f>
        <v/>
      </c>
      <c r="E257" s="30" t="s">
        <v>268</v>
      </c>
    </row>
    <row r="258" spans="1:5" x14ac:dyDescent="0.25">
      <c r="A258" s="28" t="s">
        <v>779</v>
      </c>
      <c r="B258" s="19" t="s">
        <v>780</v>
      </c>
      <c r="C258" s="29"/>
      <c r="D258" s="17" t="str">
        <f>IF($C258="","",IFERROR(IF($E258="machine",INDEX('JLR Machines'!$B$2:$B$20001,MATCH($C258,'JLR Machines'!$A$2:$A$20001,0)),IF($E258="material",INDEX('JLR Materials'!$B$2:$B$20001,MATCH($C258,'JLR Materials'!$A$2:$A$20001,0)),IF($E258="labour",IFERROR(INDEX('JLR Labour'!$B$2:$B$20001,MATCH($C258,'JLR Labour'!$A$2:$A$20001,0)),"labour category "&amp;$C258&amp;" — from the machine tab"),""))),"NOT FOUND — check the code"))</f>
        <v/>
      </c>
      <c r="E258" s="30" t="s">
        <v>268</v>
      </c>
    </row>
    <row r="259" spans="1:5" x14ac:dyDescent="0.25">
      <c r="A259" s="28" t="s">
        <v>781</v>
      </c>
      <c r="B259" s="19" t="s">
        <v>782</v>
      </c>
      <c r="C259" s="29"/>
      <c r="D259" s="17" t="str">
        <f>IF($C259="","",IFERROR(IF($E259="machine",INDEX('JLR Machines'!$B$2:$B$20001,MATCH($C259,'JLR Machines'!$A$2:$A$20001,0)),IF($E259="material",INDEX('JLR Materials'!$B$2:$B$20001,MATCH($C259,'JLR Materials'!$A$2:$A$20001,0)),IF($E259="labour",IFERROR(INDEX('JLR Labour'!$B$2:$B$20001,MATCH($C259,'JLR Labour'!$A$2:$A$20001,0)),"labour category "&amp;$C259&amp;" — from the machine tab"),""))),"NOT FOUND — check the code"))</f>
        <v/>
      </c>
      <c r="E259" s="30" t="s">
        <v>268</v>
      </c>
    </row>
    <row r="260" spans="1:5" x14ac:dyDescent="0.25">
      <c r="A260" s="28" t="s">
        <v>783</v>
      </c>
      <c r="B260" s="19" t="s">
        <v>784</v>
      </c>
      <c r="C260" s="29"/>
      <c r="D260" s="17" t="str">
        <f>IF($C260="","",IFERROR(IF($E260="machine",INDEX('JLR Machines'!$B$2:$B$20001,MATCH($C260,'JLR Machines'!$A$2:$A$20001,0)),IF($E260="material",INDEX('JLR Materials'!$B$2:$B$20001,MATCH($C260,'JLR Materials'!$A$2:$A$20001,0)),IF($E260="labour",IFERROR(INDEX('JLR Labour'!$B$2:$B$20001,MATCH($C260,'JLR Labour'!$A$2:$A$20001,0)),"labour category "&amp;$C260&amp;" — from the machine tab"),""))),"NOT FOUND — check the code"))</f>
        <v/>
      </c>
      <c r="E260" s="30" t="s">
        <v>268</v>
      </c>
    </row>
    <row r="261" spans="1:5" x14ac:dyDescent="0.25">
      <c r="A261" s="28" t="s">
        <v>785</v>
      </c>
      <c r="B261" s="19" t="s">
        <v>786</v>
      </c>
      <c r="C261" s="29"/>
      <c r="D261" s="17" t="str">
        <f>IF($C261="","",IFERROR(IF($E261="machine",INDEX('JLR Machines'!$B$2:$B$20001,MATCH($C261,'JLR Machines'!$A$2:$A$20001,0)),IF($E261="material",INDEX('JLR Materials'!$B$2:$B$20001,MATCH($C261,'JLR Materials'!$A$2:$A$20001,0)),IF($E261="labour",IFERROR(INDEX('JLR Labour'!$B$2:$B$20001,MATCH($C261,'JLR Labour'!$A$2:$A$20001,0)),"labour category "&amp;$C261&amp;" — from the machine tab"),""))),"NOT FOUND — check the code"))</f>
        <v/>
      </c>
      <c r="E261" s="30" t="s">
        <v>268</v>
      </c>
    </row>
    <row r="262" spans="1:5" x14ac:dyDescent="0.25">
      <c r="A262" s="28" t="s">
        <v>787</v>
      </c>
      <c r="B262" s="19" t="s">
        <v>788</v>
      </c>
      <c r="C262" s="29"/>
      <c r="D262" s="17" t="str">
        <f>IF($C262="","",IFERROR(IF($E262="machine",INDEX('JLR Machines'!$B$2:$B$20001,MATCH($C262,'JLR Machines'!$A$2:$A$20001,0)),IF($E262="material",INDEX('JLR Materials'!$B$2:$B$20001,MATCH($C262,'JLR Materials'!$A$2:$A$20001,0)),IF($E262="labour",IFERROR(INDEX('JLR Labour'!$B$2:$B$20001,MATCH($C262,'JLR Labour'!$A$2:$A$20001,0)),"labour category "&amp;$C262&amp;" — from the machine tab"),""))),"NOT FOUND — check the code"))</f>
        <v/>
      </c>
      <c r="E262" s="30" t="s">
        <v>268</v>
      </c>
    </row>
    <row r="263" spans="1:5" x14ac:dyDescent="0.25">
      <c r="A263" s="28" t="s">
        <v>789</v>
      </c>
      <c r="B263" s="19" t="s">
        <v>790</v>
      </c>
      <c r="C263" s="29"/>
      <c r="D263" s="17" t="str">
        <f>IF($C263="","",IFERROR(IF($E263="machine",INDEX('JLR Machines'!$B$2:$B$20001,MATCH($C263,'JLR Machines'!$A$2:$A$20001,0)),IF($E263="material",INDEX('JLR Materials'!$B$2:$B$20001,MATCH($C263,'JLR Materials'!$A$2:$A$20001,0)),IF($E263="labour",IFERROR(INDEX('JLR Labour'!$B$2:$B$20001,MATCH($C263,'JLR Labour'!$A$2:$A$20001,0)),"labour category "&amp;$C263&amp;" — from the machine tab"),""))),"NOT FOUND — check the code"))</f>
        <v/>
      </c>
      <c r="E263" s="30" t="s">
        <v>268</v>
      </c>
    </row>
    <row r="264" spans="1:5" x14ac:dyDescent="0.25">
      <c r="A264" s="28" t="s">
        <v>791</v>
      </c>
      <c r="B264" s="19" t="s">
        <v>792</v>
      </c>
      <c r="C264" s="29"/>
      <c r="D264" s="17" t="str">
        <f>IF($C264="","",IFERROR(IF($E264="machine",INDEX('JLR Machines'!$B$2:$B$20001,MATCH($C264,'JLR Machines'!$A$2:$A$20001,0)),IF($E264="material",INDEX('JLR Materials'!$B$2:$B$20001,MATCH($C264,'JLR Materials'!$A$2:$A$20001,0)),IF($E264="labour",IFERROR(INDEX('JLR Labour'!$B$2:$B$20001,MATCH($C264,'JLR Labour'!$A$2:$A$20001,0)),"labour category "&amp;$C264&amp;" — from the machine tab"),""))),"NOT FOUND — check the code"))</f>
        <v/>
      </c>
      <c r="E264" s="30" t="s">
        <v>268</v>
      </c>
    </row>
    <row r="265" spans="1:5" x14ac:dyDescent="0.25">
      <c r="A265" s="28" t="s">
        <v>793</v>
      </c>
      <c r="B265" s="19" t="s">
        <v>794</v>
      </c>
      <c r="C265" s="29"/>
      <c r="D265" s="17" t="str">
        <f>IF($C265="","",IFERROR(IF($E265="machine",INDEX('JLR Machines'!$B$2:$B$20001,MATCH($C265,'JLR Machines'!$A$2:$A$20001,0)),IF($E265="material",INDEX('JLR Materials'!$B$2:$B$20001,MATCH($C265,'JLR Materials'!$A$2:$A$20001,0)),IF($E265="labour",IFERROR(INDEX('JLR Labour'!$B$2:$B$20001,MATCH($C265,'JLR Labour'!$A$2:$A$20001,0)),"labour category "&amp;$C265&amp;" — from the machine tab"),""))),"NOT FOUND — check the code"))</f>
        <v/>
      </c>
      <c r="E265" s="30" t="s">
        <v>268</v>
      </c>
    </row>
    <row r="266" spans="1:5" x14ac:dyDescent="0.25">
      <c r="A266" s="28" t="s">
        <v>795</v>
      </c>
      <c r="B266" s="19" t="s">
        <v>796</v>
      </c>
      <c r="C266" s="29"/>
      <c r="D266" s="17" t="str">
        <f>IF($C266="","",IFERROR(IF($E266="machine",INDEX('JLR Machines'!$B$2:$B$20001,MATCH($C266,'JLR Machines'!$A$2:$A$20001,0)),IF($E266="material",INDEX('JLR Materials'!$B$2:$B$20001,MATCH($C266,'JLR Materials'!$A$2:$A$20001,0)),IF($E266="labour",IFERROR(INDEX('JLR Labour'!$B$2:$B$20001,MATCH($C266,'JLR Labour'!$A$2:$A$20001,0)),"labour category "&amp;$C266&amp;" — from the machine tab"),""))),"NOT FOUND — check the code"))</f>
        <v/>
      </c>
      <c r="E266" s="30" t="s">
        <v>268</v>
      </c>
    </row>
    <row r="267" spans="1:5" x14ac:dyDescent="0.25">
      <c r="A267" s="28" t="s">
        <v>797</v>
      </c>
      <c r="B267" s="19" t="s">
        <v>798</v>
      </c>
      <c r="C267" s="29"/>
      <c r="D267" s="17" t="str">
        <f>IF($C267="","",IFERROR(IF($E267="machine",INDEX('JLR Machines'!$B$2:$B$20001,MATCH($C267,'JLR Machines'!$A$2:$A$20001,0)),IF($E267="material",INDEX('JLR Materials'!$B$2:$B$20001,MATCH($C267,'JLR Materials'!$A$2:$A$20001,0)),IF($E267="labour",IFERROR(INDEX('JLR Labour'!$B$2:$B$20001,MATCH($C267,'JLR Labour'!$A$2:$A$20001,0)),"labour category "&amp;$C267&amp;" — from the machine tab"),""))),"NOT FOUND — check the code"))</f>
        <v/>
      </c>
      <c r="E267" s="30" t="s">
        <v>268</v>
      </c>
    </row>
    <row r="268" spans="1:5" x14ac:dyDescent="0.25">
      <c r="A268" s="28" t="s">
        <v>799</v>
      </c>
      <c r="B268" s="19" t="s">
        <v>800</v>
      </c>
      <c r="C268" s="29"/>
      <c r="D268" s="17" t="str">
        <f>IF($C268="","",IFERROR(IF($E268="machine",INDEX('JLR Machines'!$B$2:$B$20001,MATCH($C268,'JLR Machines'!$A$2:$A$20001,0)),IF($E268="material",INDEX('JLR Materials'!$B$2:$B$20001,MATCH($C268,'JLR Materials'!$A$2:$A$20001,0)),IF($E268="labour",IFERROR(INDEX('JLR Labour'!$B$2:$B$20001,MATCH($C268,'JLR Labour'!$A$2:$A$20001,0)),"labour category "&amp;$C268&amp;" — from the machine tab"),""))),"NOT FOUND — check the code"))</f>
        <v/>
      </c>
      <c r="E268" s="30" t="s">
        <v>268</v>
      </c>
    </row>
    <row r="269" spans="1:5" x14ac:dyDescent="0.25">
      <c r="A269" s="28" t="s">
        <v>801</v>
      </c>
      <c r="B269" s="19" t="s">
        <v>802</v>
      </c>
      <c r="C269" s="29"/>
      <c r="D269" s="17" t="str">
        <f>IF($C269="","",IFERROR(IF($E269="machine",INDEX('JLR Machines'!$B$2:$B$20001,MATCH($C269,'JLR Machines'!$A$2:$A$20001,0)),IF($E269="material",INDEX('JLR Materials'!$B$2:$B$20001,MATCH($C269,'JLR Materials'!$A$2:$A$20001,0)),IF($E269="labour",IFERROR(INDEX('JLR Labour'!$B$2:$B$20001,MATCH($C269,'JLR Labour'!$A$2:$A$20001,0)),"labour category "&amp;$C269&amp;" — from the machine tab"),""))),"NOT FOUND — check the code"))</f>
        <v/>
      </c>
      <c r="E269" s="30" t="s">
        <v>268</v>
      </c>
    </row>
    <row r="270" spans="1:5" x14ac:dyDescent="0.25">
      <c r="A270" s="28" t="s">
        <v>803</v>
      </c>
      <c r="B270" s="19" t="s">
        <v>804</v>
      </c>
      <c r="C270" s="29"/>
      <c r="D270" s="17" t="str">
        <f>IF($C270="","",IFERROR(IF($E270="machine",INDEX('JLR Machines'!$B$2:$B$20001,MATCH($C270,'JLR Machines'!$A$2:$A$20001,0)),IF($E270="material",INDEX('JLR Materials'!$B$2:$B$20001,MATCH($C270,'JLR Materials'!$A$2:$A$20001,0)),IF($E270="labour",IFERROR(INDEX('JLR Labour'!$B$2:$B$20001,MATCH($C270,'JLR Labour'!$A$2:$A$20001,0)),"labour category "&amp;$C270&amp;" — from the machine tab"),""))),"NOT FOUND — check the code"))</f>
        <v/>
      </c>
      <c r="E270" s="30" t="s">
        <v>268</v>
      </c>
    </row>
    <row r="271" spans="1:5" x14ac:dyDescent="0.25">
      <c r="A271" s="28" t="s">
        <v>805</v>
      </c>
      <c r="B271" s="19" t="s">
        <v>806</v>
      </c>
      <c r="C271" s="29"/>
      <c r="D271" s="17" t="str">
        <f>IF($C271="","",IFERROR(IF($E271="machine",INDEX('JLR Machines'!$B$2:$B$20001,MATCH($C271,'JLR Machines'!$A$2:$A$20001,0)),IF($E271="material",INDEX('JLR Materials'!$B$2:$B$20001,MATCH($C271,'JLR Materials'!$A$2:$A$20001,0)),IF($E271="labour",IFERROR(INDEX('JLR Labour'!$B$2:$B$20001,MATCH($C271,'JLR Labour'!$A$2:$A$20001,0)),"labour category "&amp;$C271&amp;" — from the machine tab"),""))),"NOT FOUND — check the code"))</f>
        <v/>
      </c>
      <c r="E271" s="30" t="s">
        <v>268</v>
      </c>
    </row>
    <row r="272" spans="1:5" x14ac:dyDescent="0.25">
      <c r="A272" s="28" t="s">
        <v>807</v>
      </c>
      <c r="B272" s="19" t="s">
        <v>808</v>
      </c>
      <c r="C272" s="29"/>
      <c r="D272" s="17" t="str">
        <f>IF($C272="","",IFERROR(IF($E272="machine",INDEX('JLR Machines'!$B$2:$B$20001,MATCH($C272,'JLR Machines'!$A$2:$A$20001,0)),IF($E272="material",INDEX('JLR Materials'!$B$2:$B$20001,MATCH($C272,'JLR Materials'!$A$2:$A$20001,0)),IF($E272="labour",IFERROR(INDEX('JLR Labour'!$B$2:$B$20001,MATCH($C272,'JLR Labour'!$A$2:$A$20001,0)),"labour category "&amp;$C272&amp;" — from the machine tab"),""))),"NOT FOUND — check the code"))</f>
        <v/>
      </c>
      <c r="E272" s="30" t="s">
        <v>268</v>
      </c>
    </row>
    <row r="273" spans="1:5" x14ac:dyDescent="0.25">
      <c r="A273" s="28" t="s">
        <v>809</v>
      </c>
      <c r="B273" s="19" t="s">
        <v>810</v>
      </c>
      <c r="C273" s="29"/>
      <c r="D273" s="17" t="str">
        <f>IF($C273="","",IFERROR(IF($E273="machine",INDEX('JLR Machines'!$B$2:$B$20001,MATCH($C273,'JLR Machines'!$A$2:$A$20001,0)),IF($E273="material",INDEX('JLR Materials'!$B$2:$B$20001,MATCH($C273,'JLR Materials'!$A$2:$A$20001,0)),IF($E273="labour",IFERROR(INDEX('JLR Labour'!$B$2:$B$20001,MATCH($C273,'JLR Labour'!$A$2:$A$20001,0)),"labour category "&amp;$C273&amp;" — from the machine tab"),""))),"NOT FOUND — check the code"))</f>
        <v/>
      </c>
      <c r="E273" s="30" t="s">
        <v>268</v>
      </c>
    </row>
    <row r="274" spans="1:5" x14ac:dyDescent="0.25">
      <c r="A274" s="28" t="s">
        <v>811</v>
      </c>
      <c r="B274" s="19" t="s">
        <v>812</v>
      </c>
      <c r="C274" s="29"/>
      <c r="D274" s="17" t="str">
        <f>IF($C274="","",IFERROR(IF($E274="machine",INDEX('JLR Machines'!$B$2:$B$20001,MATCH($C274,'JLR Machines'!$A$2:$A$20001,0)),IF($E274="material",INDEX('JLR Materials'!$B$2:$B$20001,MATCH($C274,'JLR Materials'!$A$2:$A$20001,0)),IF($E274="labour",IFERROR(INDEX('JLR Labour'!$B$2:$B$20001,MATCH($C274,'JLR Labour'!$A$2:$A$20001,0)),"labour category "&amp;$C274&amp;" — from the machine tab"),""))),"NOT FOUND — check the code"))</f>
        <v/>
      </c>
      <c r="E274" s="30" t="s">
        <v>268</v>
      </c>
    </row>
    <row r="275" spans="1:5" x14ac:dyDescent="0.25">
      <c r="A275" s="28" t="s">
        <v>813</v>
      </c>
      <c r="B275" s="19" t="s">
        <v>814</v>
      </c>
      <c r="C275" s="29"/>
      <c r="D275" s="17" t="str">
        <f>IF($C275="","",IFERROR(IF($E275="machine",INDEX('JLR Machines'!$B$2:$B$20001,MATCH($C275,'JLR Machines'!$A$2:$A$20001,0)),IF($E275="material",INDEX('JLR Materials'!$B$2:$B$20001,MATCH($C275,'JLR Materials'!$A$2:$A$20001,0)),IF($E275="labour",IFERROR(INDEX('JLR Labour'!$B$2:$B$20001,MATCH($C275,'JLR Labour'!$A$2:$A$20001,0)),"labour category "&amp;$C275&amp;" — from the machine tab"),""))),"NOT FOUND — check the code"))</f>
        <v/>
      </c>
      <c r="E275" s="30" t="s">
        <v>268</v>
      </c>
    </row>
    <row r="276" spans="1:5" x14ac:dyDescent="0.25">
      <c r="A276" s="28" t="s">
        <v>815</v>
      </c>
      <c r="B276" s="19" t="s">
        <v>816</v>
      </c>
      <c r="C276" s="29"/>
      <c r="D276" s="17" t="str">
        <f>IF($C276="","",IFERROR(IF($E276="machine",INDEX('JLR Machines'!$B$2:$B$20001,MATCH($C276,'JLR Machines'!$A$2:$A$20001,0)),IF($E276="material",INDEX('JLR Materials'!$B$2:$B$20001,MATCH($C276,'JLR Materials'!$A$2:$A$20001,0)),IF($E276="labour",IFERROR(INDEX('JLR Labour'!$B$2:$B$20001,MATCH($C276,'JLR Labour'!$A$2:$A$20001,0)),"labour category "&amp;$C276&amp;" — from the machine tab"),""))),"NOT FOUND — check the code"))</f>
        <v/>
      </c>
      <c r="E276" s="30" t="s">
        <v>268</v>
      </c>
    </row>
    <row r="277" spans="1:5" x14ac:dyDescent="0.25">
      <c r="A277" s="28" t="s">
        <v>817</v>
      </c>
      <c r="B277" s="19" t="s">
        <v>818</v>
      </c>
      <c r="C277" s="29"/>
      <c r="D277" s="17" t="str">
        <f>IF($C277="","",IFERROR(IF($E277="machine",INDEX('JLR Machines'!$B$2:$B$20001,MATCH($C277,'JLR Machines'!$A$2:$A$20001,0)),IF($E277="material",INDEX('JLR Materials'!$B$2:$B$20001,MATCH($C277,'JLR Materials'!$A$2:$A$20001,0)),IF($E277="labour",IFERROR(INDEX('JLR Labour'!$B$2:$B$20001,MATCH($C277,'JLR Labour'!$A$2:$A$20001,0)),"labour category "&amp;$C277&amp;" — from the machine tab"),""))),"NOT FOUND — check the code"))</f>
        <v/>
      </c>
      <c r="E277" s="30" t="s">
        <v>268</v>
      </c>
    </row>
    <row r="278" spans="1:5" x14ac:dyDescent="0.25">
      <c r="A278" s="28" t="s">
        <v>819</v>
      </c>
      <c r="B278" s="19" t="s">
        <v>820</v>
      </c>
      <c r="C278" s="29"/>
      <c r="D278" s="17" t="str">
        <f>IF($C278="","",IFERROR(IF($E278="machine",INDEX('JLR Machines'!$B$2:$B$20001,MATCH($C278,'JLR Machines'!$A$2:$A$20001,0)),IF($E278="material",INDEX('JLR Materials'!$B$2:$B$20001,MATCH($C278,'JLR Materials'!$A$2:$A$20001,0)),IF($E278="labour",IFERROR(INDEX('JLR Labour'!$B$2:$B$20001,MATCH($C278,'JLR Labour'!$A$2:$A$20001,0)),"labour category "&amp;$C278&amp;" — from the machine tab"),""))),"NOT FOUND — check the code"))</f>
        <v/>
      </c>
      <c r="E278" s="30" t="s">
        <v>268</v>
      </c>
    </row>
    <row r="279" spans="1:5" x14ac:dyDescent="0.25">
      <c r="A279" s="28" t="s">
        <v>821</v>
      </c>
      <c r="B279" s="19" t="s">
        <v>822</v>
      </c>
      <c r="C279" s="29"/>
      <c r="D279" s="17" t="str">
        <f>IF($C279="","",IFERROR(IF($E279="machine",INDEX('JLR Machines'!$B$2:$B$20001,MATCH($C279,'JLR Machines'!$A$2:$A$20001,0)),IF($E279="material",INDEX('JLR Materials'!$B$2:$B$20001,MATCH($C279,'JLR Materials'!$A$2:$A$20001,0)),IF($E279="labour",IFERROR(INDEX('JLR Labour'!$B$2:$B$20001,MATCH($C279,'JLR Labour'!$A$2:$A$20001,0)),"labour category "&amp;$C279&amp;" — from the machine tab"),""))),"NOT FOUND — check the code"))</f>
        <v/>
      </c>
      <c r="E279" s="30" t="s">
        <v>268</v>
      </c>
    </row>
    <row r="280" spans="1:5" x14ac:dyDescent="0.25">
      <c r="A280" s="28" t="s">
        <v>823</v>
      </c>
      <c r="B280" s="19" t="s">
        <v>824</v>
      </c>
      <c r="C280" s="29"/>
      <c r="D280" s="17" t="str">
        <f>IF($C280="","",IFERROR(IF($E280="machine",INDEX('JLR Machines'!$B$2:$B$20001,MATCH($C280,'JLR Machines'!$A$2:$A$20001,0)),IF($E280="material",INDEX('JLR Materials'!$B$2:$B$20001,MATCH($C280,'JLR Materials'!$A$2:$A$20001,0)),IF($E280="labour",IFERROR(INDEX('JLR Labour'!$B$2:$B$20001,MATCH($C280,'JLR Labour'!$A$2:$A$20001,0)),"labour category "&amp;$C280&amp;" — from the machine tab"),""))),"NOT FOUND — check the code"))</f>
        <v/>
      </c>
      <c r="E280" s="30" t="s">
        <v>268</v>
      </c>
    </row>
    <row r="281" spans="1:5" x14ac:dyDescent="0.25">
      <c r="A281" s="28" t="s">
        <v>825</v>
      </c>
      <c r="B281" s="19" t="s">
        <v>826</v>
      </c>
      <c r="C281" s="29"/>
      <c r="D281" s="17" t="str">
        <f>IF($C281="","",IFERROR(IF($E281="machine",INDEX('JLR Machines'!$B$2:$B$20001,MATCH($C281,'JLR Machines'!$A$2:$A$20001,0)),IF($E281="material",INDEX('JLR Materials'!$B$2:$B$20001,MATCH($C281,'JLR Materials'!$A$2:$A$20001,0)),IF($E281="labour",IFERROR(INDEX('JLR Labour'!$B$2:$B$20001,MATCH($C281,'JLR Labour'!$A$2:$A$20001,0)),"labour category "&amp;$C281&amp;" — from the machine tab"),""))),"NOT FOUND — check the code"))</f>
        <v/>
      </c>
      <c r="E281" s="30" t="s">
        <v>268</v>
      </c>
    </row>
    <row r="282" spans="1:5" x14ac:dyDescent="0.25">
      <c r="A282" s="28" t="s">
        <v>827</v>
      </c>
      <c r="B282" s="19" t="s">
        <v>828</v>
      </c>
      <c r="C282" s="29"/>
      <c r="D282" s="17" t="str">
        <f>IF($C282="","",IFERROR(IF($E282="machine",INDEX('JLR Machines'!$B$2:$B$20001,MATCH($C282,'JLR Machines'!$A$2:$A$20001,0)),IF($E282="material",INDEX('JLR Materials'!$B$2:$B$20001,MATCH($C282,'JLR Materials'!$A$2:$A$20001,0)),IF($E282="labour",IFERROR(INDEX('JLR Labour'!$B$2:$B$20001,MATCH($C282,'JLR Labour'!$A$2:$A$20001,0)),"labour category "&amp;$C282&amp;" — from the machine tab"),""))),"NOT FOUND — check the code"))</f>
        <v/>
      </c>
      <c r="E282" s="30" t="s">
        <v>268</v>
      </c>
    </row>
    <row r="283" spans="1:5" x14ac:dyDescent="0.25">
      <c r="A283" s="28" t="s">
        <v>829</v>
      </c>
      <c r="B283" s="19" t="s">
        <v>830</v>
      </c>
      <c r="C283" s="29"/>
      <c r="D283" s="17" t="str">
        <f>IF($C283="","",IFERROR(IF($E283="machine",INDEX('JLR Machines'!$B$2:$B$20001,MATCH($C283,'JLR Machines'!$A$2:$A$20001,0)),IF($E283="material",INDEX('JLR Materials'!$B$2:$B$20001,MATCH($C283,'JLR Materials'!$A$2:$A$20001,0)),IF($E283="labour",IFERROR(INDEX('JLR Labour'!$B$2:$B$20001,MATCH($C283,'JLR Labour'!$A$2:$A$20001,0)),"labour category "&amp;$C283&amp;" — from the machine tab"),""))),"NOT FOUND — check the code"))</f>
        <v/>
      </c>
      <c r="E283" s="30" t="s">
        <v>268</v>
      </c>
    </row>
    <row r="284" spans="1:5" x14ac:dyDescent="0.25">
      <c r="A284" s="28" t="s">
        <v>831</v>
      </c>
      <c r="B284" s="19" t="s">
        <v>832</v>
      </c>
      <c r="C284" s="29"/>
      <c r="D284" s="17" t="str">
        <f>IF($C284="","",IFERROR(IF($E284="machine",INDEX('JLR Machines'!$B$2:$B$20001,MATCH($C284,'JLR Machines'!$A$2:$A$20001,0)),IF($E284="material",INDEX('JLR Materials'!$B$2:$B$20001,MATCH($C284,'JLR Materials'!$A$2:$A$20001,0)),IF($E284="labour",IFERROR(INDEX('JLR Labour'!$B$2:$B$20001,MATCH($C284,'JLR Labour'!$A$2:$A$20001,0)),"labour category "&amp;$C284&amp;" — from the machine tab"),""))),"NOT FOUND — check the code"))</f>
        <v/>
      </c>
      <c r="E284" s="30" t="s">
        <v>268</v>
      </c>
    </row>
    <row r="285" spans="1:5" x14ac:dyDescent="0.25">
      <c r="A285" s="28" t="s">
        <v>833</v>
      </c>
      <c r="B285" s="19" t="s">
        <v>834</v>
      </c>
      <c r="C285" s="29"/>
      <c r="D285" s="17" t="str">
        <f>IF($C285="","",IFERROR(IF($E285="machine",INDEX('JLR Machines'!$B$2:$B$20001,MATCH($C285,'JLR Machines'!$A$2:$A$20001,0)),IF($E285="material",INDEX('JLR Materials'!$B$2:$B$20001,MATCH($C285,'JLR Materials'!$A$2:$A$20001,0)),IF($E285="labour",IFERROR(INDEX('JLR Labour'!$B$2:$B$20001,MATCH($C285,'JLR Labour'!$A$2:$A$20001,0)),"labour category "&amp;$C285&amp;" — from the machine tab"),""))),"NOT FOUND — check the code"))</f>
        <v/>
      </c>
      <c r="E285" s="30" t="s">
        <v>268</v>
      </c>
    </row>
    <row r="286" spans="1:5" x14ac:dyDescent="0.25">
      <c r="A286" s="28" t="s">
        <v>835</v>
      </c>
      <c r="B286" s="19" t="s">
        <v>836</v>
      </c>
      <c r="C286" s="29"/>
      <c r="D286" s="17" t="str">
        <f>IF($C286="","",IFERROR(IF($E286="machine",INDEX('JLR Machines'!$B$2:$B$20001,MATCH($C286,'JLR Machines'!$A$2:$A$20001,0)),IF($E286="material",INDEX('JLR Materials'!$B$2:$B$20001,MATCH($C286,'JLR Materials'!$A$2:$A$20001,0)),IF($E286="labour",IFERROR(INDEX('JLR Labour'!$B$2:$B$20001,MATCH($C286,'JLR Labour'!$A$2:$A$20001,0)),"labour category "&amp;$C286&amp;" — from the machine tab"),""))),"NOT FOUND — check the code"))</f>
        <v/>
      </c>
      <c r="E286" s="30" t="s">
        <v>268</v>
      </c>
    </row>
    <row r="287" spans="1:5" x14ac:dyDescent="0.25">
      <c r="A287" s="28" t="s">
        <v>837</v>
      </c>
      <c r="B287" s="19" t="s">
        <v>838</v>
      </c>
      <c r="C287" s="29"/>
      <c r="D287" s="17" t="str">
        <f>IF($C287="","",IFERROR(IF($E287="machine",INDEX('JLR Machines'!$B$2:$B$20001,MATCH($C287,'JLR Machines'!$A$2:$A$20001,0)),IF($E287="material",INDEX('JLR Materials'!$B$2:$B$20001,MATCH($C287,'JLR Materials'!$A$2:$A$20001,0)),IF($E287="labour",IFERROR(INDEX('JLR Labour'!$B$2:$B$20001,MATCH($C287,'JLR Labour'!$A$2:$A$20001,0)),"labour category "&amp;$C287&amp;" — from the machine tab"),""))),"NOT FOUND — check the code"))</f>
        <v/>
      </c>
      <c r="E287" s="30" t="s">
        <v>268</v>
      </c>
    </row>
    <row r="288" spans="1:5" x14ac:dyDescent="0.25">
      <c r="A288" s="28" t="s">
        <v>839</v>
      </c>
      <c r="B288" s="19" t="s">
        <v>840</v>
      </c>
      <c r="C288" s="29"/>
      <c r="D288" s="17" t="str">
        <f>IF($C288="","",IFERROR(IF($E288="machine",INDEX('JLR Machines'!$B$2:$B$20001,MATCH($C288,'JLR Machines'!$A$2:$A$20001,0)),IF($E288="material",INDEX('JLR Materials'!$B$2:$B$20001,MATCH($C288,'JLR Materials'!$A$2:$A$20001,0)),IF($E288="labour",IFERROR(INDEX('JLR Labour'!$B$2:$B$20001,MATCH($C288,'JLR Labour'!$A$2:$A$20001,0)),"labour category "&amp;$C288&amp;" — from the machine tab"),""))),"NOT FOUND — check the code"))</f>
        <v/>
      </c>
      <c r="E288" s="30" t="s">
        <v>268</v>
      </c>
    </row>
    <row r="289" spans="1:5" x14ac:dyDescent="0.25">
      <c r="A289" s="28" t="s">
        <v>841</v>
      </c>
      <c r="B289" s="19" t="s">
        <v>842</v>
      </c>
      <c r="C289" s="29"/>
      <c r="D289" s="17" t="str">
        <f>IF($C289="","",IFERROR(IF($E289="machine",INDEX('JLR Machines'!$B$2:$B$20001,MATCH($C289,'JLR Machines'!$A$2:$A$20001,0)),IF($E289="material",INDEX('JLR Materials'!$B$2:$B$20001,MATCH($C289,'JLR Materials'!$A$2:$A$20001,0)),IF($E289="labour",IFERROR(INDEX('JLR Labour'!$B$2:$B$20001,MATCH($C289,'JLR Labour'!$A$2:$A$20001,0)),"labour category "&amp;$C289&amp;" — from the machine tab"),""))),"NOT FOUND — check the code"))</f>
        <v/>
      </c>
      <c r="E289" s="30" t="s">
        <v>268</v>
      </c>
    </row>
    <row r="290" spans="1:5" x14ac:dyDescent="0.25">
      <c r="A290" s="28" t="s">
        <v>843</v>
      </c>
      <c r="B290" s="19" t="s">
        <v>844</v>
      </c>
      <c r="C290" s="29"/>
      <c r="D290" s="17" t="str">
        <f>IF($C290="","",IFERROR(IF($E290="machine",INDEX('JLR Machines'!$B$2:$B$20001,MATCH($C290,'JLR Machines'!$A$2:$A$20001,0)),IF($E290="material",INDEX('JLR Materials'!$B$2:$B$20001,MATCH($C290,'JLR Materials'!$A$2:$A$20001,0)),IF($E290="labour",IFERROR(INDEX('JLR Labour'!$B$2:$B$20001,MATCH($C290,'JLR Labour'!$A$2:$A$20001,0)),"labour category "&amp;$C290&amp;" — from the machine tab"),""))),"NOT FOUND — check the code"))</f>
        <v/>
      </c>
      <c r="E290" s="30" t="s">
        <v>268</v>
      </c>
    </row>
    <row r="291" spans="1:5" x14ac:dyDescent="0.25">
      <c r="A291" s="28" t="s">
        <v>845</v>
      </c>
      <c r="B291" s="19" t="s">
        <v>846</v>
      </c>
      <c r="C291" s="29"/>
      <c r="D291" s="17" t="str">
        <f>IF($C291="","",IFERROR(IF($E291="machine",INDEX('JLR Machines'!$B$2:$B$20001,MATCH($C291,'JLR Machines'!$A$2:$A$20001,0)),IF($E291="material",INDEX('JLR Materials'!$B$2:$B$20001,MATCH($C291,'JLR Materials'!$A$2:$A$20001,0)),IF($E291="labour",IFERROR(INDEX('JLR Labour'!$B$2:$B$20001,MATCH($C291,'JLR Labour'!$A$2:$A$20001,0)),"labour category "&amp;$C291&amp;" — from the machine tab"),""))),"NOT FOUND — check the code"))</f>
        <v/>
      </c>
      <c r="E291" s="30" t="s">
        <v>268</v>
      </c>
    </row>
    <row r="292" spans="1:5" x14ac:dyDescent="0.25">
      <c r="A292" s="28" t="s">
        <v>847</v>
      </c>
      <c r="B292" s="19" t="s">
        <v>848</v>
      </c>
      <c r="C292" s="29"/>
      <c r="D292" s="17" t="str">
        <f>IF($C292="","",IFERROR(IF($E292="machine",INDEX('JLR Machines'!$B$2:$B$20001,MATCH($C292,'JLR Machines'!$A$2:$A$20001,0)),IF($E292="material",INDEX('JLR Materials'!$B$2:$B$20001,MATCH($C292,'JLR Materials'!$A$2:$A$20001,0)),IF($E292="labour",IFERROR(INDEX('JLR Labour'!$B$2:$B$20001,MATCH($C292,'JLR Labour'!$A$2:$A$20001,0)),"labour category "&amp;$C292&amp;" — from the machine tab"),""))),"NOT FOUND — check the code"))</f>
        <v/>
      </c>
      <c r="E292" s="30" t="s">
        <v>268</v>
      </c>
    </row>
    <row r="293" spans="1:5" x14ac:dyDescent="0.25">
      <c r="A293" s="28" t="s">
        <v>849</v>
      </c>
      <c r="B293" s="19" t="s">
        <v>850</v>
      </c>
      <c r="C293" s="29"/>
      <c r="D293" s="17" t="str">
        <f>IF($C293="","",IFERROR(IF($E293="machine",INDEX('JLR Machines'!$B$2:$B$20001,MATCH($C293,'JLR Machines'!$A$2:$A$20001,0)),IF($E293="material",INDEX('JLR Materials'!$B$2:$B$20001,MATCH($C293,'JLR Materials'!$A$2:$A$20001,0)),IF($E293="labour",IFERROR(INDEX('JLR Labour'!$B$2:$B$20001,MATCH($C293,'JLR Labour'!$A$2:$A$20001,0)),"labour category "&amp;$C293&amp;" — from the machine tab"),""))),"NOT FOUND — check the code"))</f>
        <v/>
      </c>
      <c r="E293" s="30" t="s">
        <v>268</v>
      </c>
    </row>
    <row r="294" spans="1:5" x14ac:dyDescent="0.25">
      <c r="A294" s="28" t="s">
        <v>851</v>
      </c>
      <c r="B294" s="19" t="s">
        <v>852</v>
      </c>
      <c r="C294" s="29"/>
      <c r="D294" s="17" t="str">
        <f>IF($C294="","",IFERROR(IF($E294="machine",INDEX('JLR Machines'!$B$2:$B$20001,MATCH($C294,'JLR Machines'!$A$2:$A$20001,0)),IF($E294="material",INDEX('JLR Materials'!$B$2:$B$20001,MATCH($C294,'JLR Materials'!$A$2:$A$20001,0)),IF($E294="labour",IFERROR(INDEX('JLR Labour'!$B$2:$B$20001,MATCH($C294,'JLR Labour'!$A$2:$A$20001,0)),"labour category "&amp;$C294&amp;" — from the machine tab"),""))),"NOT FOUND — check the code"))</f>
        <v/>
      </c>
      <c r="E294" s="30" t="s">
        <v>268</v>
      </c>
    </row>
    <row r="295" spans="1:5" x14ac:dyDescent="0.25">
      <c r="A295" s="28" t="s">
        <v>853</v>
      </c>
      <c r="B295" s="19" t="s">
        <v>854</v>
      </c>
      <c r="C295" s="29"/>
      <c r="D295" s="17" t="str">
        <f>IF($C295="","",IFERROR(IF($E295="machine",INDEX('JLR Machines'!$B$2:$B$20001,MATCH($C295,'JLR Machines'!$A$2:$A$20001,0)),IF($E295="material",INDEX('JLR Materials'!$B$2:$B$20001,MATCH($C295,'JLR Materials'!$A$2:$A$20001,0)),IF($E295="labour",IFERROR(INDEX('JLR Labour'!$B$2:$B$20001,MATCH($C295,'JLR Labour'!$A$2:$A$20001,0)),"labour category "&amp;$C295&amp;" — from the machine tab"),""))),"NOT FOUND — check the code"))</f>
        <v/>
      </c>
      <c r="E295" s="30" t="s">
        <v>268</v>
      </c>
    </row>
    <row r="296" spans="1:5" x14ac:dyDescent="0.25">
      <c r="A296" s="28" t="s">
        <v>855</v>
      </c>
      <c r="B296" s="19" t="s">
        <v>856</v>
      </c>
      <c r="C296" s="29"/>
      <c r="D296" s="17" t="str">
        <f>IF($C296="","",IFERROR(IF($E296="machine",INDEX('JLR Machines'!$B$2:$B$20001,MATCH($C296,'JLR Machines'!$A$2:$A$20001,0)),IF($E296="material",INDEX('JLR Materials'!$B$2:$B$20001,MATCH($C296,'JLR Materials'!$A$2:$A$20001,0)),IF($E296="labour",IFERROR(INDEX('JLR Labour'!$B$2:$B$20001,MATCH($C296,'JLR Labour'!$A$2:$A$20001,0)),"labour category "&amp;$C296&amp;" — from the machine tab"),""))),"NOT FOUND — check the code"))</f>
        <v/>
      </c>
      <c r="E296" s="30" t="s">
        <v>268</v>
      </c>
    </row>
    <row r="297" spans="1:5" x14ac:dyDescent="0.25">
      <c r="A297" s="28" t="s">
        <v>857</v>
      </c>
      <c r="B297" s="19" t="s">
        <v>858</v>
      </c>
      <c r="C297" s="29"/>
      <c r="D297" s="17" t="str">
        <f>IF($C297="","",IFERROR(IF($E297="machine",INDEX('JLR Machines'!$B$2:$B$20001,MATCH($C297,'JLR Machines'!$A$2:$A$20001,0)),IF($E297="material",INDEX('JLR Materials'!$B$2:$B$20001,MATCH($C297,'JLR Materials'!$A$2:$A$20001,0)),IF($E297="labour",IFERROR(INDEX('JLR Labour'!$B$2:$B$20001,MATCH($C297,'JLR Labour'!$A$2:$A$20001,0)),"labour category "&amp;$C297&amp;" — from the machine tab"),""))),"NOT FOUND — check the code"))</f>
        <v/>
      </c>
      <c r="E297" s="30" t="s">
        <v>268</v>
      </c>
    </row>
    <row r="298" spans="1:5" x14ac:dyDescent="0.25">
      <c r="A298" s="28" t="s">
        <v>859</v>
      </c>
      <c r="B298" s="19" t="s">
        <v>860</v>
      </c>
      <c r="C298" s="29"/>
      <c r="D298" s="17" t="str">
        <f>IF($C298="","",IFERROR(IF($E298="machine",INDEX('JLR Machines'!$B$2:$B$20001,MATCH($C298,'JLR Machines'!$A$2:$A$20001,0)),IF($E298="material",INDEX('JLR Materials'!$B$2:$B$20001,MATCH($C298,'JLR Materials'!$A$2:$A$20001,0)),IF($E298="labour",IFERROR(INDEX('JLR Labour'!$B$2:$B$20001,MATCH($C298,'JLR Labour'!$A$2:$A$20001,0)),"labour category "&amp;$C298&amp;" — from the machine tab"),""))),"NOT FOUND — check the code"))</f>
        <v/>
      </c>
      <c r="E298" s="30" t="s">
        <v>268</v>
      </c>
    </row>
    <row r="299" spans="1:5" x14ac:dyDescent="0.25">
      <c r="A299" s="28" t="s">
        <v>861</v>
      </c>
      <c r="B299" s="19" t="s">
        <v>862</v>
      </c>
      <c r="C299" s="29"/>
      <c r="D299" s="17" t="str">
        <f>IF($C299="","",IFERROR(IF($E299="machine",INDEX('JLR Machines'!$B$2:$B$20001,MATCH($C299,'JLR Machines'!$A$2:$A$20001,0)),IF($E299="material",INDEX('JLR Materials'!$B$2:$B$20001,MATCH($C299,'JLR Materials'!$A$2:$A$20001,0)),IF($E299="labour",IFERROR(INDEX('JLR Labour'!$B$2:$B$20001,MATCH($C299,'JLR Labour'!$A$2:$A$20001,0)),"labour category "&amp;$C299&amp;" — from the machine tab"),""))),"NOT FOUND — check the code"))</f>
        <v/>
      </c>
      <c r="E299" s="30" t="s">
        <v>268</v>
      </c>
    </row>
    <row r="300" spans="1:5" x14ac:dyDescent="0.25">
      <c r="A300" s="28" t="s">
        <v>863</v>
      </c>
      <c r="B300" s="19" t="s">
        <v>864</v>
      </c>
      <c r="C300" s="29"/>
      <c r="D300" s="17" t="str">
        <f>IF($C300="","",IFERROR(IF($E300="machine",INDEX('JLR Machines'!$B$2:$B$20001,MATCH($C300,'JLR Machines'!$A$2:$A$20001,0)),IF($E300="material",INDEX('JLR Materials'!$B$2:$B$20001,MATCH($C300,'JLR Materials'!$A$2:$A$20001,0)),IF($E300="labour",IFERROR(INDEX('JLR Labour'!$B$2:$B$20001,MATCH($C300,'JLR Labour'!$A$2:$A$20001,0)),"labour category "&amp;$C300&amp;" — from the machine tab"),""))),"NOT FOUND — check the code"))</f>
        <v/>
      </c>
      <c r="E300" s="30" t="s">
        <v>268</v>
      </c>
    </row>
    <row r="301" spans="1:5" x14ac:dyDescent="0.25">
      <c r="A301" s="28" t="s">
        <v>865</v>
      </c>
      <c r="B301" s="19" t="s">
        <v>866</v>
      </c>
      <c r="C301" s="29"/>
      <c r="D301" s="17" t="str">
        <f>IF($C301="","",IFERROR(IF($E301="machine",INDEX('JLR Machines'!$B$2:$B$20001,MATCH($C301,'JLR Machines'!$A$2:$A$20001,0)),IF($E301="material",INDEX('JLR Materials'!$B$2:$B$20001,MATCH($C301,'JLR Materials'!$A$2:$A$20001,0)),IF($E301="labour",IFERROR(INDEX('JLR Labour'!$B$2:$B$20001,MATCH($C301,'JLR Labour'!$A$2:$A$20001,0)),"labour category "&amp;$C301&amp;" — from the machine tab"),""))),"NOT FOUND — check the code"))</f>
        <v/>
      </c>
      <c r="E301" s="30" t="s">
        <v>268</v>
      </c>
    </row>
    <row r="302" spans="1:5" x14ac:dyDescent="0.25">
      <c r="A302" s="28" t="s">
        <v>867</v>
      </c>
      <c r="B302" s="19" t="s">
        <v>868</v>
      </c>
      <c r="C302" s="29"/>
      <c r="D302" s="17" t="str">
        <f>IF($C302="","",IFERROR(IF($E302="machine",INDEX('JLR Machines'!$B$2:$B$20001,MATCH($C302,'JLR Machines'!$A$2:$A$20001,0)),IF($E302="material",INDEX('JLR Materials'!$B$2:$B$20001,MATCH($C302,'JLR Materials'!$A$2:$A$20001,0)),IF($E302="labour",IFERROR(INDEX('JLR Labour'!$B$2:$B$20001,MATCH($C302,'JLR Labour'!$A$2:$A$20001,0)),"labour category "&amp;$C302&amp;" — from the machine tab"),""))),"NOT FOUND — check the code"))</f>
        <v/>
      </c>
      <c r="E302" s="30" t="s">
        <v>268</v>
      </c>
    </row>
    <row r="303" spans="1:5" x14ac:dyDescent="0.25">
      <c r="A303" s="28" t="s">
        <v>869</v>
      </c>
      <c r="B303" s="19" t="s">
        <v>870</v>
      </c>
      <c r="C303" s="29"/>
      <c r="D303" s="17" t="str">
        <f>IF($C303="","",IFERROR(IF($E303="machine",INDEX('JLR Machines'!$B$2:$B$20001,MATCH($C303,'JLR Machines'!$A$2:$A$20001,0)),IF($E303="material",INDEX('JLR Materials'!$B$2:$B$20001,MATCH($C303,'JLR Materials'!$A$2:$A$20001,0)),IF($E303="labour",IFERROR(INDEX('JLR Labour'!$B$2:$B$20001,MATCH($C303,'JLR Labour'!$A$2:$A$20001,0)),"labour category "&amp;$C303&amp;" — from the machine tab"),""))),"NOT FOUND — check the code"))</f>
        <v/>
      </c>
      <c r="E303" s="30" t="s">
        <v>268</v>
      </c>
    </row>
    <row r="304" spans="1:5" x14ac:dyDescent="0.25">
      <c r="A304" s="28" t="s">
        <v>871</v>
      </c>
      <c r="B304" s="19" t="s">
        <v>872</v>
      </c>
      <c r="C304" s="29"/>
      <c r="D304" s="17" t="str">
        <f>IF($C304="","",IFERROR(IF($E304="machine",INDEX('JLR Machines'!$B$2:$B$20001,MATCH($C304,'JLR Machines'!$A$2:$A$20001,0)),IF($E304="material",INDEX('JLR Materials'!$B$2:$B$20001,MATCH($C304,'JLR Materials'!$A$2:$A$20001,0)),IF($E304="labour",IFERROR(INDEX('JLR Labour'!$B$2:$B$20001,MATCH($C304,'JLR Labour'!$A$2:$A$20001,0)),"labour category "&amp;$C304&amp;" — from the machine tab"),""))),"NOT FOUND — check the code"))</f>
        <v/>
      </c>
      <c r="E304" s="30" t="s">
        <v>268</v>
      </c>
    </row>
    <row r="305" spans="1:5" x14ac:dyDescent="0.25">
      <c r="A305" s="28" t="s">
        <v>873</v>
      </c>
      <c r="B305" s="19" t="s">
        <v>874</v>
      </c>
      <c r="C305" s="29"/>
      <c r="D305" s="17" t="str">
        <f>IF($C305="","",IFERROR(IF($E305="machine",INDEX('JLR Machines'!$B$2:$B$20001,MATCH($C305,'JLR Machines'!$A$2:$A$20001,0)),IF($E305="material",INDEX('JLR Materials'!$B$2:$B$20001,MATCH($C305,'JLR Materials'!$A$2:$A$20001,0)),IF($E305="labour",IFERROR(INDEX('JLR Labour'!$B$2:$B$20001,MATCH($C305,'JLR Labour'!$A$2:$A$20001,0)),"labour category "&amp;$C305&amp;" — from the machine tab"),""))),"NOT FOUND — check the code"))</f>
        <v/>
      </c>
      <c r="E305" s="30" t="s">
        <v>268</v>
      </c>
    </row>
    <row r="306" spans="1:5" x14ac:dyDescent="0.25">
      <c r="A306" s="28" t="s">
        <v>875</v>
      </c>
      <c r="B306" s="19" t="s">
        <v>876</v>
      </c>
      <c r="C306" s="29"/>
      <c r="D306" s="17" t="str">
        <f>IF($C306="","",IFERROR(IF($E306="machine",INDEX('JLR Machines'!$B$2:$B$20001,MATCH($C306,'JLR Machines'!$A$2:$A$20001,0)),IF($E306="material",INDEX('JLR Materials'!$B$2:$B$20001,MATCH($C306,'JLR Materials'!$A$2:$A$20001,0)),IF($E306="labour",IFERROR(INDEX('JLR Labour'!$B$2:$B$20001,MATCH($C306,'JLR Labour'!$A$2:$A$20001,0)),"labour category "&amp;$C306&amp;" — from the machine tab"),""))),"NOT FOUND — check the code"))</f>
        <v/>
      </c>
      <c r="E306" s="30" t="s">
        <v>268</v>
      </c>
    </row>
    <row r="307" spans="1:5" x14ac:dyDescent="0.25">
      <c r="A307" s="28" t="s">
        <v>877</v>
      </c>
      <c r="B307" s="19" t="s">
        <v>878</v>
      </c>
      <c r="C307" s="29"/>
      <c r="D307" s="17" t="str">
        <f>IF($C307="","",IFERROR(IF($E307="machine",INDEX('JLR Machines'!$B$2:$B$20001,MATCH($C307,'JLR Machines'!$A$2:$A$20001,0)),IF($E307="material",INDEX('JLR Materials'!$B$2:$B$20001,MATCH($C307,'JLR Materials'!$A$2:$A$20001,0)),IF($E307="labour",IFERROR(INDEX('JLR Labour'!$B$2:$B$20001,MATCH($C307,'JLR Labour'!$A$2:$A$20001,0)),"labour category "&amp;$C307&amp;" — from the machine tab"),""))),"NOT FOUND — check the code"))</f>
        <v/>
      </c>
      <c r="E307" s="30" t="s">
        <v>268</v>
      </c>
    </row>
    <row r="308" spans="1:5" x14ac:dyDescent="0.25">
      <c r="A308" s="28" t="s">
        <v>879</v>
      </c>
      <c r="B308" s="19" t="s">
        <v>880</v>
      </c>
      <c r="C308" s="29"/>
      <c r="D308" s="17" t="str">
        <f>IF($C308="","",IFERROR(IF($E308="machine",INDEX('JLR Machines'!$B$2:$B$20001,MATCH($C308,'JLR Machines'!$A$2:$A$20001,0)),IF($E308="material",INDEX('JLR Materials'!$B$2:$B$20001,MATCH($C308,'JLR Materials'!$A$2:$A$20001,0)),IF($E308="labour",IFERROR(INDEX('JLR Labour'!$B$2:$B$20001,MATCH($C308,'JLR Labour'!$A$2:$A$20001,0)),"labour category "&amp;$C308&amp;" — from the machine tab"),""))),"NOT FOUND — check the code"))</f>
        <v/>
      </c>
      <c r="E308" s="30" t="s">
        <v>268</v>
      </c>
    </row>
    <row r="309" spans="1:5" x14ac:dyDescent="0.25">
      <c r="A309" s="28" t="s">
        <v>881</v>
      </c>
      <c r="B309" s="19" t="s">
        <v>882</v>
      </c>
      <c r="C309" s="29"/>
      <c r="D309" s="17" t="str">
        <f>IF($C309="","",IFERROR(IF($E309="machine",INDEX('JLR Machines'!$B$2:$B$20001,MATCH($C309,'JLR Machines'!$A$2:$A$20001,0)),IF($E309="material",INDEX('JLR Materials'!$B$2:$B$20001,MATCH($C309,'JLR Materials'!$A$2:$A$20001,0)),IF($E309="labour",IFERROR(INDEX('JLR Labour'!$B$2:$B$20001,MATCH($C309,'JLR Labour'!$A$2:$A$20001,0)),"labour category "&amp;$C309&amp;" — from the machine tab"),""))),"NOT FOUND — check the code"))</f>
        <v/>
      </c>
      <c r="E309" s="30" t="s">
        <v>268</v>
      </c>
    </row>
    <row r="310" spans="1:5" x14ac:dyDescent="0.25">
      <c r="A310" s="28" t="s">
        <v>883</v>
      </c>
      <c r="B310" s="19" t="s">
        <v>884</v>
      </c>
      <c r="C310" s="29"/>
      <c r="D310" s="17" t="str">
        <f>IF($C310="","",IFERROR(IF($E310="machine",INDEX('JLR Machines'!$B$2:$B$20001,MATCH($C310,'JLR Machines'!$A$2:$A$20001,0)),IF($E310="material",INDEX('JLR Materials'!$B$2:$B$20001,MATCH($C310,'JLR Materials'!$A$2:$A$20001,0)),IF($E310="labour",IFERROR(INDEX('JLR Labour'!$B$2:$B$20001,MATCH($C310,'JLR Labour'!$A$2:$A$20001,0)),"labour category "&amp;$C310&amp;" — from the machine tab"),""))),"NOT FOUND — check the code"))</f>
        <v/>
      </c>
      <c r="E310" s="30" t="s">
        <v>268</v>
      </c>
    </row>
    <row r="311" spans="1:5" x14ac:dyDescent="0.25">
      <c r="A311" s="28" t="s">
        <v>885</v>
      </c>
      <c r="B311" s="19" t="s">
        <v>886</v>
      </c>
      <c r="C311" s="29"/>
      <c r="D311" s="17" t="str">
        <f>IF($C311="","",IFERROR(IF($E311="machine",INDEX('JLR Machines'!$B$2:$B$20001,MATCH($C311,'JLR Machines'!$A$2:$A$20001,0)),IF($E311="material",INDEX('JLR Materials'!$B$2:$B$20001,MATCH($C311,'JLR Materials'!$A$2:$A$20001,0)),IF($E311="labour",IFERROR(INDEX('JLR Labour'!$B$2:$B$20001,MATCH($C311,'JLR Labour'!$A$2:$A$20001,0)),"labour category "&amp;$C311&amp;" — from the machine tab"),""))),"NOT FOUND — check the code"))</f>
        <v/>
      </c>
      <c r="E311" s="30" t="s">
        <v>268</v>
      </c>
    </row>
    <row r="312" spans="1:5" x14ac:dyDescent="0.25">
      <c r="A312" s="28" t="s">
        <v>887</v>
      </c>
      <c r="B312" s="19" t="s">
        <v>888</v>
      </c>
      <c r="C312" s="29"/>
      <c r="D312" s="17" t="str">
        <f>IF($C312="","",IFERROR(IF($E312="machine",INDEX('JLR Machines'!$B$2:$B$20001,MATCH($C312,'JLR Machines'!$A$2:$A$20001,0)),IF($E312="material",INDEX('JLR Materials'!$B$2:$B$20001,MATCH($C312,'JLR Materials'!$A$2:$A$20001,0)),IF($E312="labour",IFERROR(INDEX('JLR Labour'!$B$2:$B$20001,MATCH($C312,'JLR Labour'!$A$2:$A$20001,0)),"labour category "&amp;$C312&amp;" — from the machine tab"),""))),"NOT FOUND — check the code"))</f>
        <v/>
      </c>
      <c r="E312" s="30" t="s">
        <v>268</v>
      </c>
    </row>
    <row r="313" spans="1:5" x14ac:dyDescent="0.25">
      <c r="A313" s="28" t="s">
        <v>889</v>
      </c>
      <c r="B313" s="19" t="s">
        <v>890</v>
      </c>
      <c r="C313" s="29"/>
      <c r="D313" s="17" t="str">
        <f>IF($C313="","",IFERROR(IF($E313="machine",INDEX('JLR Machines'!$B$2:$B$20001,MATCH($C313,'JLR Machines'!$A$2:$A$20001,0)),IF($E313="material",INDEX('JLR Materials'!$B$2:$B$20001,MATCH($C313,'JLR Materials'!$A$2:$A$20001,0)),IF($E313="labour",IFERROR(INDEX('JLR Labour'!$B$2:$B$20001,MATCH($C313,'JLR Labour'!$A$2:$A$20001,0)),"labour category "&amp;$C313&amp;" — from the machine tab"),""))),"NOT FOUND — check the code"))</f>
        <v/>
      </c>
      <c r="E313" s="30" t="s">
        <v>268</v>
      </c>
    </row>
    <row r="314" spans="1:5" x14ac:dyDescent="0.25">
      <c r="A314" s="28" t="s">
        <v>891</v>
      </c>
      <c r="B314" s="19" t="s">
        <v>892</v>
      </c>
      <c r="C314" s="29"/>
      <c r="D314" s="17" t="str">
        <f>IF($C314="","",IFERROR(IF($E314="machine",INDEX('JLR Machines'!$B$2:$B$20001,MATCH($C314,'JLR Machines'!$A$2:$A$20001,0)),IF($E314="material",INDEX('JLR Materials'!$B$2:$B$20001,MATCH($C314,'JLR Materials'!$A$2:$A$20001,0)),IF($E314="labour",IFERROR(INDEX('JLR Labour'!$B$2:$B$20001,MATCH($C314,'JLR Labour'!$A$2:$A$20001,0)),"labour category "&amp;$C314&amp;" — from the machine tab"),""))),"NOT FOUND — check the code"))</f>
        <v/>
      </c>
      <c r="E314" s="30" t="s">
        <v>268</v>
      </c>
    </row>
    <row r="315" spans="1:5" x14ac:dyDescent="0.25">
      <c r="A315" s="28" t="s">
        <v>893</v>
      </c>
      <c r="B315" s="19" t="s">
        <v>894</v>
      </c>
      <c r="C315" s="29"/>
      <c r="D315" s="17" t="str">
        <f>IF($C315="","",IFERROR(IF($E315="machine",INDEX('JLR Machines'!$B$2:$B$20001,MATCH($C315,'JLR Machines'!$A$2:$A$20001,0)),IF($E315="material",INDEX('JLR Materials'!$B$2:$B$20001,MATCH($C315,'JLR Materials'!$A$2:$A$20001,0)),IF($E315="labour",IFERROR(INDEX('JLR Labour'!$B$2:$B$20001,MATCH($C315,'JLR Labour'!$A$2:$A$20001,0)),"labour category "&amp;$C315&amp;" — from the machine tab"),""))),"NOT FOUND — check the code"))</f>
        <v/>
      </c>
      <c r="E315" s="30" t="s">
        <v>268</v>
      </c>
    </row>
    <row r="316" spans="1:5" x14ac:dyDescent="0.25">
      <c r="A316" s="28" t="s">
        <v>895</v>
      </c>
      <c r="B316" s="19" t="s">
        <v>896</v>
      </c>
      <c r="C316" s="29"/>
      <c r="D316" s="17" t="str">
        <f>IF($C316="","",IFERROR(IF($E316="machine",INDEX('JLR Machines'!$B$2:$B$20001,MATCH($C316,'JLR Machines'!$A$2:$A$20001,0)),IF($E316="material",INDEX('JLR Materials'!$B$2:$B$20001,MATCH($C316,'JLR Materials'!$A$2:$A$20001,0)),IF($E316="labour",IFERROR(INDEX('JLR Labour'!$B$2:$B$20001,MATCH($C316,'JLR Labour'!$A$2:$A$20001,0)),"labour category "&amp;$C316&amp;" — from the machine tab"),""))),"NOT FOUND — check the code"))</f>
        <v/>
      </c>
      <c r="E316" s="30" t="s">
        <v>268</v>
      </c>
    </row>
    <row r="317" spans="1:5" x14ac:dyDescent="0.25">
      <c r="A317" s="28" t="s">
        <v>897</v>
      </c>
      <c r="B317" s="19" t="s">
        <v>898</v>
      </c>
      <c r="C317" s="29"/>
      <c r="D317" s="17" t="str">
        <f>IF($C317="","",IFERROR(IF($E317="machine",INDEX('JLR Machines'!$B$2:$B$20001,MATCH($C317,'JLR Machines'!$A$2:$A$20001,0)),IF($E317="material",INDEX('JLR Materials'!$B$2:$B$20001,MATCH($C317,'JLR Materials'!$A$2:$A$20001,0)),IF($E317="labour",IFERROR(INDEX('JLR Labour'!$B$2:$B$20001,MATCH($C317,'JLR Labour'!$A$2:$A$20001,0)),"labour category "&amp;$C317&amp;" — from the machine tab"),""))),"NOT FOUND — check the code"))</f>
        <v/>
      </c>
      <c r="E317" s="30" t="s">
        <v>268</v>
      </c>
    </row>
    <row r="318" spans="1:5" x14ac:dyDescent="0.25">
      <c r="A318" s="28" t="s">
        <v>899</v>
      </c>
      <c r="B318" s="19" t="s">
        <v>900</v>
      </c>
      <c r="C318" s="29"/>
      <c r="D318" s="17" t="str">
        <f>IF($C318="","",IFERROR(IF($E318="machine",INDEX('JLR Machines'!$B$2:$B$20001,MATCH($C318,'JLR Machines'!$A$2:$A$20001,0)),IF($E318="material",INDEX('JLR Materials'!$B$2:$B$20001,MATCH($C318,'JLR Materials'!$A$2:$A$20001,0)),IF($E318="labour",IFERROR(INDEX('JLR Labour'!$B$2:$B$20001,MATCH($C318,'JLR Labour'!$A$2:$A$20001,0)),"labour category "&amp;$C318&amp;" — from the machine tab"),""))),"NOT FOUND — check the code"))</f>
        <v/>
      </c>
      <c r="E318" s="30" t="s">
        <v>268</v>
      </c>
    </row>
    <row r="319" spans="1:5" x14ac:dyDescent="0.25">
      <c r="A319" s="28" t="s">
        <v>901</v>
      </c>
      <c r="B319" s="19" t="s">
        <v>902</v>
      </c>
      <c r="C319" s="29"/>
      <c r="D319" s="17" t="str">
        <f>IF($C319="","",IFERROR(IF($E319="machine",INDEX('JLR Machines'!$B$2:$B$20001,MATCH($C319,'JLR Machines'!$A$2:$A$20001,0)),IF($E319="material",INDEX('JLR Materials'!$B$2:$B$20001,MATCH($C319,'JLR Materials'!$A$2:$A$20001,0)),IF($E319="labour",IFERROR(INDEX('JLR Labour'!$B$2:$B$20001,MATCH($C319,'JLR Labour'!$A$2:$A$20001,0)),"labour category "&amp;$C319&amp;" — from the machine tab"),""))),"NOT FOUND — check the code"))</f>
        <v/>
      </c>
      <c r="E319" s="30" t="s">
        <v>268</v>
      </c>
    </row>
    <row r="320" spans="1:5" x14ac:dyDescent="0.25">
      <c r="A320" s="28" t="s">
        <v>903</v>
      </c>
      <c r="B320" s="19" t="s">
        <v>904</v>
      </c>
      <c r="C320" s="29"/>
      <c r="D320" s="17" t="str">
        <f>IF($C320="","",IFERROR(IF($E320="machine",INDEX('JLR Machines'!$B$2:$B$20001,MATCH($C320,'JLR Machines'!$A$2:$A$20001,0)),IF($E320="material",INDEX('JLR Materials'!$B$2:$B$20001,MATCH($C320,'JLR Materials'!$A$2:$A$20001,0)),IF($E320="labour",IFERROR(INDEX('JLR Labour'!$B$2:$B$20001,MATCH($C320,'JLR Labour'!$A$2:$A$20001,0)),"labour category "&amp;$C320&amp;" — from the machine tab"),""))),"NOT FOUND — check the code"))</f>
        <v/>
      </c>
      <c r="E320" s="30" t="s">
        <v>268</v>
      </c>
    </row>
    <row r="321" spans="1:5" x14ac:dyDescent="0.25">
      <c r="A321" s="28" t="s">
        <v>905</v>
      </c>
      <c r="B321" s="19" t="s">
        <v>906</v>
      </c>
      <c r="C321" s="29"/>
      <c r="D321" s="17" t="str">
        <f>IF($C321="","",IFERROR(IF($E321="machine",INDEX('JLR Machines'!$B$2:$B$20001,MATCH($C321,'JLR Machines'!$A$2:$A$20001,0)),IF($E321="material",INDEX('JLR Materials'!$B$2:$B$20001,MATCH($C321,'JLR Materials'!$A$2:$A$20001,0)),IF($E321="labour",IFERROR(INDEX('JLR Labour'!$B$2:$B$20001,MATCH($C321,'JLR Labour'!$A$2:$A$20001,0)),"labour category "&amp;$C321&amp;" — from the machine tab"),""))),"NOT FOUND — check the code"))</f>
        <v/>
      </c>
      <c r="E321" s="30" t="s">
        <v>268</v>
      </c>
    </row>
    <row r="322" spans="1:5" x14ac:dyDescent="0.25">
      <c r="A322" s="28" t="s">
        <v>907</v>
      </c>
      <c r="B322" s="19" t="s">
        <v>908</v>
      </c>
      <c r="C322" s="29"/>
      <c r="D322" s="17" t="str">
        <f>IF($C322="","",IFERROR(IF($E322="machine",INDEX('JLR Machines'!$B$2:$B$20001,MATCH($C322,'JLR Machines'!$A$2:$A$20001,0)),IF($E322="material",INDEX('JLR Materials'!$B$2:$B$20001,MATCH($C322,'JLR Materials'!$A$2:$A$20001,0)),IF($E322="labour",IFERROR(INDEX('JLR Labour'!$B$2:$B$20001,MATCH($C322,'JLR Labour'!$A$2:$A$20001,0)),"labour category "&amp;$C322&amp;" — from the machine tab"),""))),"NOT FOUND — check the code"))</f>
        <v/>
      </c>
      <c r="E322" s="30" t="s">
        <v>268</v>
      </c>
    </row>
    <row r="323" spans="1:5" x14ac:dyDescent="0.25">
      <c r="A323" s="28" t="s">
        <v>909</v>
      </c>
      <c r="B323" s="19" t="s">
        <v>910</v>
      </c>
      <c r="C323" s="29"/>
      <c r="D323" s="17" t="str">
        <f>IF($C323="","",IFERROR(IF($E323="machine",INDEX('JLR Machines'!$B$2:$B$20001,MATCH($C323,'JLR Machines'!$A$2:$A$20001,0)),IF($E323="material",INDEX('JLR Materials'!$B$2:$B$20001,MATCH($C323,'JLR Materials'!$A$2:$A$20001,0)),IF($E323="labour",IFERROR(INDEX('JLR Labour'!$B$2:$B$20001,MATCH($C323,'JLR Labour'!$A$2:$A$20001,0)),"labour category "&amp;$C323&amp;" — from the machine tab"),""))),"NOT FOUND — check the code"))</f>
        <v/>
      </c>
      <c r="E323" s="30" t="s">
        <v>268</v>
      </c>
    </row>
    <row r="324" spans="1:5" x14ac:dyDescent="0.25">
      <c r="A324" s="28" t="s">
        <v>911</v>
      </c>
      <c r="B324" s="19" t="s">
        <v>912</v>
      </c>
      <c r="C324" s="29"/>
      <c r="D324" s="17" t="str">
        <f>IF($C324="","",IFERROR(IF($E324="machine",INDEX('JLR Machines'!$B$2:$B$20001,MATCH($C324,'JLR Machines'!$A$2:$A$20001,0)),IF($E324="material",INDEX('JLR Materials'!$B$2:$B$20001,MATCH($C324,'JLR Materials'!$A$2:$A$20001,0)),IF($E324="labour",IFERROR(INDEX('JLR Labour'!$B$2:$B$20001,MATCH($C324,'JLR Labour'!$A$2:$A$20001,0)),"labour category "&amp;$C324&amp;" — from the machine tab"),""))),"NOT FOUND — check the code"))</f>
        <v/>
      </c>
      <c r="E324" s="30" t="s">
        <v>268</v>
      </c>
    </row>
    <row r="325" spans="1:5" x14ac:dyDescent="0.25">
      <c r="A325" s="28" t="s">
        <v>913</v>
      </c>
      <c r="B325" s="19" t="s">
        <v>914</v>
      </c>
      <c r="C325" s="29"/>
      <c r="D325" s="17" t="str">
        <f>IF($C325="","",IFERROR(IF($E325="machine",INDEX('JLR Machines'!$B$2:$B$20001,MATCH($C325,'JLR Machines'!$A$2:$A$20001,0)),IF($E325="material",INDEX('JLR Materials'!$B$2:$B$20001,MATCH($C325,'JLR Materials'!$A$2:$A$20001,0)),IF($E325="labour",IFERROR(INDEX('JLR Labour'!$B$2:$B$20001,MATCH($C325,'JLR Labour'!$A$2:$A$20001,0)),"labour category "&amp;$C325&amp;" — from the machine tab"),""))),"NOT FOUND — check the code"))</f>
        <v/>
      </c>
      <c r="E325" s="30" t="s">
        <v>268</v>
      </c>
    </row>
    <row r="326" spans="1:5" x14ac:dyDescent="0.25">
      <c r="A326" s="28" t="s">
        <v>915</v>
      </c>
      <c r="B326" s="19" t="s">
        <v>916</v>
      </c>
      <c r="C326" s="29"/>
      <c r="D326" s="17" t="str">
        <f>IF($C326="","",IFERROR(IF($E326="machine",INDEX('JLR Machines'!$B$2:$B$20001,MATCH($C326,'JLR Machines'!$A$2:$A$20001,0)),IF($E326="material",INDEX('JLR Materials'!$B$2:$B$20001,MATCH($C326,'JLR Materials'!$A$2:$A$20001,0)),IF($E326="labour",IFERROR(INDEX('JLR Labour'!$B$2:$B$20001,MATCH($C326,'JLR Labour'!$A$2:$A$20001,0)),"labour category "&amp;$C326&amp;" — from the machine tab"),""))),"NOT FOUND — check the code"))</f>
        <v/>
      </c>
      <c r="E326" s="30" t="s">
        <v>268</v>
      </c>
    </row>
    <row r="327" spans="1:5" x14ac:dyDescent="0.25">
      <c r="A327" s="28" t="s">
        <v>917</v>
      </c>
      <c r="B327" s="19" t="s">
        <v>918</v>
      </c>
      <c r="C327" s="29"/>
      <c r="D327" s="17" t="str">
        <f>IF($C327="","",IFERROR(IF($E327="machine",INDEX('JLR Machines'!$B$2:$B$20001,MATCH($C327,'JLR Machines'!$A$2:$A$20001,0)),IF($E327="material",INDEX('JLR Materials'!$B$2:$B$20001,MATCH($C327,'JLR Materials'!$A$2:$A$20001,0)),IF($E327="labour",IFERROR(INDEX('JLR Labour'!$B$2:$B$20001,MATCH($C327,'JLR Labour'!$A$2:$A$20001,0)),"labour category "&amp;$C327&amp;" — from the machine tab"),""))),"NOT FOUND — check the code"))</f>
        <v/>
      </c>
      <c r="E327" s="30" t="s">
        <v>268</v>
      </c>
    </row>
    <row r="328" spans="1:5" x14ac:dyDescent="0.25">
      <c r="A328" s="28" t="s">
        <v>919</v>
      </c>
      <c r="B328" s="19" t="s">
        <v>920</v>
      </c>
      <c r="C328" s="29"/>
      <c r="D328" s="17" t="str">
        <f>IF($C328="","",IFERROR(IF($E328="machine",INDEX('JLR Machines'!$B$2:$B$20001,MATCH($C328,'JLR Machines'!$A$2:$A$20001,0)),IF($E328="material",INDEX('JLR Materials'!$B$2:$B$20001,MATCH($C328,'JLR Materials'!$A$2:$A$20001,0)),IF($E328="labour",IFERROR(INDEX('JLR Labour'!$B$2:$B$20001,MATCH($C328,'JLR Labour'!$A$2:$A$20001,0)),"labour category "&amp;$C328&amp;" — from the machine tab"),""))),"NOT FOUND — check the code"))</f>
        <v/>
      </c>
      <c r="E328" s="30" t="s">
        <v>268</v>
      </c>
    </row>
    <row r="329" spans="1:5" x14ac:dyDescent="0.25">
      <c r="A329" s="28" t="s">
        <v>921</v>
      </c>
      <c r="B329" s="19" t="s">
        <v>922</v>
      </c>
      <c r="C329" s="29"/>
      <c r="D329" s="17" t="str">
        <f>IF($C329="","",IFERROR(IF($E329="machine",INDEX('JLR Machines'!$B$2:$B$20001,MATCH($C329,'JLR Machines'!$A$2:$A$20001,0)),IF($E329="material",INDEX('JLR Materials'!$B$2:$B$20001,MATCH($C329,'JLR Materials'!$A$2:$A$20001,0)),IF($E329="labour",IFERROR(INDEX('JLR Labour'!$B$2:$B$20001,MATCH($C329,'JLR Labour'!$A$2:$A$20001,0)),"labour category "&amp;$C329&amp;" — from the machine tab"),""))),"NOT FOUND — check the code"))</f>
        <v/>
      </c>
      <c r="E329" s="30" t="s">
        <v>268</v>
      </c>
    </row>
    <row r="330" spans="1:5" x14ac:dyDescent="0.25">
      <c r="A330" s="28" t="s">
        <v>923</v>
      </c>
      <c r="B330" s="19" t="s">
        <v>924</v>
      </c>
      <c r="C330" s="29"/>
      <c r="D330" s="17" t="str">
        <f>IF($C330="","",IFERROR(IF($E330="machine",INDEX('JLR Machines'!$B$2:$B$20001,MATCH($C330,'JLR Machines'!$A$2:$A$20001,0)),IF($E330="material",INDEX('JLR Materials'!$B$2:$B$20001,MATCH($C330,'JLR Materials'!$A$2:$A$20001,0)),IF($E330="labour",IFERROR(INDEX('JLR Labour'!$B$2:$B$20001,MATCH($C330,'JLR Labour'!$A$2:$A$20001,0)),"labour category "&amp;$C330&amp;" — from the machine tab"),""))),"NOT FOUND — check the code"))</f>
        <v/>
      </c>
      <c r="E330" s="30" t="s">
        <v>925</v>
      </c>
    </row>
    <row r="331" spans="1:5" x14ac:dyDescent="0.25">
      <c r="A331" s="28" t="s">
        <v>926</v>
      </c>
      <c r="B331" s="19" t="s">
        <v>927</v>
      </c>
      <c r="C331" s="29"/>
      <c r="D331" s="17" t="str">
        <f>IF($C331="","",IFERROR(IF($E331="machine",INDEX('JLR Machines'!$B$2:$B$20001,MATCH($C331,'JLR Machines'!$A$2:$A$20001,0)),IF($E331="material",INDEX('JLR Materials'!$B$2:$B$20001,MATCH($C331,'JLR Materials'!$A$2:$A$20001,0)),IF($E331="labour",IFERROR(INDEX('JLR Labour'!$B$2:$B$20001,MATCH($C331,'JLR Labour'!$A$2:$A$20001,0)),"labour category "&amp;$C331&amp;" — from the machine tab"),""))),"NOT FOUND — check the code"))</f>
        <v/>
      </c>
      <c r="E331" s="30" t="s">
        <v>925</v>
      </c>
    </row>
    <row r="332" spans="1:5" x14ac:dyDescent="0.25">
      <c r="A332" s="28" t="s">
        <v>928</v>
      </c>
      <c r="B332" s="19" t="s">
        <v>929</v>
      </c>
      <c r="C332" s="29"/>
      <c r="D332" s="17" t="str">
        <f>IF($C332="","",IFERROR(IF($E332="machine",INDEX('JLR Machines'!$B$2:$B$20001,MATCH($C332,'JLR Machines'!$A$2:$A$20001,0)),IF($E332="material",INDEX('JLR Materials'!$B$2:$B$20001,MATCH($C332,'JLR Materials'!$A$2:$A$20001,0)),IF($E332="labour",IFERROR(INDEX('JLR Labour'!$B$2:$B$20001,MATCH($C332,'JLR Labour'!$A$2:$A$20001,0)),"labour category "&amp;$C332&amp;" — from the machine tab"),""))),"NOT FOUND — check the code"))</f>
        <v/>
      </c>
      <c r="E332" s="30" t="s">
        <v>925</v>
      </c>
    </row>
    <row r="333" spans="1:5" x14ac:dyDescent="0.25">
      <c r="A333" s="28" t="s">
        <v>930</v>
      </c>
      <c r="B333" s="19" t="s">
        <v>931</v>
      </c>
      <c r="C333" s="29"/>
      <c r="D333" s="17" t="str">
        <f>IF($C333="","",IFERROR(IF($E333="machine",INDEX('JLR Machines'!$B$2:$B$20001,MATCH($C333,'JLR Machines'!$A$2:$A$20001,0)),IF($E333="material",INDEX('JLR Materials'!$B$2:$B$20001,MATCH($C333,'JLR Materials'!$A$2:$A$20001,0)),IF($E333="labour",IFERROR(INDEX('JLR Labour'!$B$2:$B$20001,MATCH($C333,'JLR Labour'!$A$2:$A$20001,0)),"labour category "&amp;$C333&amp;" — from the machine tab"),""))),"NOT FOUND — check the code"))</f>
        <v/>
      </c>
      <c r="E333" s="30" t="s">
        <v>925</v>
      </c>
    </row>
    <row r="334" spans="1:5" x14ac:dyDescent="0.25">
      <c r="A334" s="28" t="s">
        <v>932</v>
      </c>
      <c r="B334" s="19" t="s">
        <v>933</v>
      </c>
      <c r="C334" s="29"/>
      <c r="D334" s="17" t="str">
        <f>IF($C334="","",IFERROR(IF($E334="machine",INDEX('JLR Machines'!$B$2:$B$20001,MATCH($C334,'JLR Machines'!$A$2:$A$20001,0)),IF($E334="material",INDEX('JLR Materials'!$B$2:$B$20001,MATCH($C334,'JLR Materials'!$A$2:$A$20001,0)),IF($E334="labour",IFERROR(INDEX('JLR Labour'!$B$2:$B$20001,MATCH($C334,'JLR Labour'!$A$2:$A$20001,0)),"labour category "&amp;$C334&amp;" — from the machine tab"),""))),"NOT FOUND — check the code"))</f>
        <v/>
      </c>
      <c r="E334" s="30" t="s">
        <v>925</v>
      </c>
    </row>
    <row r="335" spans="1:5" x14ac:dyDescent="0.25">
      <c r="A335" s="28" t="s">
        <v>934</v>
      </c>
      <c r="B335" s="19" t="s">
        <v>935</v>
      </c>
      <c r="C335" s="29"/>
      <c r="D335" s="17" t="str">
        <f>IF($C335="","",IFERROR(IF($E335="machine",INDEX('JLR Machines'!$B$2:$B$20001,MATCH($C335,'JLR Machines'!$A$2:$A$20001,0)),IF($E335="material",INDEX('JLR Materials'!$B$2:$B$20001,MATCH($C335,'JLR Materials'!$A$2:$A$20001,0)),IF($E335="labour",IFERROR(INDEX('JLR Labour'!$B$2:$B$20001,MATCH($C335,'JLR Labour'!$A$2:$A$20001,0)),"labour category "&amp;$C335&amp;" — from the machine tab"),""))),"NOT FOUND — check the code"))</f>
        <v/>
      </c>
      <c r="E335" s="30" t="s">
        <v>925</v>
      </c>
    </row>
    <row r="336" spans="1:5" x14ac:dyDescent="0.25">
      <c r="A336" s="28" t="s">
        <v>936</v>
      </c>
      <c r="B336" s="19" t="s">
        <v>937</v>
      </c>
      <c r="C336" s="29"/>
      <c r="D336" s="17" t="str">
        <f>IF($C336="","",IFERROR(IF($E336="machine",INDEX('JLR Machines'!$B$2:$B$20001,MATCH($C336,'JLR Machines'!$A$2:$A$20001,0)),IF($E336="material",INDEX('JLR Materials'!$B$2:$B$20001,MATCH($C336,'JLR Materials'!$A$2:$A$20001,0)),IF($E336="labour",IFERROR(INDEX('JLR Labour'!$B$2:$B$20001,MATCH($C336,'JLR Labour'!$A$2:$A$20001,0)),"labour category "&amp;$C336&amp;" — from the machine tab"),""))),"NOT FOUND — check the code"))</f>
        <v/>
      </c>
      <c r="E336" s="30" t="s">
        <v>925</v>
      </c>
    </row>
    <row r="337" spans="1:5" x14ac:dyDescent="0.25">
      <c r="A337" s="28" t="s">
        <v>938</v>
      </c>
      <c r="B337" s="19" t="s">
        <v>939</v>
      </c>
      <c r="C337" s="29"/>
      <c r="D337" s="17" t="str">
        <f>IF($C337="","",IFERROR(IF($E337="machine",INDEX('JLR Machines'!$B$2:$B$20001,MATCH($C337,'JLR Machines'!$A$2:$A$20001,0)),IF($E337="material",INDEX('JLR Materials'!$B$2:$B$20001,MATCH($C337,'JLR Materials'!$A$2:$A$20001,0)),IF($E337="labour",IFERROR(INDEX('JLR Labour'!$B$2:$B$20001,MATCH($C337,'JLR Labour'!$A$2:$A$20001,0)),"labour category "&amp;$C337&amp;" — from the machine tab"),""))),"NOT FOUND — check the code"))</f>
        <v/>
      </c>
      <c r="E337" s="30" t="s">
        <v>925</v>
      </c>
    </row>
    <row r="338" spans="1:5" x14ac:dyDescent="0.25">
      <c r="A338" s="28" t="s">
        <v>940</v>
      </c>
      <c r="B338" s="19" t="s">
        <v>941</v>
      </c>
      <c r="C338" s="29"/>
      <c r="D338" s="17" t="str">
        <f>IF($C338="","",IFERROR(IF($E338="machine",INDEX('JLR Machines'!$B$2:$B$20001,MATCH($C338,'JLR Machines'!$A$2:$A$20001,0)),IF($E338="material",INDEX('JLR Materials'!$B$2:$B$20001,MATCH($C338,'JLR Materials'!$A$2:$A$20001,0)),IF($E338="labour",IFERROR(INDEX('JLR Labour'!$B$2:$B$20001,MATCH($C338,'JLR Labour'!$A$2:$A$20001,0)),"labour category "&amp;$C338&amp;" — from the machine tab"),""))),"NOT FOUND — check the code"))</f>
        <v/>
      </c>
      <c r="E338" s="30" t="s">
        <v>925</v>
      </c>
    </row>
    <row r="339" spans="1:5" x14ac:dyDescent="0.25">
      <c r="A339" s="28" t="s">
        <v>942</v>
      </c>
      <c r="B339" s="19" t="s">
        <v>943</v>
      </c>
      <c r="C339" s="29"/>
      <c r="D339" s="17" t="str">
        <f>IF($C339="","",IFERROR(IF($E339="machine",INDEX('JLR Machines'!$B$2:$B$20001,MATCH($C339,'JLR Machines'!$A$2:$A$20001,0)),IF($E339="material",INDEX('JLR Materials'!$B$2:$B$20001,MATCH($C339,'JLR Materials'!$A$2:$A$20001,0)),IF($E339="labour",IFERROR(INDEX('JLR Labour'!$B$2:$B$20001,MATCH($C339,'JLR Labour'!$A$2:$A$20001,0)),"labour category "&amp;$C339&amp;" — from the machine tab"),""))),"NOT FOUND — check the code"))</f>
        <v/>
      </c>
      <c r="E339" s="30" t="s">
        <v>925</v>
      </c>
    </row>
    <row r="340" spans="1:5" x14ac:dyDescent="0.25">
      <c r="A340" s="28" t="s">
        <v>944</v>
      </c>
      <c r="B340" s="19" t="s">
        <v>945</v>
      </c>
      <c r="C340" s="29"/>
      <c r="D340" s="17" t="str">
        <f>IF($C340="","",IFERROR(IF($E340="machine",INDEX('JLR Machines'!$B$2:$B$20001,MATCH($C340,'JLR Machines'!$A$2:$A$20001,0)),IF($E340="material",INDEX('JLR Materials'!$B$2:$B$20001,MATCH($C340,'JLR Materials'!$A$2:$A$20001,0)),IF($E340="labour",IFERROR(INDEX('JLR Labour'!$B$2:$B$20001,MATCH($C340,'JLR Labour'!$A$2:$A$20001,0)),"labour category "&amp;$C340&amp;" — from the machine tab"),""))),"NOT FOUND — check the code"))</f>
        <v/>
      </c>
      <c r="E340" s="30" t="s">
        <v>925</v>
      </c>
    </row>
    <row r="341" spans="1:5" x14ac:dyDescent="0.25">
      <c r="A341" s="28" t="s">
        <v>946</v>
      </c>
      <c r="B341" s="19" t="s">
        <v>947</v>
      </c>
      <c r="C341" s="29"/>
      <c r="D341" s="17" t="str">
        <f>IF($C341="","",IFERROR(IF($E341="machine",INDEX('JLR Machines'!$B$2:$B$20001,MATCH($C341,'JLR Machines'!$A$2:$A$20001,0)),IF($E341="material",INDEX('JLR Materials'!$B$2:$B$20001,MATCH($C341,'JLR Materials'!$A$2:$A$20001,0)),IF($E341="labour",IFERROR(INDEX('JLR Labour'!$B$2:$B$20001,MATCH($C341,'JLR Labour'!$A$2:$A$20001,0)),"labour category "&amp;$C341&amp;" — from the machine tab"),""))),"NOT FOUND — check the code"))</f>
        <v/>
      </c>
      <c r="E341" s="30" t="s">
        <v>925</v>
      </c>
    </row>
    <row r="342" spans="1:5" x14ac:dyDescent="0.25">
      <c r="A342" s="28" t="s">
        <v>948</v>
      </c>
      <c r="B342" s="19" t="s">
        <v>949</v>
      </c>
      <c r="C342" s="29"/>
      <c r="D342" s="17" t="str">
        <f>IF($C342="","",IFERROR(IF($E342="machine",INDEX('JLR Machines'!$B$2:$B$20001,MATCH($C342,'JLR Machines'!$A$2:$A$20001,0)),IF($E342="material",INDEX('JLR Materials'!$B$2:$B$20001,MATCH($C342,'JLR Materials'!$A$2:$A$20001,0)),IF($E342="labour",IFERROR(INDEX('JLR Labour'!$B$2:$B$20001,MATCH($C342,'JLR Labour'!$A$2:$A$20001,0)),"labour category "&amp;$C342&amp;" — from the machine tab"),""))),"NOT FOUND — check the code"))</f>
        <v/>
      </c>
      <c r="E342" s="30" t="s">
        <v>925</v>
      </c>
    </row>
    <row r="343" spans="1:5" x14ac:dyDescent="0.25">
      <c r="A343" s="28" t="s">
        <v>950</v>
      </c>
      <c r="B343" s="19" t="s">
        <v>951</v>
      </c>
      <c r="C343" s="29"/>
      <c r="D343" s="17" t="str">
        <f>IF($C343="","",IFERROR(IF($E343="machine",INDEX('JLR Machines'!$B$2:$B$20001,MATCH($C343,'JLR Machines'!$A$2:$A$20001,0)),IF($E343="material",INDEX('JLR Materials'!$B$2:$B$20001,MATCH($C343,'JLR Materials'!$A$2:$A$20001,0)),IF($E343="labour",IFERROR(INDEX('JLR Labour'!$B$2:$B$20001,MATCH($C343,'JLR Labour'!$A$2:$A$20001,0)),"labour category "&amp;$C343&amp;" — from the machine tab"),""))),"NOT FOUND — check the code"))</f>
        <v/>
      </c>
      <c r="E343" s="30" t="s">
        <v>925</v>
      </c>
    </row>
    <row r="344" spans="1:5" x14ac:dyDescent="0.25">
      <c r="A344" s="28" t="s">
        <v>952</v>
      </c>
      <c r="B344" s="19" t="s">
        <v>953</v>
      </c>
      <c r="C344" s="29"/>
      <c r="D344" s="17" t="str">
        <f>IF($C344="","",IFERROR(IF($E344="machine",INDEX('JLR Machines'!$B$2:$B$20001,MATCH($C344,'JLR Machines'!$A$2:$A$20001,0)),IF($E344="material",INDEX('JLR Materials'!$B$2:$B$20001,MATCH($C344,'JLR Materials'!$A$2:$A$20001,0)),IF($E344="labour",IFERROR(INDEX('JLR Labour'!$B$2:$B$20001,MATCH($C344,'JLR Labour'!$A$2:$A$20001,0)),"labour category "&amp;$C344&amp;" — from the machine tab"),""))),"NOT FOUND — check the code"))</f>
        <v/>
      </c>
      <c r="E344" s="30" t="s">
        <v>925</v>
      </c>
    </row>
    <row r="345" spans="1:5" x14ac:dyDescent="0.25">
      <c r="A345" s="28" t="s">
        <v>954</v>
      </c>
      <c r="B345" s="19" t="s">
        <v>955</v>
      </c>
      <c r="C345" s="29"/>
      <c r="D345" s="17" t="str">
        <f>IF($C345="","",IFERROR(IF($E345="machine",INDEX('JLR Machines'!$B$2:$B$20001,MATCH($C345,'JLR Machines'!$A$2:$A$20001,0)),IF($E345="material",INDEX('JLR Materials'!$B$2:$B$20001,MATCH($C345,'JLR Materials'!$A$2:$A$20001,0)),IF($E345="labour",IFERROR(INDEX('JLR Labour'!$B$2:$B$20001,MATCH($C345,'JLR Labour'!$A$2:$A$20001,0)),"labour category "&amp;$C345&amp;" — from the machine tab"),""))),"NOT FOUND — check the code"))</f>
        <v/>
      </c>
      <c r="E345" s="30" t="s">
        <v>925</v>
      </c>
    </row>
    <row r="346" spans="1:5" x14ac:dyDescent="0.25">
      <c r="A346" s="28" t="s">
        <v>956</v>
      </c>
      <c r="B346" s="19" t="s">
        <v>957</v>
      </c>
      <c r="C346" s="29"/>
      <c r="D346" s="17" t="str">
        <f>IF($C346="","",IFERROR(IF($E346="machine",INDEX('JLR Machines'!$B$2:$B$20001,MATCH($C346,'JLR Machines'!$A$2:$A$20001,0)),IF($E346="material",INDEX('JLR Materials'!$B$2:$B$20001,MATCH($C346,'JLR Materials'!$A$2:$A$20001,0)),IF($E346="labour",IFERROR(INDEX('JLR Labour'!$B$2:$B$20001,MATCH($C346,'JLR Labour'!$A$2:$A$20001,0)),"labour category "&amp;$C346&amp;" — from the machine tab"),""))),"NOT FOUND — check the code"))</f>
        <v/>
      </c>
      <c r="E346" s="30" t="s">
        <v>925</v>
      </c>
    </row>
    <row r="347" spans="1:5" x14ac:dyDescent="0.25">
      <c r="A347" s="28" t="s">
        <v>958</v>
      </c>
      <c r="B347" s="19" t="s">
        <v>959</v>
      </c>
      <c r="C347" s="29"/>
      <c r="D347" s="17" t="str">
        <f>IF($C347="","",IFERROR(IF($E347="machine",INDEX('JLR Machines'!$B$2:$B$20001,MATCH($C347,'JLR Machines'!$A$2:$A$20001,0)),IF($E347="material",INDEX('JLR Materials'!$B$2:$B$20001,MATCH($C347,'JLR Materials'!$A$2:$A$20001,0)),IF($E347="labour",IFERROR(INDEX('JLR Labour'!$B$2:$B$20001,MATCH($C347,'JLR Labour'!$A$2:$A$20001,0)),"labour category "&amp;$C347&amp;" — from the machine tab"),""))),"NOT FOUND — check the code"))</f>
        <v/>
      </c>
      <c r="E347" s="30" t="s">
        <v>925</v>
      </c>
    </row>
    <row r="348" spans="1:5" x14ac:dyDescent="0.25">
      <c r="A348" s="28" t="s">
        <v>960</v>
      </c>
      <c r="B348" s="19" t="s">
        <v>961</v>
      </c>
      <c r="C348" s="29"/>
      <c r="D348" s="17" t="str">
        <f>IF($C348="","",IFERROR(IF($E348="machine",INDEX('JLR Machines'!$B$2:$B$20001,MATCH($C348,'JLR Machines'!$A$2:$A$20001,0)),IF($E348="material",INDEX('JLR Materials'!$B$2:$B$20001,MATCH($C348,'JLR Materials'!$A$2:$A$20001,0)),IF($E348="labour",IFERROR(INDEX('JLR Labour'!$B$2:$B$20001,MATCH($C348,'JLR Labour'!$A$2:$A$20001,0)),"labour category "&amp;$C348&amp;" — from the machine tab"),""))),"NOT FOUND — check the code"))</f>
        <v/>
      </c>
      <c r="E348" s="30" t="s">
        <v>925</v>
      </c>
    </row>
    <row r="349" spans="1:5" x14ac:dyDescent="0.25">
      <c r="A349" s="28" t="s">
        <v>962</v>
      </c>
      <c r="B349" s="19" t="s">
        <v>963</v>
      </c>
      <c r="C349" s="29"/>
      <c r="D349" s="17" t="str">
        <f>IF($C349="","",IFERROR(IF($E349="machine",INDEX('JLR Machines'!$B$2:$B$20001,MATCH($C349,'JLR Machines'!$A$2:$A$20001,0)),IF($E349="material",INDEX('JLR Materials'!$B$2:$B$20001,MATCH($C349,'JLR Materials'!$A$2:$A$20001,0)),IF($E349="labour",IFERROR(INDEX('JLR Labour'!$B$2:$B$20001,MATCH($C349,'JLR Labour'!$A$2:$A$20001,0)),"labour category "&amp;$C349&amp;" — from the machine tab"),""))),"NOT FOUND — check the code"))</f>
        <v/>
      </c>
      <c r="E349" s="30" t="s">
        <v>925</v>
      </c>
    </row>
    <row r="350" spans="1:5" x14ac:dyDescent="0.25">
      <c r="A350" s="28" t="s">
        <v>964</v>
      </c>
      <c r="B350" s="19" t="s">
        <v>965</v>
      </c>
      <c r="C350" s="29"/>
      <c r="D350" s="17" t="str">
        <f>IF($C350="","",IFERROR(IF($E350="machine",INDEX('JLR Machines'!$B$2:$B$20001,MATCH($C350,'JLR Machines'!$A$2:$A$20001,0)),IF($E350="material",INDEX('JLR Materials'!$B$2:$B$20001,MATCH($C350,'JLR Materials'!$A$2:$A$20001,0)),IF($E350="labour",IFERROR(INDEX('JLR Labour'!$B$2:$B$20001,MATCH($C350,'JLR Labour'!$A$2:$A$20001,0)),"labour category "&amp;$C350&amp;" — from the machine tab"),""))),"NOT FOUND — check the code"))</f>
        <v/>
      </c>
      <c r="E350" s="30" t="s">
        <v>925</v>
      </c>
    </row>
    <row r="351" spans="1:5" x14ac:dyDescent="0.25">
      <c r="A351" s="28" t="s">
        <v>966</v>
      </c>
      <c r="B351" s="19" t="s">
        <v>967</v>
      </c>
      <c r="C351" s="29"/>
      <c r="D351" s="17" t="str">
        <f>IF($C351="","",IFERROR(IF($E351="machine",INDEX('JLR Machines'!$B$2:$B$20001,MATCH($C351,'JLR Machines'!$A$2:$A$20001,0)),IF($E351="material",INDEX('JLR Materials'!$B$2:$B$20001,MATCH($C351,'JLR Materials'!$A$2:$A$20001,0)),IF($E351="labour",IFERROR(INDEX('JLR Labour'!$B$2:$B$20001,MATCH($C351,'JLR Labour'!$A$2:$A$20001,0)),"labour category "&amp;$C351&amp;" — from the machine tab"),""))),"NOT FOUND — check the code"))</f>
        <v/>
      </c>
      <c r="E351" s="30" t="s">
        <v>925</v>
      </c>
    </row>
    <row r="352" spans="1:5" x14ac:dyDescent="0.25">
      <c r="A352" s="28" t="s">
        <v>968</v>
      </c>
      <c r="B352" s="19" t="s">
        <v>969</v>
      </c>
      <c r="C352" s="29"/>
      <c r="D352" s="17" t="str">
        <f>IF($C352="","",IFERROR(IF($E352="machine",INDEX('JLR Machines'!$B$2:$B$20001,MATCH($C352,'JLR Machines'!$A$2:$A$20001,0)),IF($E352="material",INDEX('JLR Materials'!$B$2:$B$20001,MATCH($C352,'JLR Materials'!$A$2:$A$20001,0)),IF($E352="labour",IFERROR(INDEX('JLR Labour'!$B$2:$B$20001,MATCH($C352,'JLR Labour'!$A$2:$A$20001,0)),"labour category "&amp;$C352&amp;" — from the machine tab"),""))),"NOT FOUND — check the code"))</f>
        <v/>
      </c>
      <c r="E352" s="30" t="s">
        <v>925</v>
      </c>
    </row>
    <row r="353" spans="1:5" x14ac:dyDescent="0.25">
      <c r="A353" s="28" t="s">
        <v>970</v>
      </c>
      <c r="B353" s="19" t="s">
        <v>971</v>
      </c>
      <c r="C353" s="29"/>
      <c r="D353" s="17" t="str">
        <f>IF($C353="","",IFERROR(IF($E353="machine",INDEX('JLR Machines'!$B$2:$B$20001,MATCH($C353,'JLR Machines'!$A$2:$A$20001,0)),IF($E353="material",INDEX('JLR Materials'!$B$2:$B$20001,MATCH($C353,'JLR Materials'!$A$2:$A$20001,0)),IF($E353="labour",IFERROR(INDEX('JLR Labour'!$B$2:$B$20001,MATCH($C353,'JLR Labour'!$A$2:$A$20001,0)),"labour category "&amp;$C353&amp;" — from the machine tab"),""))),"NOT FOUND — check the code"))</f>
        <v/>
      </c>
      <c r="E353" s="30" t="s">
        <v>925</v>
      </c>
    </row>
    <row r="354" spans="1:5" x14ac:dyDescent="0.25">
      <c r="A354" s="28" t="s">
        <v>972</v>
      </c>
      <c r="B354" s="19" t="s">
        <v>973</v>
      </c>
      <c r="C354" s="29"/>
      <c r="D354" s="17" t="str">
        <f>IF($C354="","",IFERROR(IF($E354="machine",INDEX('JLR Machines'!$B$2:$B$20001,MATCH($C354,'JLR Machines'!$A$2:$A$20001,0)),IF($E354="material",INDEX('JLR Materials'!$B$2:$B$20001,MATCH($C354,'JLR Materials'!$A$2:$A$20001,0)),IF($E354="labour",IFERROR(INDEX('JLR Labour'!$B$2:$B$20001,MATCH($C354,'JLR Labour'!$A$2:$A$20001,0)),"labour category "&amp;$C354&amp;" — from the machine tab"),""))),"NOT FOUND — check the code"))</f>
        <v/>
      </c>
      <c r="E354" s="30" t="s">
        <v>925</v>
      </c>
    </row>
    <row r="355" spans="1:5" x14ac:dyDescent="0.25">
      <c r="A355" s="28" t="s">
        <v>974</v>
      </c>
      <c r="B355" s="19" t="s">
        <v>975</v>
      </c>
      <c r="C355" s="29"/>
      <c r="D355" s="17" t="str">
        <f>IF($C355="","",IFERROR(IF($E355="machine",INDEX('JLR Machines'!$B$2:$B$20001,MATCH($C355,'JLR Machines'!$A$2:$A$20001,0)),IF($E355="material",INDEX('JLR Materials'!$B$2:$B$20001,MATCH($C355,'JLR Materials'!$A$2:$A$20001,0)),IF($E355="labour",IFERROR(INDEX('JLR Labour'!$B$2:$B$20001,MATCH($C355,'JLR Labour'!$A$2:$A$20001,0)),"labour category "&amp;$C355&amp;" — from the machine tab"),""))),"NOT FOUND — check the code"))</f>
        <v/>
      </c>
      <c r="E355" s="30" t="s">
        <v>925</v>
      </c>
    </row>
    <row r="356" spans="1:5" x14ac:dyDescent="0.25">
      <c r="A356" s="28" t="s">
        <v>976</v>
      </c>
      <c r="B356" s="19" t="s">
        <v>977</v>
      </c>
      <c r="C356" s="29"/>
      <c r="D356" s="17" t="str">
        <f>IF($C356="","",IFERROR(IF($E356="machine",INDEX('JLR Machines'!$B$2:$B$20001,MATCH($C356,'JLR Machines'!$A$2:$A$20001,0)),IF($E356="material",INDEX('JLR Materials'!$B$2:$B$20001,MATCH($C356,'JLR Materials'!$A$2:$A$20001,0)),IF($E356="labour",IFERROR(INDEX('JLR Labour'!$B$2:$B$20001,MATCH($C356,'JLR Labour'!$A$2:$A$20001,0)),"labour category "&amp;$C356&amp;" — from the machine tab"),""))),"NOT FOUND — check the code"))</f>
        <v/>
      </c>
      <c r="E356" s="30" t="s">
        <v>925</v>
      </c>
    </row>
    <row r="357" spans="1:5" x14ac:dyDescent="0.25">
      <c r="A357" s="28" t="s">
        <v>978</v>
      </c>
      <c r="B357" s="19" t="s">
        <v>979</v>
      </c>
      <c r="C357" s="29"/>
      <c r="D357" s="17" t="str">
        <f>IF($C357="","",IFERROR(IF($E357="machine",INDEX('JLR Machines'!$B$2:$B$20001,MATCH($C357,'JLR Machines'!$A$2:$A$20001,0)),IF($E357="material",INDEX('JLR Materials'!$B$2:$B$20001,MATCH($C357,'JLR Materials'!$A$2:$A$20001,0)),IF($E357="labour",IFERROR(INDEX('JLR Labour'!$B$2:$B$20001,MATCH($C357,'JLR Labour'!$A$2:$A$20001,0)),"labour category "&amp;$C357&amp;" — from the machine tab"),""))),"NOT FOUND — check the code"))</f>
        <v/>
      </c>
      <c r="E357" s="30" t="s">
        <v>925</v>
      </c>
    </row>
    <row r="358" spans="1:5" x14ac:dyDescent="0.25">
      <c r="A358" s="28" t="s">
        <v>980</v>
      </c>
      <c r="B358" s="19" t="s">
        <v>981</v>
      </c>
      <c r="C358" s="29"/>
      <c r="D358" s="17" t="str">
        <f>IF($C358="","",IFERROR(IF($E358="machine",INDEX('JLR Machines'!$B$2:$B$20001,MATCH($C358,'JLR Machines'!$A$2:$A$20001,0)),IF($E358="material",INDEX('JLR Materials'!$B$2:$B$20001,MATCH($C358,'JLR Materials'!$A$2:$A$20001,0)),IF($E358="labour",IFERROR(INDEX('JLR Labour'!$B$2:$B$20001,MATCH($C358,'JLR Labour'!$A$2:$A$20001,0)),"labour category "&amp;$C358&amp;" — from the machine tab"),""))),"NOT FOUND — check the code"))</f>
        <v/>
      </c>
      <c r="E358" s="30" t="s">
        <v>925</v>
      </c>
    </row>
    <row r="359" spans="1:5" x14ac:dyDescent="0.25">
      <c r="A359" s="28" t="s">
        <v>982</v>
      </c>
      <c r="B359" s="19" t="s">
        <v>983</v>
      </c>
      <c r="C359" s="29"/>
      <c r="D359" s="17" t="str">
        <f>IF($C359="","",IFERROR(IF($E359="machine",INDEX('JLR Machines'!$B$2:$B$20001,MATCH($C359,'JLR Machines'!$A$2:$A$20001,0)),IF($E359="material",INDEX('JLR Materials'!$B$2:$B$20001,MATCH($C359,'JLR Materials'!$A$2:$A$20001,0)),IF($E359="labour",IFERROR(INDEX('JLR Labour'!$B$2:$B$20001,MATCH($C359,'JLR Labour'!$A$2:$A$20001,0)),"labour category "&amp;$C359&amp;" — from the machine tab"),""))),"NOT FOUND — check the code"))</f>
        <v/>
      </c>
      <c r="E359" s="30" t="s">
        <v>925</v>
      </c>
    </row>
    <row r="360" spans="1:5" x14ac:dyDescent="0.25">
      <c r="A360" s="28" t="s">
        <v>984</v>
      </c>
      <c r="B360" s="19" t="s">
        <v>985</v>
      </c>
      <c r="C360" s="29"/>
      <c r="D360" s="17" t="str">
        <f>IF($C360="","",IFERROR(IF($E360="machine",INDEX('JLR Machines'!$B$2:$B$20001,MATCH($C360,'JLR Machines'!$A$2:$A$20001,0)),IF($E360="material",INDEX('JLR Materials'!$B$2:$B$20001,MATCH($C360,'JLR Materials'!$A$2:$A$20001,0)),IF($E360="labour",IFERROR(INDEX('JLR Labour'!$B$2:$B$20001,MATCH($C360,'JLR Labour'!$A$2:$A$20001,0)),"labour category "&amp;$C360&amp;" — from the machine tab"),""))),"NOT FOUND — check the code"))</f>
        <v/>
      </c>
      <c r="E360" s="30" t="s">
        <v>925</v>
      </c>
    </row>
    <row r="361" spans="1:5" x14ac:dyDescent="0.25">
      <c r="A361" s="28" t="s">
        <v>986</v>
      </c>
      <c r="B361" s="19" t="s">
        <v>987</v>
      </c>
      <c r="C361" s="29"/>
      <c r="D361" s="17" t="str">
        <f>IF($C361="","",IFERROR(IF($E361="machine",INDEX('JLR Machines'!$B$2:$B$20001,MATCH($C361,'JLR Machines'!$A$2:$A$20001,0)),IF($E361="material",INDEX('JLR Materials'!$B$2:$B$20001,MATCH($C361,'JLR Materials'!$A$2:$A$20001,0)),IF($E361="labour",IFERROR(INDEX('JLR Labour'!$B$2:$B$20001,MATCH($C361,'JLR Labour'!$A$2:$A$20001,0)),"labour category "&amp;$C361&amp;" — from the machine tab"),""))),"NOT FOUND — check the code"))</f>
        <v/>
      </c>
      <c r="E361" s="30" t="s">
        <v>925</v>
      </c>
    </row>
    <row r="362" spans="1:5" x14ac:dyDescent="0.25">
      <c r="A362" s="28" t="s">
        <v>988</v>
      </c>
      <c r="B362" s="19" t="s">
        <v>989</v>
      </c>
      <c r="C362" s="29"/>
      <c r="D362" s="17" t="str">
        <f>IF($C362="","",IFERROR(IF($E362="machine",INDEX('JLR Machines'!$B$2:$B$20001,MATCH($C362,'JLR Machines'!$A$2:$A$20001,0)),IF($E362="material",INDEX('JLR Materials'!$B$2:$B$20001,MATCH($C362,'JLR Materials'!$A$2:$A$20001,0)),IF($E362="labour",IFERROR(INDEX('JLR Labour'!$B$2:$B$20001,MATCH($C362,'JLR Labour'!$A$2:$A$20001,0)),"labour category "&amp;$C362&amp;" — from the machine tab"),""))),"NOT FOUND — check the code"))</f>
        <v/>
      </c>
      <c r="E362" s="30" t="s">
        <v>925</v>
      </c>
    </row>
    <row r="363" spans="1:5" x14ac:dyDescent="0.25">
      <c r="A363" s="28" t="s">
        <v>990</v>
      </c>
      <c r="B363" s="19" t="s">
        <v>991</v>
      </c>
      <c r="C363" s="29"/>
      <c r="D363" s="17" t="str">
        <f>IF($C363="","",IFERROR(IF($E363="machine",INDEX('JLR Machines'!$B$2:$B$20001,MATCH($C363,'JLR Machines'!$A$2:$A$20001,0)),IF($E363="material",INDEX('JLR Materials'!$B$2:$B$20001,MATCH($C363,'JLR Materials'!$A$2:$A$20001,0)),IF($E363="labour",IFERROR(INDEX('JLR Labour'!$B$2:$B$20001,MATCH($C363,'JLR Labour'!$A$2:$A$20001,0)),"labour category "&amp;$C363&amp;" — from the machine tab"),""))),"NOT FOUND — check the code"))</f>
        <v/>
      </c>
      <c r="E363" s="30" t="s">
        <v>925</v>
      </c>
    </row>
    <row r="364" spans="1:5" x14ac:dyDescent="0.25">
      <c r="A364" s="28" t="s">
        <v>992</v>
      </c>
      <c r="B364" s="19" t="s">
        <v>993</v>
      </c>
      <c r="C364" s="29"/>
      <c r="D364" s="17" t="str">
        <f>IF($C364="","",IFERROR(IF($E364="machine",INDEX('JLR Machines'!$B$2:$B$20001,MATCH($C364,'JLR Machines'!$A$2:$A$20001,0)),IF($E364="material",INDEX('JLR Materials'!$B$2:$B$20001,MATCH($C364,'JLR Materials'!$A$2:$A$20001,0)),IF($E364="labour",IFERROR(INDEX('JLR Labour'!$B$2:$B$20001,MATCH($C364,'JLR Labour'!$A$2:$A$20001,0)),"labour category "&amp;$C364&amp;" — from the machine tab"),""))),"NOT FOUND — check the code"))</f>
        <v/>
      </c>
      <c r="E364" s="30" t="s">
        <v>925</v>
      </c>
    </row>
    <row r="365" spans="1:5" x14ac:dyDescent="0.25">
      <c r="A365" s="28" t="s">
        <v>994</v>
      </c>
      <c r="B365" s="19" t="s">
        <v>995</v>
      </c>
      <c r="C365" s="29"/>
      <c r="D365" s="17" t="str">
        <f>IF($C365="","",IFERROR(IF($E365="machine",INDEX('JLR Machines'!$B$2:$B$20001,MATCH($C365,'JLR Machines'!$A$2:$A$20001,0)),IF($E365="material",INDEX('JLR Materials'!$B$2:$B$20001,MATCH($C365,'JLR Materials'!$A$2:$A$20001,0)),IF($E365="labour",IFERROR(INDEX('JLR Labour'!$B$2:$B$20001,MATCH($C365,'JLR Labour'!$A$2:$A$20001,0)),"labour category "&amp;$C365&amp;" — from the machine tab"),""))),"NOT FOUND — check the code"))</f>
        <v/>
      </c>
      <c r="E365" s="30" t="s">
        <v>925</v>
      </c>
    </row>
    <row r="366" spans="1:5" x14ac:dyDescent="0.25">
      <c r="A366" s="28" t="s">
        <v>996</v>
      </c>
      <c r="B366" s="19" t="s">
        <v>997</v>
      </c>
      <c r="C366" s="29"/>
      <c r="D366" s="17" t="str">
        <f>IF($C366="","",IFERROR(IF($E366="machine",INDEX('JLR Machines'!$B$2:$B$20001,MATCH($C366,'JLR Machines'!$A$2:$A$20001,0)),IF($E366="material",INDEX('JLR Materials'!$B$2:$B$20001,MATCH($C366,'JLR Materials'!$A$2:$A$20001,0)),IF($E366="labour",IFERROR(INDEX('JLR Labour'!$B$2:$B$20001,MATCH($C366,'JLR Labour'!$A$2:$A$20001,0)),"labour category "&amp;$C366&amp;" — from the machine tab"),""))),"NOT FOUND — check the code"))</f>
        <v/>
      </c>
      <c r="E366" s="30" t="s">
        <v>925</v>
      </c>
    </row>
    <row r="367" spans="1:5" x14ac:dyDescent="0.25">
      <c r="A367" s="28" t="s">
        <v>998</v>
      </c>
      <c r="B367" s="19" t="s">
        <v>999</v>
      </c>
      <c r="C367" s="29"/>
      <c r="D367" s="17" t="str">
        <f>IF($C367="","",IFERROR(IF($E367="machine",INDEX('JLR Machines'!$B$2:$B$20001,MATCH($C367,'JLR Machines'!$A$2:$A$20001,0)),IF($E367="material",INDEX('JLR Materials'!$B$2:$B$20001,MATCH($C367,'JLR Materials'!$A$2:$A$20001,0)),IF($E367="labour",IFERROR(INDEX('JLR Labour'!$B$2:$B$20001,MATCH($C367,'JLR Labour'!$A$2:$A$20001,0)),"labour category "&amp;$C367&amp;" — from the machine tab"),""))),"NOT FOUND — check the code"))</f>
        <v/>
      </c>
      <c r="E367" s="30" t="s">
        <v>925</v>
      </c>
    </row>
    <row r="368" spans="1:5" x14ac:dyDescent="0.25">
      <c r="A368" s="28" t="s">
        <v>1000</v>
      </c>
      <c r="B368" s="19" t="s">
        <v>1001</v>
      </c>
      <c r="C368" s="29"/>
      <c r="D368" s="17" t="str">
        <f>IF($C368="","",IFERROR(IF($E368="machine",INDEX('JLR Machines'!$B$2:$B$20001,MATCH($C368,'JLR Machines'!$A$2:$A$20001,0)),IF($E368="material",INDEX('JLR Materials'!$B$2:$B$20001,MATCH($C368,'JLR Materials'!$A$2:$A$20001,0)),IF($E368="labour",IFERROR(INDEX('JLR Labour'!$B$2:$B$20001,MATCH($C368,'JLR Labour'!$A$2:$A$20001,0)),"labour category "&amp;$C368&amp;" — from the machine tab"),""))),"NOT FOUND — check the code"))</f>
        <v/>
      </c>
      <c r="E368" s="30" t="s">
        <v>925</v>
      </c>
    </row>
    <row r="369" spans="1:5" x14ac:dyDescent="0.25">
      <c r="A369" s="28" t="s">
        <v>1002</v>
      </c>
      <c r="B369" s="19" t="s">
        <v>1003</v>
      </c>
      <c r="C369" s="29"/>
      <c r="D369" s="17" t="str">
        <f>IF($C369="","",IFERROR(IF($E369="machine",INDEX('JLR Machines'!$B$2:$B$20001,MATCH($C369,'JLR Machines'!$A$2:$A$20001,0)),IF($E369="material",INDEX('JLR Materials'!$B$2:$B$20001,MATCH($C369,'JLR Materials'!$A$2:$A$20001,0)),IF($E369="labour",IFERROR(INDEX('JLR Labour'!$B$2:$B$20001,MATCH($C369,'JLR Labour'!$A$2:$A$20001,0)),"labour category "&amp;$C369&amp;" — from the machine tab"),""))),"NOT FOUND — check the code"))</f>
        <v/>
      </c>
      <c r="E369" s="30" t="s">
        <v>925</v>
      </c>
    </row>
    <row r="370" spans="1:5" x14ac:dyDescent="0.25">
      <c r="A370" s="28" t="s">
        <v>1004</v>
      </c>
      <c r="B370" s="19" t="s">
        <v>1005</v>
      </c>
      <c r="C370" s="29"/>
      <c r="D370" s="17" t="str">
        <f>IF($C370="","",IFERROR(IF($E370="machine",INDEX('JLR Machines'!$B$2:$B$20001,MATCH($C370,'JLR Machines'!$A$2:$A$20001,0)),IF($E370="material",INDEX('JLR Materials'!$B$2:$B$20001,MATCH($C370,'JLR Materials'!$A$2:$A$20001,0)),IF($E370="labour",IFERROR(INDEX('JLR Labour'!$B$2:$B$20001,MATCH($C370,'JLR Labour'!$A$2:$A$20001,0)),"labour category "&amp;$C370&amp;" — from the machine tab"),""))),"NOT FOUND — check the code"))</f>
        <v/>
      </c>
      <c r="E370" s="30" t="s">
        <v>925</v>
      </c>
    </row>
    <row r="371" spans="1:5" x14ac:dyDescent="0.25">
      <c r="A371" s="28" t="s">
        <v>1006</v>
      </c>
      <c r="B371" s="19" t="s">
        <v>1007</v>
      </c>
      <c r="C371" s="29"/>
      <c r="D371" s="17" t="str">
        <f>IF($C371="","",IFERROR(IF($E371="machine",INDEX('JLR Machines'!$B$2:$B$20001,MATCH($C371,'JLR Machines'!$A$2:$A$20001,0)),IF($E371="material",INDEX('JLR Materials'!$B$2:$B$20001,MATCH($C371,'JLR Materials'!$A$2:$A$20001,0)),IF($E371="labour",IFERROR(INDEX('JLR Labour'!$B$2:$B$20001,MATCH($C371,'JLR Labour'!$A$2:$A$20001,0)),"labour category "&amp;$C371&amp;" — from the machine tab"),""))),"NOT FOUND — check the code"))</f>
        <v/>
      </c>
      <c r="E371" s="30" t="s">
        <v>925</v>
      </c>
    </row>
    <row r="372" spans="1:5" x14ac:dyDescent="0.25">
      <c r="A372" s="28" t="s">
        <v>1008</v>
      </c>
      <c r="B372" s="19" t="s">
        <v>1009</v>
      </c>
      <c r="C372" s="29"/>
      <c r="D372" s="17" t="str">
        <f>IF($C372="","",IFERROR(IF($E372="machine",INDEX('JLR Machines'!$B$2:$B$20001,MATCH($C372,'JLR Machines'!$A$2:$A$20001,0)),IF($E372="material",INDEX('JLR Materials'!$B$2:$B$20001,MATCH($C372,'JLR Materials'!$A$2:$A$20001,0)),IF($E372="labour",IFERROR(INDEX('JLR Labour'!$B$2:$B$20001,MATCH($C372,'JLR Labour'!$A$2:$A$20001,0)),"labour category "&amp;$C372&amp;" — from the machine tab"),""))),"NOT FOUND — check the code"))</f>
        <v/>
      </c>
      <c r="E372" s="30" t="s">
        <v>925</v>
      </c>
    </row>
    <row r="373" spans="1:5" x14ac:dyDescent="0.25">
      <c r="A373" s="28" t="s">
        <v>1010</v>
      </c>
      <c r="B373" s="19" t="s">
        <v>1011</v>
      </c>
      <c r="C373" s="29"/>
      <c r="D373" s="17" t="str">
        <f>IF($C373="","",IFERROR(IF($E373="machine",INDEX('JLR Machines'!$B$2:$B$20001,MATCH($C373,'JLR Machines'!$A$2:$A$20001,0)),IF($E373="material",INDEX('JLR Materials'!$B$2:$B$20001,MATCH($C373,'JLR Materials'!$A$2:$A$20001,0)),IF($E373="labour",IFERROR(INDEX('JLR Labour'!$B$2:$B$20001,MATCH($C373,'JLR Labour'!$A$2:$A$20001,0)),"labour category "&amp;$C373&amp;" — from the machine tab"),""))),"NOT FOUND — check the code"))</f>
        <v/>
      </c>
      <c r="E373" s="30" t="s">
        <v>925</v>
      </c>
    </row>
    <row r="374" spans="1:5" x14ac:dyDescent="0.25">
      <c r="A374" s="28" t="s">
        <v>1012</v>
      </c>
      <c r="B374" s="19" t="s">
        <v>1013</v>
      </c>
      <c r="C374" s="29"/>
      <c r="D374" s="17" t="str">
        <f>IF($C374="","",IFERROR(IF($E374="machine",INDEX('JLR Machines'!$B$2:$B$20001,MATCH($C374,'JLR Machines'!$A$2:$A$20001,0)),IF($E374="material",INDEX('JLR Materials'!$B$2:$B$20001,MATCH($C374,'JLR Materials'!$A$2:$A$20001,0)),IF($E374="labour",IFERROR(INDEX('JLR Labour'!$B$2:$B$20001,MATCH($C374,'JLR Labour'!$A$2:$A$20001,0)),"labour category "&amp;$C374&amp;" — from the machine tab"),""))),"NOT FOUND — check the code"))</f>
        <v/>
      </c>
      <c r="E374" s="30" t="s">
        <v>925</v>
      </c>
    </row>
    <row r="375" spans="1:5" x14ac:dyDescent="0.25">
      <c r="A375" s="28" t="s">
        <v>1014</v>
      </c>
      <c r="B375" s="19" t="s">
        <v>1015</v>
      </c>
      <c r="C375" s="29"/>
      <c r="D375" s="17" t="str">
        <f>IF($C375="","",IFERROR(IF($E375="machine",INDEX('JLR Machines'!$B$2:$B$20001,MATCH($C375,'JLR Machines'!$A$2:$A$20001,0)),IF($E375="material",INDEX('JLR Materials'!$B$2:$B$20001,MATCH($C375,'JLR Materials'!$A$2:$A$20001,0)),IF($E375="labour",IFERROR(INDEX('JLR Labour'!$B$2:$B$20001,MATCH($C375,'JLR Labour'!$A$2:$A$20001,0)),"labour category "&amp;$C375&amp;" — from the machine tab"),""))),"NOT FOUND — check the code"))</f>
        <v/>
      </c>
      <c r="E375" s="30" t="s">
        <v>925</v>
      </c>
    </row>
    <row r="376" spans="1:5" x14ac:dyDescent="0.25">
      <c r="A376" s="28" t="s">
        <v>1016</v>
      </c>
      <c r="B376" s="19" t="s">
        <v>1017</v>
      </c>
      <c r="C376" s="29"/>
      <c r="D376" s="17" t="str">
        <f>IF($C376="","",IFERROR(IF($E376="machine",INDEX('JLR Machines'!$B$2:$B$20001,MATCH($C376,'JLR Machines'!$A$2:$A$20001,0)),IF($E376="material",INDEX('JLR Materials'!$B$2:$B$20001,MATCH($C376,'JLR Materials'!$A$2:$A$20001,0)),IF($E376="labour",IFERROR(INDEX('JLR Labour'!$B$2:$B$20001,MATCH($C376,'JLR Labour'!$A$2:$A$20001,0)),"labour category "&amp;$C376&amp;" — from the machine tab"),""))),"NOT FOUND — check the code"))</f>
        <v/>
      </c>
      <c r="E376" s="30" t="s">
        <v>925</v>
      </c>
    </row>
    <row r="377" spans="1:5" x14ac:dyDescent="0.25">
      <c r="A377" s="28" t="s">
        <v>1018</v>
      </c>
      <c r="B377" s="19" t="s">
        <v>1019</v>
      </c>
      <c r="C377" s="29"/>
      <c r="D377" s="17" t="str">
        <f>IF($C377="","",IFERROR(IF($E377="machine",INDEX('JLR Machines'!$B$2:$B$20001,MATCH($C377,'JLR Machines'!$A$2:$A$20001,0)),IF($E377="material",INDEX('JLR Materials'!$B$2:$B$20001,MATCH($C377,'JLR Materials'!$A$2:$A$20001,0)),IF($E377="labour",IFERROR(INDEX('JLR Labour'!$B$2:$B$20001,MATCH($C377,'JLR Labour'!$A$2:$A$20001,0)),"labour category "&amp;$C377&amp;" — from the machine tab"),""))),"NOT FOUND — check the code"))</f>
        <v/>
      </c>
      <c r="E377" s="30" t="s">
        <v>925</v>
      </c>
    </row>
    <row r="378" spans="1:5" x14ac:dyDescent="0.25">
      <c r="A378" s="28" t="s">
        <v>1020</v>
      </c>
      <c r="B378" s="19" t="s">
        <v>1021</v>
      </c>
      <c r="C378" s="29"/>
      <c r="D378" s="17" t="str">
        <f>IF($C378="","",IFERROR(IF($E378="machine",INDEX('JLR Machines'!$B$2:$B$20001,MATCH($C378,'JLR Machines'!$A$2:$A$20001,0)),IF($E378="material",INDEX('JLR Materials'!$B$2:$B$20001,MATCH($C378,'JLR Materials'!$A$2:$A$20001,0)),IF($E378="labour",IFERROR(INDEX('JLR Labour'!$B$2:$B$20001,MATCH($C378,'JLR Labour'!$A$2:$A$20001,0)),"labour category "&amp;$C378&amp;" — from the machine tab"),""))),"NOT FOUND — check the code"))</f>
        <v/>
      </c>
      <c r="E378" s="30" t="s">
        <v>925</v>
      </c>
    </row>
    <row r="379" spans="1:5" x14ac:dyDescent="0.25">
      <c r="A379" s="28" t="s">
        <v>1022</v>
      </c>
      <c r="B379" s="19" t="s">
        <v>1023</v>
      </c>
      <c r="C379" s="29"/>
      <c r="D379" s="17" t="str">
        <f>IF($C379="","",IFERROR(IF($E379="machine",INDEX('JLR Machines'!$B$2:$B$20001,MATCH($C379,'JLR Machines'!$A$2:$A$20001,0)),IF($E379="material",INDEX('JLR Materials'!$B$2:$B$20001,MATCH($C379,'JLR Materials'!$A$2:$A$20001,0)),IF($E379="labour",IFERROR(INDEX('JLR Labour'!$B$2:$B$20001,MATCH($C379,'JLR Labour'!$A$2:$A$20001,0)),"labour category "&amp;$C379&amp;" — from the machine tab"),""))),"NOT FOUND — check the code"))</f>
        <v/>
      </c>
      <c r="E379" s="30" t="s">
        <v>925</v>
      </c>
    </row>
    <row r="380" spans="1:5" x14ac:dyDescent="0.25">
      <c r="A380" s="28" t="s">
        <v>1024</v>
      </c>
      <c r="B380" s="19" t="s">
        <v>1025</v>
      </c>
      <c r="C380" s="29"/>
      <c r="D380" s="17" t="str">
        <f>IF($C380="","",IFERROR(IF($E380="machine",INDEX('JLR Machines'!$B$2:$B$20001,MATCH($C380,'JLR Machines'!$A$2:$A$20001,0)),IF($E380="material",INDEX('JLR Materials'!$B$2:$B$20001,MATCH($C380,'JLR Materials'!$A$2:$A$20001,0)),IF($E380="labour",IFERROR(INDEX('JLR Labour'!$B$2:$B$20001,MATCH($C380,'JLR Labour'!$A$2:$A$20001,0)),"labour category "&amp;$C380&amp;" — from the machine tab"),""))),"NOT FOUND — check the code"))</f>
        <v/>
      </c>
      <c r="E380" s="30" t="s">
        <v>925</v>
      </c>
    </row>
    <row r="381" spans="1:5" x14ac:dyDescent="0.25">
      <c r="A381" s="28" t="s">
        <v>1026</v>
      </c>
      <c r="B381" s="19" t="s">
        <v>1027</v>
      </c>
      <c r="C381" s="29"/>
      <c r="D381" s="17" t="str">
        <f>IF($C381="","",IFERROR(IF($E381="machine",INDEX('JLR Machines'!$B$2:$B$20001,MATCH($C381,'JLR Machines'!$A$2:$A$20001,0)),IF($E381="material",INDEX('JLR Materials'!$B$2:$B$20001,MATCH($C381,'JLR Materials'!$A$2:$A$20001,0)),IF($E381="labour",IFERROR(INDEX('JLR Labour'!$B$2:$B$20001,MATCH($C381,'JLR Labour'!$A$2:$A$20001,0)),"labour category "&amp;$C381&amp;" — from the machine tab"),""))),"NOT FOUND — check the code"))</f>
        <v/>
      </c>
      <c r="E381" s="30" t="s">
        <v>925</v>
      </c>
    </row>
    <row r="382" spans="1:5" x14ac:dyDescent="0.25">
      <c r="A382" s="28" t="s">
        <v>1028</v>
      </c>
      <c r="B382" s="19" t="s">
        <v>1029</v>
      </c>
      <c r="C382" s="29"/>
      <c r="D382" s="17" t="str">
        <f>IF($C382="","",IFERROR(IF($E382="machine",INDEX('JLR Machines'!$B$2:$B$20001,MATCH($C382,'JLR Machines'!$A$2:$A$20001,0)),IF($E382="material",INDEX('JLR Materials'!$B$2:$B$20001,MATCH($C382,'JLR Materials'!$A$2:$A$20001,0)),IF($E382="labour",IFERROR(INDEX('JLR Labour'!$B$2:$B$20001,MATCH($C382,'JLR Labour'!$A$2:$A$20001,0)),"labour category "&amp;$C382&amp;" — from the machine tab"),""))),"NOT FOUND — check the code"))</f>
        <v/>
      </c>
      <c r="E382" s="30" t="s">
        <v>925</v>
      </c>
    </row>
    <row r="383" spans="1:5" x14ac:dyDescent="0.25">
      <c r="A383" s="28" t="s">
        <v>1030</v>
      </c>
      <c r="B383" s="19" t="s">
        <v>1031</v>
      </c>
      <c r="C383" s="29"/>
      <c r="D383" s="17" t="str">
        <f>IF($C383="","",IFERROR(IF($E383="machine",INDEX('JLR Machines'!$B$2:$B$20001,MATCH($C383,'JLR Machines'!$A$2:$A$20001,0)),IF($E383="material",INDEX('JLR Materials'!$B$2:$B$20001,MATCH($C383,'JLR Materials'!$A$2:$A$20001,0)),IF($E383="labour",IFERROR(INDEX('JLR Labour'!$B$2:$B$20001,MATCH($C383,'JLR Labour'!$A$2:$A$20001,0)),"labour category "&amp;$C383&amp;" — from the machine tab"),""))),"NOT FOUND — check the code"))</f>
        <v/>
      </c>
      <c r="E383" s="30" t="s">
        <v>925</v>
      </c>
    </row>
    <row r="384" spans="1:5" x14ac:dyDescent="0.25">
      <c r="A384" s="28" t="s">
        <v>1032</v>
      </c>
      <c r="B384" s="19" t="s">
        <v>1033</v>
      </c>
      <c r="C384" s="29"/>
      <c r="D384" s="17" t="str">
        <f>IF($C384="","",IFERROR(IF($E384="machine",INDEX('JLR Machines'!$B$2:$B$20001,MATCH($C384,'JLR Machines'!$A$2:$A$20001,0)),IF($E384="material",INDEX('JLR Materials'!$B$2:$B$20001,MATCH($C384,'JLR Materials'!$A$2:$A$20001,0)),IF($E384="labour",IFERROR(INDEX('JLR Labour'!$B$2:$B$20001,MATCH($C384,'JLR Labour'!$A$2:$A$20001,0)),"labour category "&amp;$C384&amp;" — from the machine tab"),""))),"NOT FOUND — check the code"))</f>
        <v/>
      </c>
      <c r="E384" s="30" t="s">
        <v>925</v>
      </c>
    </row>
    <row r="385" spans="1:5" x14ac:dyDescent="0.25">
      <c r="A385" s="28" t="s">
        <v>1034</v>
      </c>
      <c r="B385" s="19" t="s">
        <v>1035</v>
      </c>
      <c r="C385" s="29"/>
      <c r="D385" s="17" t="str">
        <f>IF($C385="","",IFERROR(IF($E385="machine",INDEX('JLR Machines'!$B$2:$B$20001,MATCH($C385,'JLR Machines'!$A$2:$A$20001,0)),IF($E385="material",INDEX('JLR Materials'!$B$2:$B$20001,MATCH($C385,'JLR Materials'!$A$2:$A$20001,0)),IF($E385="labour",IFERROR(INDEX('JLR Labour'!$B$2:$B$20001,MATCH($C385,'JLR Labour'!$A$2:$A$20001,0)),"labour category "&amp;$C385&amp;" — from the machine tab"),""))),"NOT FOUND — check the code"))</f>
        <v/>
      </c>
      <c r="E385" s="30" t="s">
        <v>925</v>
      </c>
    </row>
    <row r="386" spans="1:5" x14ac:dyDescent="0.25">
      <c r="A386" s="28" t="s">
        <v>1036</v>
      </c>
      <c r="B386" s="19" t="s">
        <v>1037</v>
      </c>
      <c r="C386" s="29"/>
      <c r="D386" s="17" t="str">
        <f>IF($C386="","",IFERROR(IF($E386="machine",INDEX('JLR Machines'!$B$2:$B$20001,MATCH($C386,'JLR Machines'!$A$2:$A$20001,0)),IF($E386="material",INDEX('JLR Materials'!$B$2:$B$20001,MATCH($C386,'JLR Materials'!$A$2:$A$20001,0)),IF($E386="labour",IFERROR(INDEX('JLR Labour'!$B$2:$B$20001,MATCH($C386,'JLR Labour'!$A$2:$A$20001,0)),"labour category "&amp;$C386&amp;" — from the machine tab"),""))),"NOT FOUND — check the code"))</f>
        <v/>
      </c>
      <c r="E386" s="30" t="s">
        <v>925</v>
      </c>
    </row>
    <row r="387" spans="1:5" x14ac:dyDescent="0.25">
      <c r="A387" s="28" t="s">
        <v>1038</v>
      </c>
      <c r="B387" s="19" t="s">
        <v>1039</v>
      </c>
      <c r="C387" s="29"/>
      <c r="D387" s="17" t="str">
        <f>IF($C387="","",IFERROR(IF($E387="machine",INDEX('JLR Machines'!$B$2:$B$20001,MATCH($C387,'JLR Machines'!$A$2:$A$20001,0)),IF($E387="material",INDEX('JLR Materials'!$B$2:$B$20001,MATCH($C387,'JLR Materials'!$A$2:$A$20001,0)),IF($E387="labour",IFERROR(INDEX('JLR Labour'!$B$2:$B$20001,MATCH($C387,'JLR Labour'!$A$2:$A$20001,0)),"labour category "&amp;$C387&amp;" — from the machine tab"),""))),"NOT FOUND — check the code"))</f>
        <v/>
      </c>
      <c r="E387" s="30" t="s">
        <v>925</v>
      </c>
    </row>
    <row r="388" spans="1:5" x14ac:dyDescent="0.25">
      <c r="A388" s="28" t="s">
        <v>1040</v>
      </c>
      <c r="B388" s="19" t="s">
        <v>1041</v>
      </c>
      <c r="C388" s="29"/>
      <c r="D388" s="17" t="str">
        <f>IF($C388="","",IFERROR(IF($E388="machine",INDEX('JLR Machines'!$B$2:$B$20001,MATCH($C388,'JLR Machines'!$A$2:$A$20001,0)),IF($E388="material",INDEX('JLR Materials'!$B$2:$B$20001,MATCH($C388,'JLR Materials'!$A$2:$A$20001,0)),IF($E388="labour",IFERROR(INDEX('JLR Labour'!$B$2:$B$20001,MATCH($C388,'JLR Labour'!$A$2:$A$20001,0)),"labour category "&amp;$C388&amp;" — from the machine tab"),""))),"NOT FOUND — check the code"))</f>
        <v/>
      </c>
      <c r="E388" s="30" t="s">
        <v>925</v>
      </c>
    </row>
    <row r="389" spans="1:5" x14ac:dyDescent="0.25">
      <c r="A389" s="28" t="s">
        <v>1042</v>
      </c>
      <c r="B389" s="19" t="s">
        <v>1043</v>
      </c>
      <c r="C389" s="29"/>
      <c r="D389" s="17" t="str">
        <f>IF($C389="","",IFERROR(IF($E389="machine",INDEX('JLR Machines'!$B$2:$B$20001,MATCH($C389,'JLR Machines'!$A$2:$A$20001,0)),IF($E389="material",INDEX('JLR Materials'!$B$2:$B$20001,MATCH($C389,'JLR Materials'!$A$2:$A$20001,0)),IF($E389="labour",IFERROR(INDEX('JLR Labour'!$B$2:$B$20001,MATCH($C389,'JLR Labour'!$A$2:$A$20001,0)),"labour category "&amp;$C389&amp;" — from the machine tab"),""))),"NOT FOUND — check the code"))</f>
        <v/>
      </c>
      <c r="E389" s="30" t="s">
        <v>925</v>
      </c>
    </row>
    <row r="390" spans="1:5" x14ac:dyDescent="0.25">
      <c r="A390" s="28" t="s">
        <v>1044</v>
      </c>
      <c r="B390" s="19" t="s">
        <v>1045</v>
      </c>
      <c r="C390" s="29"/>
      <c r="D390" s="17" t="str">
        <f>IF($C390="","",IFERROR(IF($E390="machine",INDEX('JLR Machines'!$B$2:$B$20001,MATCH($C390,'JLR Machines'!$A$2:$A$20001,0)),IF($E390="material",INDEX('JLR Materials'!$B$2:$B$20001,MATCH($C390,'JLR Materials'!$A$2:$A$20001,0)),IF($E390="labour",IFERROR(INDEX('JLR Labour'!$B$2:$B$20001,MATCH($C390,'JLR Labour'!$A$2:$A$20001,0)),"labour category "&amp;$C390&amp;" — from the machine tab"),""))),"NOT FOUND — check the code"))</f>
        <v/>
      </c>
      <c r="E390" s="30" t="s">
        <v>925</v>
      </c>
    </row>
    <row r="391" spans="1:5" x14ac:dyDescent="0.25">
      <c r="A391" s="28" t="s">
        <v>1046</v>
      </c>
      <c r="B391" s="19" t="s">
        <v>1047</v>
      </c>
      <c r="C391" s="29"/>
      <c r="D391" s="17" t="str">
        <f>IF($C391="","",IFERROR(IF($E391="machine",INDEX('JLR Machines'!$B$2:$B$20001,MATCH($C391,'JLR Machines'!$A$2:$A$20001,0)),IF($E391="material",INDEX('JLR Materials'!$B$2:$B$20001,MATCH($C391,'JLR Materials'!$A$2:$A$20001,0)),IF($E391="labour",IFERROR(INDEX('JLR Labour'!$B$2:$B$20001,MATCH($C391,'JLR Labour'!$A$2:$A$20001,0)),"labour category "&amp;$C391&amp;" — from the machine tab"),""))),"NOT FOUND — check the code"))</f>
        <v/>
      </c>
      <c r="E391" s="30" t="s">
        <v>925</v>
      </c>
    </row>
    <row r="392" spans="1:5" x14ac:dyDescent="0.25">
      <c r="A392" s="28" t="s">
        <v>1048</v>
      </c>
      <c r="B392" s="19" t="s">
        <v>1049</v>
      </c>
      <c r="C392" s="29"/>
      <c r="D392" s="17" t="str">
        <f>IF($C392="","",IFERROR(IF($E392="machine",INDEX('JLR Machines'!$B$2:$B$20001,MATCH($C392,'JLR Machines'!$A$2:$A$20001,0)),IF($E392="material",INDEX('JLR Materials'!$B$2:$B$20001,MATCH($C392,'JLR Materials'!$A$2:$A$20001,0)),IF($E392="labour",IFERROR(INDEX('JLR Labour'!$B$2:$B$20001,MATCH($C392,'JLR Labour'!$A$2:$A$20001,0)),"labour category "&amp;$C392&amp;" — from the machine tab"),""))),"NOT FOUND — check the code"))</f>
        <v/>
      </c>
      <c r="E392" s="30" t="s">
        <v>925</v>
      </c>
    </row>
    <row r="393" spans="1:5" x14ac:dyDescent="0.25">
      <c r="A393" s="28" t="s">
        <v>1050</v>
      </c>
      <c r="B393" s="19" t="s">
        <v>1051</v>
      </c>
      <c r="C393" s="29"/>
      <c r="D393" s="17" t="str">
        <f>IF($C393="","",IFERROR(IF($E393="machine",INDEX('JLR Machines'!$B$2:$B$20001,MATCH($C393,'JLR Machines'!$A$2:$A$20001,0)),IF($E393="material",INDEX('JLR Materials'!$B$2:$B$20001,MATCH($C393,'JLR Materials'!$A$2:$A$20001,0)),IF($E393="labour",IFERROR(INDEX('JLR Labour'!$B$2:$B$20001,MATCH($C393,'JLR Labour'!$A$2:$A$20001,0)),"labour category "&amp;$C393&amp;" — from the machine tab"),""))),"NOT FOUND — check the code"))</f>
        <v/>
      </c>
      <c r="E393" s="30" t="s">
        <v>925</v>
      </c>
    </row>
    <row r="394" spans="1:5" x14ac:dyDescent="0.25">
      <c r="A394" s="28" t="s">
        <v>1052</v>
      </c>
      <c r="B394" s="19" t="s">
        <v>1053</v>
      </c>
      <c r="C394" s="29"/>
      <c r="D394" s="17" t="str">
        <f>IF($C394="","",IFERROR(IF($E394="machine",INDEX('JLR Machines'!$B$2:$B$20001,MATCH($C394,'JLR Machines'!$A$2:$A$20001,0)),IF($E394="material",INDEX('JLR Materials'!$B$2:$B$20001,MATCH($C394,'JLR Materials'!$A$2:$A$20001,0)),IF($E394="labour",IFERROR(INDEX('JLR Labour'!$B$2:$B$20001,MATCH($C394,'JLR Labour'!$A$2:$A$20001,0)),"labour category "&amp;$C394&amp;" — from the machine tab"),""))),"NOT FOUND — check the code"))</f>
        <v/>
      </c>
      <c r="E394" s="30" t="s">
        <v>925</v>
      </c>
    </row>
    <row r="395" spans="1:5" x14ac:dyDescent="0.25">
      <c r="A395" s="28" t="s">
        <v>1054</v>
      </c>
      <c r="B395" s="19" t="s">
        <v>1055</v>
      </c>
      <c r="C395" s="29"/>
      <c r="D395" s="17" t="str">
        <f>IF($C395="","",IFERROR(IF($E395="machine",INDEX('JLR Machines'!$B$2:$B$20001,MATCH($C395,'JLR Machines'!$A$2:$A$20001,0)),IF($E395="material",INDEX('JLR Materials'!$B$2:$B$20001,MATCH($C395,'JLR Materials'!$A$2:$A$20001,0)),IF($E395="labour",IFERROR(INDEX('JLR Labour'!$B$2:$B$20001,MATCH($C395,'JLR Labour'!$A$2:$A$20001,0)),"labour category "&amp;$C395&amp;" — from the machine tab"),""))),"NOT FOUND — check the code"))</f>
        <v/>
      </c>
      <c r="E395" s="30" t="s">
        <v>925</v>
      </c>
    </row>
    <row r="396" spans="1:5" x14ac:dyDescent="0.25">
      <c r="A396" s="28" t="s">
        <v>1056</v>
      </c>
      <c r="B396" s="19" t="s">
        <v>1057</v>
      </c>
      <c r="C396" s="29"/>
      <c r="D396" s="17" t="str">
        <f>IF($C396="","",IFERROR(IF($E396="machine",INDEX('JLR Machines'!$B$2:$B$20001,MATCH($C396,'JLR Machines'!$A$2:$A$20001,0)),IF($E396="material",INDEX('JLR Materials'!$B$2:$B$20001,MATCH($C396,'JLR Materials'!$A$2:$A$20001,0)),IF($E396="labour",IFERROR(INDEX('JLR Labour'!$B$2:$B$20001,MATCH($C396,'JLR Labour'!$A$2:$A$20001,0)),"labour category "&amp;$C396&amp;" — from the machine tab"),""))),"NOT FOUND — check the code"))</f>
        <v/>
      </c>
      <c r="E396" s="30" t="s">
        <v>925</v>
      </c>
    </row>
    <row r="397" spans="1:5" x14ac:dyDescent="0.25">
      <c r="A397" s="28" t="s">
        <v>1058</v>
      </c>
      <c r="B397" s="19" t="s">
        <v>1059</v>
      </c>
      <c r="C397" s="29"/>
      <c r="D397" s="17" t="str">
        <f>IF($C397="","",IFERROR(IF($E397="machine",INDEX('JLR Machines'!$B$2:$B$20001,MATCH($C397,'JLR Machines'!$A$2:$A$20001,0)),IF($E397="material",INDEX('JLR Materials'!$B$2:$B$20001,MATCH($C397,'JLR Materials'!$A$2:$A$20001,0)),IF($E397="labour",IFERROR(INDEX('JLR Labour'!$B$2:$B$20001,MATCH($C397,'JLR Labour'!$A$2:$A$20001,0)),"labour category "&amp;$C397&amp;" — from the machine tab"),""))),"NOT FOUND — check the code"))</f>
        <v/>
      </c>
      <c r="E397" s="30" t="s">
        <v>925</v>
      </c>
    </row>
    <row r="398" spans="1:5" x14ac:dyDescent="0.25">
      <c r="A398" s="28" t="s">
        <v>1060</v>
      </c>
      <c r="B398" s="19" t="s">
        <v>1061</v>
      </c>
      <c r="C398" s="29"/>
      <c r="D398" s="17" t="str">
        <f>IF($C398="","",IFERROR(IF($E398="machine",INDEX('JLR Machines'!$B$2:$B$20001,MATCH($C398,'JLR Machines'!$A$2:$A$20001,0)),IF($E398="material",INDEX('JLR Materials'!$B$2:$B$20001,MATCH($C398,'JLR Materials'!$A$2:$A$20001,0)),IF($E398="labour",IFERROR(INDEX('JLR Labour'!$B$2:$B$20001,MATCH($C398,'JLR Labour'!$A$2:$A$20001,0)),"labour category "&amp;$C398&amp;" — from the machine tab"),""))),"NOT FOUND — check the code"))</f>
        <v/>
      </c>
      <c r="E398" s="30" t="s">
        <v>925</v>
      </c>
    </row>
    <row r="399" spans="1:5" x14ac:dyDescent="0.25">
      <c r="A399" s="28" t="s">
        <v>1062</v>
      </c>
      <c r="B399" s="19" t="s">
        <v>1063</v>
      </c>
      <c r="C399" s="29"/>
      <c r="D399" s="17" t="str">
        <f>IF($C399="","",IFERROR(IF($E399="machine",INDEX('JLR Machines'!$B$2:$B$20001,MATCH($C399,'JLR Machines'!$A$2:$A$20001,0)),IF($E399="material",INDEX('JLR Materials'!$B$2:$B$20001,MATCH($C399,'JLR Materials'!$A$2:$A$20001,0)),IF($E399="labour",IFERROR(INDEX('JLR Labour'!$B$2:$B$20001,MATCH($C399,'JLR Labour'!$A$2:$A$20001,0)),"labour category "&amp;$C399&amp;" — from the machine tab"),""))),"NOT FOUND — check the code"))</f>
        <v/>
      </c>
      <c r="E399" s="30" t="s">
        <v>925</v>
      </c>
    </row>
    <row r="400" spans="1:5" x14ac:dyDescent="0.25">
      <c r="A400" s="28" t="s">
        <v>1064</v>
      </c>
      <c r="B400" s="19" t="s">
        <v>1065</v>
      </c>
      <c r="C400" s="29"/>
      <c r="D400" s="17" t="str">
        <f>IF($C400="","",IFERROR(IF($E400="machine",INDEX('JLR Machines'!$B$2:$B$20001,MATCH($C400,'JLR Machines'!$A$2:$A$20001,0)),IF($E400="material",INDEX('JLR Materials'!$B$2:$B$20001,MATCH($C400,'JLR Materials'!$A$2:$A$20001,0)),IF($E400="labour",IFERROR(INDEX('JLR Labour'!$B$2:$B$20001,MATCH($C400,'JLR Labour'!$A$2:$A$20001,0)),"labour category "&amp;$C400&amp;" — from the machine tab"),""))),"NOT FOUND — check the code"))</f>
        <v/>
      </c>
      <c r="E400" s="30" t="s">
        <v>925</v>
      </c>
    </row>
    <row r="401" spans="1:5" x14ac:dyDescent="0.25">
      <c r="A401" s="28" t="s">
        <v>1066</v>
      </c>
      <c r="B401" s="19" t="s">
        <v>1067</v>
      </c>
      <c r="C401" s="29"/>
      <c r="D401" s="17" t="str">
        <f>IF($C401="","",IFERROR(IF($E401="machine",INDEX('JLR Machines'!$B$2:$B$20001,MATCH($C401,'JLR Machines'!$A$2:$A$20001,0)),IF($E401="material",INDEX('JLR Materials'!$B$2:$B$20001,MATCH($C401,'JLR Materials'!$A$2:$A$20001,0)),IF($E401="labour",IFERROR(INDEX('JLR Labour'!$B$2:$B$20001,MATCH($C401,'JLR Labour'!$A$2:$A$20001,0)),"labour category "&amp;$C401&amp;" — from the machine tab"),""))),"NOT FOUND — check the code"))</f>
        <v/>
      </c>
      <c r="E401" s="30" t="s">
        <v>925</v>
      </c>
    </row>
    <row r="402" spans="1:5" x14ac:dyDescent="0.25">
      <c r="A402" s="28" t="s">
        <v>1068</v>
      </c>
      <c r="B402" s="19" t="s">
        <v>1069</v>
      </c>
      <c r="C402" s="29"/>
      <c r="D402" s="17" t="str">
        <f>IF($C402="","",IFERROR(IF($E402="machine",INDEX('JLR Machines'!$B$2:$B$20001,MATCH($C402,'JLR Machines'!$A$2:$A$20001,0)),IF($E402="material",INDEX('JLR Materials'!$B$2:$B$20001,MATCH($C402,'JLR Materials'!$A$2:$A$20001,0)),IF($E402="labour",IFERROR(INDEX('JLR Labour'!$B$2:$B$20001,MATCH($C402,'JLR Labour'!$A$2:$A$20001,0)),"labour category "&amp;$C402&amp;" — from the machine tab"),""))),"NOT FOUND — check the code"))</f>
        <v/>
      </c>
      <c r="E402" s="30" t="s">
        <v>925</v>
      </c>
    </row>
    <row r="403" spans="1:5" x14ac:dyDescent="0.25">
      <c r="A403" s="28" t="s">
        <v>1070</v>
      </c>
      <c r="B403" s="19" t="s">
        <v>1071</v>
      </c>
      <c r="C403" s="29"/>
      <c r="D403" s="17" t="str">
        <f>IF($C403="","",IFERROR(IF($E403="machine",INDEX('JLR Machines'!$B$2:$B$20001,MATCH($C403,'JLR Machines'!$A$2:$A$20001,0)),IF($E403="material",INDEX('JLR Materials'!$B$2:$B$20001,MATCH($C403,'JLR Materials'!$A$2:$A$20001,0)),IF($E403="labour",IFERROR(INDEX('JLR Labour'!$B$2:$B$20001,MATCH($C403,'JLR Labour'!$A$2:$A$20001,0)),"labour category "&amp;$C403&amp;" — from the machine tab"),""))),"NOT FOUND — check the code"))</f>
        <v/>
      </c>
      <c r="E403" s="30" t="s">
        <v>925</v>
      </c>
    </row>
    <row r="404" spans="1:5" x14ac:dyDescent="0.25">
      <c r="A404" s="28" t="s">
        <v>1072</v>
      </c>
      <c r="B404" s="19" t="s">
        <v>1073</v>
      </c>
      <c r="C404" s="29"/>
      <c r="D404" s="17" t="str">
        <f>IF($C404="","",IFERROR(IF($E404="machine",INDEX('JLR Machines'!$B$2:$B$20001,MATCH($C404,'JLR Machines'!$A$2:$A$20001,0)),IF($E404="material",INDEX('JLR Materials'!$B$2:$B$20001,MATCH($C404,'JLR Materials'!$A$2:$A$20001,0)),IF($E404="labour",IFERROR(INDEX('JLR Labour'!$B$2:$B$20001,MATCH($C404,'JLR Labour'!$A$2:$A$20001,0)),"labour category "&amp;$C404&amp;" — from the machine tab"),""))),"NOT FOUND — check the code"))</f>
        <v/>
      </c>
      <c r="E404" s="30" t="s">
        <v>925</v>
      </c>
    </row>
    <row r="405" spans="1:5" x14ac:dyDescent="0.25">
      <c r="A405" s="28" t="s">
        <v>1074</v>
      </c>
      <c r="B405" s="19" t="s">
        <v>1075</v>
      </c>
      <c r="C405" s="29"/>
      <c r="D405" s="17" t="str">
        <f>IF($C405="","",IFERROR(IF($E405="machine",INDEX('JLR Machines'!$B$2:$B$20001,MATCH($C405,'JLR Machines'!$A$2:$A$20001,0)),IF($E405="material",INDEX('JLR Materials'!$B$2:$B$20001,MATCH($C405,'JLR Materials'!$A$2:$A$20001,0)),IF($E405="labour",IFERROR(INDEX('JLR Labour'!$B$2:$B$20001,MATCH($C405,'JLR Labour'!$A$2:$A$20001,0)),"labour category "&amp;$C405&amp;" — from the machine tab"),""))),"NOT FOUND — check the code"))</f>
        <v/>
      </c>
      <c r="E405" s="30" t="s">
        <v>925</v>
      </c>
    </row>
    <row r="406" spans="1:5" x14ac:dyDescent="0.25">
      <c r="A406" s="28" t="s">
        <v>1076</v>
      </c>
      <c r="B406" s="19" t="s">
        <v>1077</v>
      </c>
      <c r="C406" s="29"/>
      <c r="D406" s="17" t="str">
        <f>IF($C406="","",IFERROR(IF($E406="machine",INDEX('JLR Machines'!$B$2:$B$20001,MATCH($C406,'JLR Machines'!$A$2:$A$20001,0)),IF($E406="material",INDEX('JLR Materials'!$B$2:$B$20001,MATCH($C406,'JLR Materials'!$A$2:$A$20001,0)),IF($E406="labour",IFERROR(INDEX('JLR Labour'!$B$2:$B$20001,MATCH($C406,'JLR Labour'!$A$2:$A$20001,0)),"labour category "&amp;$C406&amp;" — from the machine tab"),""))),"NOT FOUND — check the code"))</f>
        <v/>
      </c>
      <c r="E406" s="30" t="s">
        <v>925</v>
      </c>
    </row>
    <row r="407" spans="1:5" x14ac:dyDescent="0.25">
      <c r="A407" s="28" t="s">
        <v>1078</v>
      </c>
      <c r="B407" s="19" t="s">
        <v>1079</v>
      </c>
      <c r="C407" s="29"/>
      <c r="D407" s="17" t="str">
        <f>IF($C407="","",IFERROR(IF($E407="machine",INDEX('JLR Machines'!$B$2:$B$20001,MATCH($C407,'JLR Machines'!$A$2:$A$20001,0)),IF($E407="material",INDEX('JLR Materials'!$B$2:$B$20001,MATCH($C407,'JLR Materials'!$A$2:$A$20001,0)),IF($E407="labour",IFERROR(INDEX('JLR Labour'!$B$2:$B$20001,MATCH($C407,'JLR Labour'!$A$2:$A$20001,0)),"labour category "&amp;$C407&amp;" — from the machine tab"),""))),"NOT FOUND — check the code"))</f>
        <v/>
      </c>
      <c r="E407" s="30" t="s">
        <v>925</v>
      </c>
    </row>
    <row r="408" spans="1:5" x14ac:dyDescent="0.25">
      <c r="A408" s="28" t="s">
        <v>1080</v>
      </c>
      <c r="B408" s="19" t="s">
        <v>1081</v>
      </c>
      <c r="C408" s="29"/>
      <c r="D408" s="17" t="str">
        <f>IF($C408="","",IFERROR(IF($E408="machine",INDEX('JLR Machines'!$B$2:$B$20001,MATCH($C408,'JLR Machines'!$A$2:$A$20001,0)),IF($E408="material",INDEX('JLR Materials'!$B$2:$B$20001,MATCH($C408,'JLR Materials'!$A$2:$A$20001,0)),IF($E408="labour",IFERROR(INDEX('JLR Labour'!$B$2:$B$20001,MATCH($C408,'JLR Labour'!$A$2:$A$20001,0)),"labour category "&amp;$C408&amp;" — from the machine tab"),""))),"NOT FOUND — check the code"))</f>
        <v/>
      </c>
      <c r="E408" s="30" t="s">
        <v>925</v>
      </c>
    </row>
    <row r="409" spans="1:5" x14ac:dyDescent="0.25">
      <c r="A409" s="28" t="s">
        <v>1082</v>
      </c>
      <c r="B409" s="19" t="s">
        <v>1083</v>
      </c>
      <c r="C409" s="29"/>
      <c r="D409" s="17" t="str">
        <f>IF($C409="","",IFERROR(IF($E409="machine",INDEX('JLR Machines'!$B$2:$B$20001,MATCH($C409,'JLR Machines'!$A$2:$A$20001,0)),IF($E409="material",INDEX('JLR Materials'!$B$2:$B$20001,MATCH($C409,'JLR Materials'!$A$2:$A$20001,0)),IF($E409="labour",IFERROR(INDEX('JLR Labour'!$B$2:$B$20001,MATCH($C409,'JLR Labour'!$A$2:$A$20001,0)),"labour category "&amp;$C409&amp;" — from the machine tab"),""))),"NOT FOUND — check the code"))</f>
        <v/>
      </c>
      <c r="E409" s="30" t="s">
        <v>925</v>
      </c>
    </row>
    <row r="410" spans="1:5" x14ac:dyDescent="0.25">
      <c r="A410" s="28" t="s">
        <v>1084</v>
      </c>
      <c r="B410" s="19" t="s">
        <v>1085</v>
      </c>
      <c r="C410" s="29"/>
      <c r="D410" s="17" t="str">
        <f>IF($C410="","",IFERROR(IF($E410="machine",INDEX('JLR Machines'!$B$2:$B$20001,MATCH($C410,'JLR Machines'!$A$2:$A$20001,0)),IF($E410="material",INDEX('JLR Materials'!$B$2:$B$20001,MATCH($C410,'JLR Materials'!$A$2:$A$20001,0)),IF($E410="labour",IFERROR(INDEX('JLR Labour'!$B$2:$B$20001,MATCH($C410,'JLR Labour'!$A$2:$A$20001,0)),"labour category "&amp;$C410&amp;" — from the machine tab"),""))),"NOT FOUND — check the code"))</f>
        <v/>
      </c>
      <c r="E410" s="30" t="s">
        <v>925</v>
      </c>
    </row>
    <row r="411" spans="1:5" x14ac:dyDescent="0.25">
      <c r="A411" s="28" t="s">
        <v>1086</v>
      </c>
      <c r="B411" s="19" t="s">
        <v>1087</v>
      </c>
      <c r="C411" s="29"/>
      <c r="D411" s="17" t="str">
        <f>IF($C411="","",IFERROR(IF($E411="machine",INDEX('JLR Machines'!$B$2:$B$20001,MATCH($C411,'JLR Machines'!$A$2:$A$20001,0)),IF($E411="material",INDEX('JLR Materials'!$B$2:$B$20001,MATCH($C411,'JLR Materials'!$A$2:$A$20001,0)),IF($E411="labour",IFERROR(INDEX('JLR Labour'!$B$2:$B$20001,MATCH($C411,'JLR Labour'!$A$2:$A$20001,0)),"labour category "&amp;$C411&amp;" — from the machine tab"),""))),"NOT FOUND — check the code"))</f>
        <v/>
      </c>
      <c r="E411" s="30" t="s">
        <v>925</v>
      </c>
    </row>
    <row r="412" spans="1:5" x14ac:dyDescent="0.25">
      <c r="A412" s="28" t="s">
        <v>1088</v>
      </c>
      <c r="B412" s="19" t="s">
        <v>1089</v>
      </c>
      <c r="C412" s="29"/>
      <c r="D412" s="17" t="str">
        <f>IF($C412="","",IFERROR(IF($E412="machine",INDEX('JLR Machines'!$B$2:$B$20001,MATCH($C412,'JLR Machines'!$A$2:$A$20001,0)),IF($E412="material",INDEX('JLR Materials'!$B$2:$B$20001,MATCH($C412,'JLR Materials'!$A$2:$A$20001,0)),IF($E412="labour",IFERROR(INDEX('JLR Labour'!$B$2:$B$20001,MATCH($C412,'JLR Labour'!$A$2:$A$20001,0)),"labour category "&amp;$C412&amp;" — from the machine tab"),""))),"NOT FOUND — check the code"))</f>
        <v/>
      </c>
      <c r="E412" s="30" t="s">
        <v>925</v>
      </c>
    </row>
    <row r="413" spans="1:5" x14ac:dyDescent="0.25">
      <c r="A413" s="28" t="s">
        <v>1090</v>
      </c>
      <c r="B413" s="19" t="s">
        <v>1091</v>
      </c>
      <c r="C413" s="29"/>
      <c r="D413" s="17" t="str">
        <f>IF($C413="","",IFERROR(IF($E413="machine",INDEX('JLR Machines'!$B$2:$B$20001,MATCH($C413,'JLR Machines'!$A$2:$A$20001,0)),IF($E413="material",INDEX('JLR Materials'!$B$2:$B$20001,MATCH($C413,'JLR Materials'!$A$2:$A$20001,0)),IF($E413="labour",IFERROR(INDEX('JLR Labour'!$B$2:$B$20001,MATCH($C413,'JLR Labour'!$A$2:$A$20001,0)),"labour category "&amp;$C413&amp;" — from the machine tab"),""))),"NOT FOUND — check the code"))</f>
        <v/>
      </c>
      <c r="E413" s="30" t="s">
        <v>925</v>
      </c>
    </row>
    <row r="414" spans="1:5" x14ac:dyDescent="0.25">
      <c r="A414" s="28" t="s">
        <v>1092</v>
      </c>
      <c r="B414" s="19" t="s">
        <v>1093</v>
      </c>
      <c r="C414" s="29"/>
      <c r="D414" s="17" t="str">
        <f>IF($C414="","",IFERROR(IF($E414="machine",INDEX('JLR Machines'!$B$2:$B$20001,MATCH($C414,'JLR Machines'!$A$2:$A$20001,0)),IF($E414="material",INDEX('JLR Materials'!$B$2:$B$20001,MATCH($C414,'JLR Materials'!$A$2:$A$20001,0)),IF($E414="labour",IFERROR(INDEX('JLR Labour'!$B$2:$B$20001,MATCH($C414,'JLR Labour'!$A$2:$A$20001,0)),"labour category "&amp;$C414&amp;" — from the machine tab"),""))),"NOT FOUND — check the code"))</f>
        <v/>
      </c>
      <c r="E414" s="30" t="s">
        <v>925</v>
      </c>
    </row>
    <row r="415" spans="1:5" x14ac:dyDescent="0.25">
      <c r="A415" s="28" t="s">
        <v>1094</v>
      </c>
      <c r="B415" s="19" t="s">
        <v>1095</v>
      </c>
      <c r="C415" s="29"/>
      <c r="D415" s="17" t="str">
        <f>IF($C415="","",IFERROR(IF($E415="machine",INDEX('JLR Machines'!$B$2:$B$20001,MATCH($C415,'JLR Machines'!$A$2:$A$20001,0)),IF($E415="material",INDEX('JLR Materials'!$B$2:$B$20001,MATCH($C415,'JLR Materials'!$A$2:$A$20001,0)),IF($E415="labour",IFERROR(INDEX('JLR Labour'!$B$2:$B$20001,MATCH($C415,'JLR Labour'!$A$2:$A$20001,0)),"labour category "&amp;$C415&amp;" — from the machine tab"),""))),"NOT FOUND — check the code"))</f>
        <v/>
      </c>
      <c r="E415" s="30" t="s">
        <v>925</v>
      </c>
    </row>
    <row r="416" spans="1:5" x14ac:dyDescent="0.25">
      <c r="A416" s="28" t="s">
        <v>1096</v>
      </c>
      <c r="B416" s="19" t="s">
        <v>1097</v>
      </c>
      <c r="C416" s="29"/>
      <c r="D416" s="17" t="str">
        <f>IF($C416="","",IFERROR(IF($E416="machine",INDEX('JLR Machines'!$B$2:$B$20001,MATCH($C416,'JLR Machines'!$A$2:$A$20001,0)),IF($E416="material",INDEX('JLR Materials'!$B$2:$B$20001,MATCH($C416,'JLR Materials'!$A$2:$A$20001,0)),IF($E416="labour",IFERROR(INDEX('JLR Labour'!$B$2:$B$20001,MATCH($C416,'JLR Labour'!$A$2:$A$20001,0)),"labour category "&amp;$C416&amp;" — from the machine tab"),""))),"NOT FOUND — check the code"))</f>
        <v/>
      </c>
      <c r="E416" s="30" t="s">
        <v>925</v>
      </c>
    </row>
    <row r="417" spans="1:5" x14ac:dyDescent="0.25">
      <c r="A417" s="28" t="s">
        <v>1098</v>
      </c>
      <c r="B417" s="19" t="s">
        <v>1099</v>
      </c>
      <c r="C417" s="29"/>
      <c r="D417" s="17" t="str">
        <f>IF($C417="","",IFERROR(IF($E417="machine",INDEX('JLR Machines'!$B$2:$B$20001,MATCH($C417,'JLR Machines'!$A$2:$A$20001,0)),IF($E417="material",INDEX('JLR Materials'!$B$2:$B$20001,MATCH($C417,'JLR Materials'!$A$2:$A$20001,0)),IF($E417="labour",IFERROR(INDEX('JLR Labour'!$B$2:$B$20001,MATCH($C417,'JLR Labour'!$A$2:$A$20001,0)),"labour category "&amp;$C417&amp;" — from the machine tab"),""))),"NOT FOUND — check the code"))</f>
        <v/>
      </c>
      <c r="E417" s="30" t="s">
        <v>925</v>
      </c>
    </row>
    <row r="418" spans="1:5" x14ac:dyDescent="0.25">
      <c r="A418" s="28" t="s">
        <v>1100</v>
      </c>
      <c r="B418" s="19" t="s">
        <v>1101</v>
      </c>
      <c r="C418" s="29"/>
      <c r="D418" s="17" t="str">
        <f>IF($C418="","",IFERROR(IF($E418="machine",INDEX('JLR Machines'!$B$2:$B$20001,MATCH($C418,'JLR Machines'!$A$2:$A$20001,0)),IF($E418="material",INDEX('JLR Materials'!$B$2:$B$20001,MATCH($C418,'JLR Materials'!$A$2:$A$20001,0)),IF($E418="labour",IFERROR(INDEX('JLR Labour'!$B$2:$B$20001,MATCH($C418,'JLR Labour'!$A$2:$A$20001,0)),"labour category "&amp;$C418&amp;" — from the machine tab"),""))),"NOT FOUND — check the code"))</f>
        <v/>
      </c>
      <c r="E418" s="30" t="s">
        <v>925</v>
      </c>
    </row>
    <row r="419" spans="1:5" x14ac:dyDescent="0.25">
      <c r="A419" s="28" t="s">
        <v>1102</v>
      </c>
      <c r="B419" s="19" t="s">
        <v>1103</v>
      </c>
      <c r="C419" s="29"/>
      <c r="D419" s="17" t="str">
        <f>IF($C419="","",IFERROR(IF($E419="machine",INDEX('JLR Machines'!$B$2:$B$20001,MATCH($C419,'JLR Machines'!$A$2:$A$20001,0)),IF($E419="material",INDEX('JLR Materials'!$B$2:$B$20001,MATCH($C419,'JLR Materials'!$A$2:$A$20001,0)),IF($E419="labour",IFERROR(INDEX('JLR Labour'!$B$2:$B$20001,MATCH($C419,'JLR Labour'!$A$2:$A$20001,0)),"labour category "&amp;$C419&amp;" — from the machine tab"),""))),"NOT FOUND — check the code"))</f>
        <v/>
      </c>
      <c r="E419" s="30" t="s">
        <v>925</v>
      </c>
    </row>
    <row r="420" spans="1:5" x14ac:dyDescent="0.25">
      <c r="A420" s="28" t="s">
        <v>1104</v>
      </c>
      <c r="B420" s="19" t="s">
        <v>1105</v>
      </c>
      <c r="C420" s="29"/>
      <c r="D420" s="17" t="str">
        <f>IF($C420="","",IFERROR(IF($E420="machine",INDEX('JLR Machines'!$B$2:$B$20001,MATCH($C420,'JLR Machines'!$A$2:$A$20001,0)),IF($E420="material",INDEX('JLR Materials'!$B$2:$B$20001,MATCH($C420,'JLR Materials'!$A$2:$A$20001,0)),IF($E420="labour",IFERROR(INDEX('JLR Labour'!$B$2:$B$20001,MATCH($C420,'JLR Labour'!$A$2:$A$20001,0)),"labour category "&amp;$C420&amp;" — from the machine tab"),""))),"NOT FOUND — check the code"))</f>
        <v/>
      </c>
      <c r="E420" s="30" t="s">
        <v>925</v>
      </c>
    </row>
    <row r="421" spans="1:5" x14ac:dyDescent="0.25">
      <c r="A421" s="28" t="s">
        <v>1106</v>
      </c>
      <c r="B421" s="19" t="s">
        <v>1107</v>
      </c>
      <c r="C421" s="29"/>
      <c r="D421" s="17" t="str">
        <f>IF($C421="","",IFERROR(IF($E421="machine",INDEX('JLR Machines'!$B$2:$B$20001,MATCH($C421,'JLR Machines'!$A$2:$A$20001,0)),IF($E421="material",INDEX('JLR Materials'!$B$2:$B$20001,MATCH($C421,'JLR Materials'!$A$2:$A$20001,0)),IF($E421="labour",IFERROR(INDEX('JLR Labour'!$B$2:$B$20001,MATCH($C421,'JLR Labour'!$A$2:$A$20001,0)),"labour category "&amp;$C421&amp;" — from the machine tab"),""))),"NOT FOUND — check the code"))</f>
        <v/>
      </c>
      <c r="E421" s="30" t="s">
        <v>925</v>
      </c>
    </row>
    <row r="422" spans="1:5" x14ac:dyDescent="0.25">
      <c r="A422" s="28" t="s">
        <v>1108</v>
      </c>
      <c r="B422" s="19" t="s">
        <v>1109</v>
      </c>
      <c r="C422" s="29"/>
      <c r="D422" s="17" t="str">
        <f>IF($C422="","",IFERROR(IF($E422="machine",INDEX('JLR Machines'!$B$2:$B$20001,MATCH($C422,'JLR Machines'!$A$2:$A$20001,0)),IF($E422="material",INDEX('JLR Materials'!$B$2:$B$20001,MATCH($C422,'JLR Materials'!$A$2:$A$20001,0)),IF($E422="labour",IFERROR(INDEX('JLR Labour'!$B$2:$B$20001,MATCH($C422,'JLR Labour'!$A$2:$A$20001,0)),"labour category "&amp;$C422&amp;" — from the machine tab"),""))),"NOT FOUND — check the code"))</f>
        <v/>
      </c>
      <c r="E422" s="30" t="s">
        <v>925</v>
      </c>
    </row>
    <row r="423" spans="1:5" x14ac:dyDescent="0.25">
      <c r="A423" s="28" t="s">
        <v>1110</v>
      </c>
      <c r="B423" s="19" t="s">
        <v>1111</v>
      </c>
      <c r="C423" s="29"/>
      <c r="D423" s="17" t="str">
        <f>IF($C423="","",IFERROR(IF($E423="machine",INDEX('JLR Machines'!$B$2:$B$20001,MATCH($C423,'JLR Machines'!$A$2:$A$20001,0)),IF($E423="material",INDEX('JLR Materials'!$B$2:$B$20001,MATCH($C423,'JLR Materials'!$A$2:$A$20001,0)),IF($E423="labour",IFERROR(INDEX('JLR Labour'!$B$2:$B$20001,MATCH($C423,'JLR Labour'!$A$2:$A$20001,0)),"labour category "&amp;$C423&amp;" — from the machine tab"),""))),"NOT FOUND — check the code"))</f>
        <v/>
      </c>
      <c r="E423" s="30" t="s">
        <v>925</v>
      </c>
    </row>
    <row r="424" spans="1:5" x14ac:dyDescent="0.25">
      <c r="A424" s="28" t="s">
        <v>1112</v>
      </c>
      <c r="B424" s="19" t="s">
        <v>1113</v>
      </c>
      <c r="C424" s="29"/>
      <c r="D424" s="17" t="str">
        <f>IF($C424="","",IFERROR(IF($E424="machine",INDEX('JLR Machines'!$B$2:$B$20001,MATCH($C424,'JLR Machines'!$A$2:$A$20001,0)),IF($E424="material",INDEX('JLR Materials'!$B$2:$B$20001,MATCH($C424,'JLR Materials'!$A$2:$A$20001,0)),IF($E424="labour",IFERROR(INDEX('JLR Labour'!$B$2:$B$20001,MATCH($C424,'JLR Labour'!$A$2:$A$20001,0)),"labour category "&amp;$C424&amp;" — from the machine tab"),""))),"NOT FOUND — check the code"))</f>
        <v/>
      </c>
      <c r="E424" s="30" t="s">
        <v>925</v>
      </c>
    </row>
    <row r="425" spans="1:5" x14ac:dyDescent="0.25">
      <c r="A425" s="28" t="s">
        <v>1114</v>
      </c>
      <c r="B425" s="19" t="s">
        <v>1115</v>
      </c>
      <c r="C425" s="29"/>
      <c r="D425" s="17" t="str">
        <f>IF($C425="","",IFERROR(IF($E425="machine",INDEX('JLR Machines'!$B$2:$B$20001,MATCH($C425,'JLR Machines'!$A$2:$A$20001,0)),IF($E425="material",INDEX('JLR Materials'!$B$2:$B$20001,MATCH($C425,'JLR Materials'!$A$2:$A$20001,0)),IF($E425="labour",IFERROR(INDEX('JLR Labour'!$B$2:$B$20001,MATCH($C425,'JLR Labour'!$A$2:$A$20001,0)),"labour category "&amp;$C425&amp;" — from the machine tab"),""))),"NOT FOUND — check the code"))</f>
        <v/>
      </c>
      <c r="E425" s="30" t="s">
        <v>925</v>
      </c>
    </row>
    <row r="426" spans="1:5" x14ac:dyDescent="0.25">
      <c r="A426" s="28" t="s">
        <v>1116</v>
      </c>
      <c r="B426" s="19" t="s">
        <v>1117</v>
      </c>
      <c r="C426" s="29"/>
      <c r="D426" s="17" t="str">
        <f>IF($C426="","",IFERROR(IF($E426="machine",INDEX('JLR Machines'!$B$2:$B$20001,MATCH($C426,'JLR Machines'!$A$2:$A$20001,0)),IF($E426="material",INDEX('JLR Materials'!$B$2:$B$20001,MATCH($C426,'JLR Materials'!$A$2:$A$20001,0)),IF($E426="labour",IFERROR(INDEX('JLR Labour'!$B$2:$B$20001,MATCH($C426,'JLR Labour'!$A$2:$A$20001,0)),"labour category "&amp;$C426&amp;" — from the machine tab"),""))),"NOT FOUND — check the code"))</f>
        <v/>
      </c>
      <c r="E426" s="30" t="s">
        <v>925</v>
      </c>
    </row>
    <row r="427" spans="1:5" x14ac:dyDescent="0.25">
      <c r="A427" s="28" t="s">
        <v>1118</v>
      </c>
      <c r="B427" s="19" t="s">
        <v>1119</v>
      </c>
      <c r="C427" s="29"/>
      <c r="D427" s="17" t="str">
        <f>IF($C427="","",IFERROR(IF($E427="machine",INDEX('JLR Machines'!$B$2:$B$20001,MATCH($C427,'JLR Machines'!$A$2:$A$20001,0)),IF($E427="material",INDEX('JLR Materials'!$B$2:$B$20001,MATCH($C427,'JLR Materials'!$A$2:$A$20001,0)),IF($E427="labour",IFERROR(INDEX('JLR Labour'!$B$2:$B$20001,MATCH($C427,'JLR Labour'!$A$2:$A$20001,0)),"labour category "&amp;$C427&amp;" — from the machine tab"),""))),"NOT FOUND — check the code"))</f>
        <v/>
      </c>
      <c r="E427" s="30" t="s">
        <v>925</v>
      </c>
    </row>
    <row r="428" spans="1:5" x14ac:dyDescent="0.25">
      <c r="A428" s="28" t="s">
        <v>1120</v>
      </c>
      <c r="B428" s="19" t="s">
        <v>1121</v>
      </c>
      <c r="C428" s="29"/>
      <c r="D428" s="17" t="str">
        <f>IF($C428="","",IFERROR(IF($E428="machine",INDEX('JLR Machines'!$B$2:$B$20001,MATCH($C428,'JLR Machines'!$A$2:$A$20001,0)),IF($E428="material",INDEX('JLR Materials'!$B$2:$B$20001,MATCH($C428,'JLR Materials'!$A$2:$A$20001,0)),IF($E428="labour",IFERROR(INDEX('JLR Labour'!$B$2:$B$20001,MATCH($C428,'JLR Labour'!$A$2:$A$20001,0)),"labour category "&amp;$C428&amp;" — from the machine tab"),""))),"NOT FOUND — check the code"))</f>
        <v/>
      </c>
      <c r="E428" s="30" t="s">
        <v>925</v>
      </c>
    </row>
    <row r="429" spans="1:5" x14ac:dyDescent="0.25">
      <c r="A429" s="28" t="s">
        <v>1122</v>
      </c>
      <c r="B429" s="19" t="s">
        <v>1123</v>
      </c>
      <c r="C429" s="29"/>
      <c r="D429" s="17" t="str">
        <f>IF($C429="","",IFERROR(IF($E429="machine",INDEX('JLR Machines'!$B$2:$B$20001,MATCH($C429,'JLR Machines'!$A$2:$A$20001,0)),IF($E429="material",INDEX('JLR Materials'!$B$2:$B$20001,MATCH($C429,'JLR Materials'!$A$2:$A$20001,0)),IF($E429="labour",IFERROR(INDEX('JLR Labour'!$B$2:$B$20001,MATCH($C429,'JLR Labour'!$A$2:$A$20001,0)),"labour category "&amp;$C429&amp;" — from the machine tab"),""))),"NOT FOUND — check the code"))</f>
        <v/>
      </c>
      <c r="E429" s="30" t="s">
        <v>925</v>
      </c>
    </row>
    <row r="430" spans="1:5" x14ac:dyDescent="0.25">
      <c r="A430" s="28" t="s">
        <v>1124</v>
      </c>
      <c r="B430" s="19" t="s">
        <v>1125</v>
      </c>
      <c r="C430" s="29"/>
      <c r="D430" s="17" t="str">
        <f>IF($C430="","",IFERROR(IF($E430="machine",INDEX('JLR Machines'!$B$2:$B$20001,MATCH($C430,'JLR Machines'!$A$2:$A$20001,0)),IF($E430="material",INDEX('JLR Materials'!$B$2:$B$20001,MATCH($C430,'JLR Materials'!$A$2:$A$20001,0)),IF($E430="labour",IFERROR(INDEX('JLR Labour'!$B$2:$B$20001,MATCH($C430,'JLR Labour'!$A$2:$A$20001,0)),"labour category "&amp;$C430&amp;" — from the machine tab"),""))),"NOT FOUND — check the code"))</f>
        <v/>
      </c>
      <c r="E430" s="30" t="s">
        <v>925</v>
      </c>
    </row>
    <row r="431" spans="1:5" x14ac:dyDescent="0.25">
      <c r="A431" s="28" t="s">
        <v>1126</v>
      </c>
      <c r="B431" s="19" t="s">
        <v>1127</v>
      </c>
      <c r="C431" s="29"/>
      <c r="D431" s="17" t="str">
        <f>IF($C431="","",IFERROR(IF($E431="machine",INDEX('JLR Machines'!$B$2:$B$20001,MATCH($C431,'JLR Machines'!$A$2:$A$20001,0)),IF($E431="material",INDEX('JLR Materials'!$B$2:$B$20001,MATCH($C431,'JLR Materials'!$A$2:$A$20001,0)),IF($E431="labour",IFERROR(INDEX('JLR Labour'!$B$2:$B$20001,MATCH($C431,'JLR Labour'!$A$2:$A$20001,0)),"labour category "&amp;$C431&amp;" — from the machine tab"),""))),"NOT FOUND — check the code"))</f>
        <v/>
      </c>
      <c r="E431" s="30" t="s">
        <v>925</v>
      </c>
    </row>
    <row r="432" spans="1:5" x14ac:dyDescent="0.25">
      <c r="A432" s="28" t="s">
        <v>1128</v>
      </c>
      <c r="B432" s="19" t="s">
        <v>1129</v>
      </c>
      <c r="C432" s="29"/>
      <c r="D432" s="17" t="str">
        <f>IF($C432="","",IFERROR(IF($E432="machine",INDEX('JLR Machines'!$B$2:$B$20001,MATCH($C432,'JLR Machines'!$A$2:$A$20001,0)),IF($E432="material",INDEX('JLR Materials'!$B$2:$B$20001,MATCH($C432,'JLR Materials'!$A$2:$A$20001,0)),IF($E432="labour",IFERROR(INDEX('JLR Labour'!$B$2:$B$20001,MATCH($C432,'JLR Labour'!$A$2:$A$20001,0)),"labour category "&amp;$C432&amp;" — from the machine tab"),""))),"NOT FOUND — check the code"))</f>
        <v/>
      </c>
      <c r="E432" s="30" t="s">
        <v>925</v>
      </c>
    </row>
    <row r="433" spans="1:5" x14ac:dyDescent="0.25">
      <c r="A433" s="28" t="s">
        <v>1130</v>
      </c>
      <c r="B433" s="19" t="s">
        <v>1131</v>
      </c>
      <c r="C433" s="29"/>
      <c r="D433" s="17" t="str">
        <f>IF($C433="","",IFERROR(IF($E433="machine",INDEX('JLR Machines'!$B$2:$B$20001,MATCH($C433,'JLR Machines'!$A$2:$A$20001,0)),IF($E433="material",INDEX('JLR Materials'!$B$2:$B$20001,MATCH($C433,'JLR Materials'!$A$2:$A$20001,0)),IF($E433="labour",IFERROR(INDEX('JLR Labour'!$B$2:$B$20001,MATCH($C433,'JLR Labour'!$A$2:$A$20001,0)),"labour category "&amp;$C433&amp;" — from the machine tab"),""))),"NOT FOUND — check the code"))</f>
        <v/>
      </c>
      <c r="E433" s="30" t="s">
        <v>925</v>
      </c>
    </row>
    <row r="434" spans="1:5" x14ac:dyDescent="0.25">
      <c r="A434" s="28" t="s">
        <v>1132</v>
      </c>
      <c r="B434" s="19" t="s">
        <v>1133</v>
      </c>
      <c r="C434" s="29"/>
      <c r="D434" s="17" t="str">
        <f>IF($C434="","",IFERROR(IF($E434="machine",INDEX('JLR Machines'!$B$2:$B$20001,MATCH($C434,'JLR Machines'!$A$2:$A$20001,0)),IF($E434="material",INDEX('JLR Materials'!$B$2:$B$20001,MATCH($C434,'JLR Materials'!$A$2:$A$20001,0)),IF($E434="labour",IFERROR(INDEX('JLR Labour'!$B$2:$B$20001,MATCH($C434,'JLR Labour'!$A$2:$A$20001,0)),"labour category "&amp;$C434&amp;" — from the machine tab"),""))),"NOT FOUND — check the code"))</f>
        <v/>
      </c>
      <c r="E434" s="30" t="s">
        <v>925</v>
      </c>
    </row>
    <row r="435" spans="1:5" x14ac:dyDescent="0.25">
      <c r="A435" s="28" t="s">
        <v>1134</v>
      </c>
      <c r="B435" s="19" t="s">
        <v>1135</v>
      </c>
      <c r="C435" s="29"/>
      <c r="D435" s="17" t="str">
        <f>IF($C435="","",IFERROR(IF($E435="machine",INDEX('JLR Machines'!$B$2:$B$20001,MATCH($C435,'JLR Machines'!$A$2:$A$20001,0)),IF($E435="material",INDEX('JLR Materials'!$B$2:$B$20001,MATCH($C435,'JLR Materials'!$A$2:$A$20001,0)),IF($E435="labour",IFERROR(INDEX('JLR Labour'!$B$2:$B$20001,MATCH($C435,'JLR Labour'!$A$2:$A$20001,0)),"labour category "&amp;$C435&amp;" — from the machine tab"),""))),"NOT FOUND — check the code"))</f>
        <v/>
      </c>
      <c r="E435" s="30" t="s">
        <v>925</v>
      </c>
    </row>
    <row r="436" spans="1:5" x14ac:dyDescent="0.25">
      <c r="A436" s="28" t="s">
        <v>1136</v>
      </c>
      <c r="B436" s="19" t="s">
        <v>1137</v>
      </c>
      <c r="C436" s="29"/>
      <c r="D436" s="17" t="str">
        <f>IF($C436="","",IFERROR(IF($E436="machine",INDEX('JLR Machines'!$B$2:$B$20001,MATCH($C436,'JLR Machines'!$A$2:$A$20001,0)),IF($E436="material",INDEX('JLR Materials'!$B$2:$B$20001,MATCH($C436,'JLR Materials'!$A$2:$A$20001,0)),IF($E436="labour",IFERROR(INDEX('JLR Labour'!$B$2:$B$20001,MATCH($C436,'JLR Labour'!$A$2:$A$20001,0)),"labour category "&amp;$C436&amp;" — from the machine tab"),""))),"NOT FOUND — check the code"))</f>
        <v/>
      </c>
      <c r="E436" s="30" t="s">
        <v>925</v>
      </c>
    </row>
    <row r="437" spans="1:5" x14ac:dyDescent="0.25">
      <c r="A437" s="28" t="s">
        <v>1138</v>
      </c>
      <c r="B437" s="19" t="s">
        <v>1139</v>
      </c>
      <c r="C437" s="29"/>
      <c r="D437" s="17" t="str">
        <f>IF($C437="","",IFERROR(IF($E437="machine",INDEX('JLR Machines'!$B$2:$B$20001,MATCH($C437,'JLR Machines'!$A$2:$A$20001,0)),IF($E437="material",INDEX('JLR Materials'!$B$2:$B$20001,MATCH($C437,'JLR Materials'!$A$2:$A$20001,0)),IF($E437="labour",IFERROR(INDEX('JLR Labour'!$B$2:$B$20001,MATCH($C437,'JLR Labour'!$A$2:$A$20001,0)),"labour category "&amp;$C437&amp;" — from the machine tab"),""))),"NOT FOUND — check the code"))</f>
        <v/>
      </c>
      <c r="E437" s="30" t="s">
        <v>925</v>
      </c>
    </row>
    <row r="438" spans="1:5" x14ac:dyDescent="0.25">
      <c r="A438" s="28" t="s">
        <v>1140</v>
      </c>
      <c r="B438" s="19" t="s">
        <v>1141</v>
      </c>
      <c r="C438" s="29"/>
      <c r="D438" s="17" t="str">
        <f>IF($C438="","",IFERROR(IF($E438="machine",INDEX('JLR Machines'!$B$2:$B$20001,MATCH($C438,'JLR Machines'!$A$2:$A$20001,0)),IF($E438="material",INDEX('JLR Materials'!$B$2:$B$20001,MATCH($C438,'JLR Materials'!$A$2:$A$20001,0)),IF($E438="labour",IFERROR(INDEX('JLR Labour'!$B$2:$B$20001,MATCH($C438,'JLR Labour'!$A$2:$A$20001,0)),"labour category "&amp;$C438&amp;" — from the machine tab"),""))),"NOT FOUND — check the code"))</f>
        <v/>
      </c>
      <c r="E438" s="30" t="s">
        <v>925</v>
      </c>
    </row>
    <row r="439" spans="1:5" x14ac:dyDescent="0.25">
      <c r="A439" s="28" t="s">
        <v>1142</v>
      </c>
      <c r="B439" s="19" t="s">
        <v>1143</v>
      </c>
      <c r="C439" s="29"/>
      <c r="D439" s="17" t="str">
        <f>IF($C439="","",IFERROR(IF($E439="machine",INDEX('JLR Machines'!$B$2:$B$20001,MATCH($C439,'JLR Machines'!$A$2:$A$20001,0)),IF($E439="material",INDEX('JLR Materials'!$B$2:$B$20001,MATCH($C439,'JLR Materials'!$A$2:$A$20001,0)),IF($E439="labour",IFERROR(INDEX('JLR Labour'!$B$2:$B$20001,MATCH($C439,'JLR Labour'!$A$2:$A$20001,0)),"labour category "&amp;$C439&amp;" — from the machine tab"),""))),"NOT FOUND — check the code"))</f>
        <v/>
      </c>
      <c r="E439" s="30" t="s">
        <v>925</v>
      </c>
    </row>
    <row r="440" spans="1:5" x14ac:dyDescent="0.25">
      <c r="A440" s="28" t="s">
        <v>1144</v>
      </c>
      <c r="B440" s="19" t="s">
        <v>1145</v>
      </c>
      <c r="C440" s="29"/>
      <c r="D440" s="17" t="str">
        <f>IF($C440="","",IFERROR(IF($E440="machine",INDEX('JLR Machines'!$B$2:$B$20001,MATCH($C440,'JLR Machines'!$A$2:$A$20001,0)),IF($E440="material",INDEX('JLR Materials'!$B$2:$B$20001,MATCH($C440,'JLR Materials'!$A$2:$A$20001,0)),IF($E440="labour",IFERROR(INDEX('JLR Labour'!$B$2:$B$20001,MATCH($C440,'JLR Labour'!$A$2:$A$20001,0)),"labour category "&amp;$C440&amp;" — from the machine tab"),""))),"NOT FOUND — check the code"))</f>
        <v/>
      </c>
      <c r="E440" s="30" t="s">
        <v>925</v>
      </c>
    </row>
    <row r="441" spans="1:5" x14ac:dyDescent="0.25">
      <c r="A441" s="28" t="s">
        <v>1146</v>
      </c>
      <c r="B441" s="19" t="s">
        <v>1147</v>
      </c>
      <c r="C441" s="29"/>
      <c r="D441" s="17" t="str">
        <f>IF($C441="","",IFERROR(IF($E441="machine",INDEX('JLR Machines'!$B$2:$B$20001,MATCH($C441,'JLR Machines'!$A$2:$A$20001,0)),IF($E441="material",INDEX('JLR Materials'!$B$2:$B$20001,MATCH($C441,'JLR Materials'!$A$2:$A$20001,0)),IF($E441="labour",IFERROR(INDEX('JLR Labour'!$B$2:$B$20001,MATCH($C441,'JLR Labour'!$A$2:$A$20001,0)),"labour category "&amp;$C441&amp;" — from the machine tab"),""))),"NOT FOUND — check the code"))</f>
        <v/>
      </c>
      <c r="E441" s="30" t="s">
        <v>925</v>
      </c>
    </row>
    <row r="442" spans="1:5" x14ac:dyDescent="0.25">
      <c r="A442" s="28" t="s">
        <v>1148</v>
      </c>
      <c r="B442" s="19" t="s">
        <v>1149</v>
      </c>
      <c r="C442" s="29"/>
      <c r="D442" s="17" t="str">
        <f>IF($C442="","",IFERROR(IF($E442="machine",INDEX('JLR Machines'!$B$2:$B$20001,MATCH($C442,'JLR Machines'!$A$2:$A$20001,0)),IF($E442="material",INDEX('JLR Materials'!$B$2:$B$20001,MATCH($C442,'JLR Materials'!$A$2:$A$20001,0)),IF($E442="labour",IFERROR(INDEX('JLR Labour'!$B$2:$B$20001,MATCH($C442,'JLR Labour'!$A$2:$A$20001,0)),"labour category "&amp;$C442&amp;" — from the machine tab"),""))),"NOT FOUND — check the code"))</f>
        <v/>
      </c>
      <c r="E442" s="30" t="s">
        <v>925</v>
      </c>
    </row>
    <row r="443" spans="1:5" x14ac:dyDescent="0.25">
      <c r="A443" s="28" t="s">
        <v>1150</v>
      </c>
      <c r="B443" s="19" t="s">
        <v>1151</v>
      </c>
      <c r="C443" s="29"/>
      <c r="D443" s="17" t="str">
        <f>IF($C443="","",IFERROR(IF($E443="machine",INDEX('JLR Machines'!$B$2:$B$20001,MATCH($C443,'JLR Machines'!$A$2:$A$20001,0)),IF($E443="material",INDEX('JLR Materials'!$B$2:$B$20001,MATCH($C443,'JLR Materials'!$A$2:$A$20001,0)),IF($E443="labour",IFERROR(INDEX('JLR Labour'!$B$2:$B$20001,MATCH($C443,'JLR Labour'!$A$2:$A$20001,0)),"labour category "&amp;$C443&amp;" — from the machine tab"),""))),"NOT FOUND — check the code"))</f>
        <v/>
      </c>
      <c r="E443" s="30" t="s">
        <v>925</v>
      </c>
    </row>
    <row r="444" spans="1:5" x14ac:dyDescent="0.25">
      <c r="A444" s="28" t="s">
        <v>1152</v>
      </c>
      <c r="B444" s="19" t="s">
        <v>1153</v>
      </c>
      <c r="C444" s="29"/>
      <c r="D444" s="17" t="str">
        <f>IF($C444="","",IFERROR(IF($E444="machine",INDEX('JLR Machines'!$B$2:$B$20001,MATCH($C444,'JLR Machines'!$A$2:$A$20001,0)),IF($E444="material",INDEX('JLR Materials'!$B$2:$B$20001,MATCH($C444,'JLR Materials'!$A$2:$A$20001,0)),IF($E444="labour",IFERROR(INDEX('JLR Labour'!$B$2:$B$20001,MATCH($C444,'JLR Labour'!$A$2:$A$20001,0)),"labour category "&amp;$C444&amp;" — from the machine tab"),""))),"NOT FOUND — check the code"))</f>
        <v/>
      </c>
      <c r="E444" s="30" t="s">
        <v>925</v>
      </c>
    </row>
    <row r="445" spans="1:5" x14ac:dyDescent="0.25">
      <c r="A445" s="28" t="s">
        <v>1154</v>
      </c>
      <c r="B445" s="19" t="s">
        <v>1155</v>
      </c>
      <c r="C445" s="29"/>
      <c r="D445" s="17" t="str">
        <f>IF($C445="","",IFERROR(IF($E445="machine",INDEX('JLR Machines'!$B$2:$B$20001,MATCH($C445,'JLR Machines'!$A$2:$A$20001,0)),IF($E445="material",INDEX('JLR Materials'!$B$2:$B$20001,MATCH($C445,'JLR Materials'!$A$2:$A$20001,0)),IF($E445="labour",IFERROR(INDEX('JLR Labour'!$B$2:$B$20001,MATCH($C445,'JLR Labour'!$A$2:$A$20001,0)),"labour category "&amp;$C445&amp;" — from the machine tab"),""))),"NOT FOUND — check the code"))</f>
        <v/>
      </c>
      <c r="E445" s="30" t="s">
        <v>925</v>
      </c>
    </row>
    <row r="446" spans="1:5" x14ac:dyDescent="0.25">
      <c r="A446" s="28" t="s">
        <v>1156</v>
      </c>
      <c r="B446" s="19" t="s">
        <v>1157</v>
      </c>
      <c r="C446" s="29"/>
      <c r="D446" s="17" t="str">
        <f>IF($C446="","",IFERROR(IF($E446="machine",INDEX('JLR Machines'!$B$2:$B$20001,MATCH($C446,'JLR Machines'!$A$2:$A$20001,0)),IF($E446="material",INDEX('JLR Materials'!$B$2:$B$20001,MATCH($C446,'JLR Materials'!$A$2:$A$20001,0)),IF($E446="labour",IFERROR(INDEX('JLR Labour'!$B$2:$B$20001,MATCH($C446,'JLR Labour'!$A$2:$A$20001,0)),"labour category "&amp;$C446&amp;" — from the machine tab"),""))),"NOT FOUND — check the code"))</f>
        <v/>
      </c>
      <c r="E446" s="30" t="s">
        <v>925</v>
      </c>
    </row>
    <row r="447" spans="1:5" x14ac:dyDescent="0.25">
      <c r="A447" s="28" t="s">
        <v>1158</v>
      </c>
      <c r="B447" s="19" t="s">
        <v>1159</v>
      </c>
      <c r="C447" s="29"/>
      <c r="D447" s="17" t="str">
        <f>IF($C447="","",IFERROR(IF($E447="machine",INDEX('JLR Machines'!$B$2:$B$20001,MATCH($C447,'JLR Machines'!$A$2:$A$20001,0)),IF($E447="material",INDEX('JLR Materials'!$B$2:$B$20001,MATCH($C447,'JLR Materials'!$A$2:$A$20001,0)),IF($E447="labour",IFERROR(INDEX('JLR Labour'!$B$2:$B$20001,MATCH($C447,'JLR Labour'!$A$2:$A$20001,0)),"labour category "&amp;$C447&amp;" — from the machine tab"),""))),"NOT FOUND — check the code"))</f>
        <v/>
      </c>
      <c r="E447" s="30" t="s">
        <v>925</v>
      </c>
    </row>
    <row r="448" spans="1:5" x14ac:dyDescent="0.25">
      <c r="A448" s="28" t="s">
        <v>1160</v>
      </c>
      <c r="B448" s="19" t="s">
        <v>1161</v>
      </c>
      <c r="C448" s="29"/>
      <c r="D448" s="17" t="str">
        <f>IF($C448="","",IFERROR(IF($E448="machine",INDEX('JLR Machines'!$B$2:$B$20001,MATCH($C448,'JLR Machines'!$A$2:$A$20001,0)),IF($E448="material",INDEX('JLR Materials'!$B$2:$B$20001,MATCH($C448,'JLR Materials'!$A$2:$A$20001,0)),IF($E448="labour",IFERROR(INDEX('JLR Labour'!$B$2:$B$20001,MATCH($C448,'JLR Labour'!$A$2:$A$20001,0)),"labour category "&amp;$C448&amp;" — from the machine tab"),""))),"NOT FOUND — check the code"))</f>
        <v/>
      </c>
      <c r="E448" s="30" t="s">
        <v>925</v>
      </c>
    </row>
    <row r="449" spans="1:5" x14ac:dyDescent="0.25">
      <c r="A449" s="28" t="s">
        <v>1162</v>
      </c>
      <c r="B449" s="19" t="s">
        <v>1163</v>
      </c>
      <c r="C449" s="29"/>
      <c r="D449" s="17" t="str">
        <f>IF($C449="","",IFERROR(IF($E449="machine",INDEX('JLR Machines'!$B$2:$B$20001,MATCH($C449,'JLR Machines'!$A$2:$A$20001,0)),IF($E449="material",INDEX('JLR Materials'!$B$2:$B$20001,MATCH($C449,'JLR Materials'!$A$2:$A$20001,0)),IF($E449="labour",IFERROR(INDEX('JLR Labour'!$B$2:$B$20001,MATCH($C449,'JLR Labour'!$A$2:$A$20001,0)),"labour category "&amp;$C449&amp;" — from the machine tab"),""))),"NOT FOUND — check the code"))</f>
        <v/>
      </c>
      <c r="E449" s="30" t="s">
        <v>925</v>
      </c>
    </row>
    <row r="450" spans="1:5" x14ac:dyDescent="0.25">
      <c r="A450" s="28" t="s">
        <v>1164</v>
      </c>
      <c r="B450" s="19" t="s">
        <v>1165</v>
      </c>
      <c r="C450" s="29"/>
      <c r="D450" s="17" t="str">
        <f>IF($C450="","",IFERROR(IF($E450="machine",INDEX('JLR Machines'!$B$2:$B$20001,MATCH($C450,'JLR Machines'!$A$2:$A$20001,0)),IF($E450="material",INDEX('JLR Materials'!$B$2:$B$20001,MATCH($C450,'JLR Materials'!$A$2:$A$20001,0)),IF($E450="labour",IFERROR(INDEX('JLR Labour'!$B$2:$B$20001,MATCH($C450,'JLR Labour'!$A$2:$A$20001,0)),"labour category "&amp;$C450&amp;" — from the machine tab"),""))),"NOT FOUND — check the code"))</f>
        <v/>
      </c>
      <c r="E450" s="30" t="s">
        <v>925</v>
      </c>
    </row>
    <row r="451" spans="1:5" x14ac:dyDescent="0.25">
      <c r="A451" s="28" t="s">
        <v>1166</v>
      </c>
      <c r="B451" s="19" t="s">
        <v>1167</v>
      </c>
      <c r="C451" s="29"/>
      <c r="D451" s="17" t="str">
        <f>IF($C451="","",IFERROR(IF($E451="machine",INDEX('JLR Machines'!$B$2:$B$20001,MATCH($C451,'JLR Machines'!$A$2:$A$20001,0)),IF($E451="material",INDEX('JLR Materials'!$B$2:$B$20001,MATCH($C451,'JLR Materials'!$A$2:$A$20001,0)),IF($E451="labour",IFERROR(INDEX('JLR Labour'!$B$2:$B$20001,MATCH($C451,'JLR Labour'!$A$2:$A$20001,0)),"labour category "&amp;$C451&amp;" — from the machine tab"),""))),"NOT FOUND — check the code"))</f>
        <v/>
      </c>
      <c r="E451" s="30" t="s">
        <v>925</v>
      </c>
    </row>
    <row r="452" spans="1:5" x14ac:dyDescent="0.25">
      <c r="A452" s="28" t="s">
        <v>1168</v>
      </c>
      <c r="B452" s="19" t="s">
        <v>1169</v>
      </c>
      <c r="C452" s="29"/>
      <c r="D452" s="17" t="str">
        <f>IF($C452="","",IFERROR(IF($E452="machine",INDEX('JLR Machines'!$B$2:$B$20001,MATCH($C452,'JLR Machines'!$A$2:$A$20001,0)),IF($E452="material",INDEX('JLR Materials'!$B$2:$B$20001,MATCH($C452,'JLR Materials'!$A$2:$A$20001,0)),IF($E452="labour",IFERROR(INDEX('JLR Labour'!$B$2:$B$20001,MATCH($C452,'JLR Labour'!$A$2:$A$20001,0)),"labour category "&amp;$C452&amp;" — from the machine tab"),""))),"NOT FOUND — check the code"))</f>
        <v/>
      </c>
      <c r="E452" s="30" t="s">
        <v>925</v>
      </c>
    </row>
    <row r="453" spans="1:5" x14ac:dyDescent="0.25">
      <c r="A453" s="28" t="s">
        <v>1170</v>
      </c>
      <c r="B453" s="19" t="s">
        <v>1171</v>
      </c>
      <c r="C453" s="29"/>
      <c r="D453" s="17" t="str">
        <f>IF($C453="","",IFERROR(IF($E453="machine",INDEX('JLR Machines'!$B$2:$B$20001,MATCH($C453,'JLR Machines'!$A$2:$A$20001,0)),IF($E453="material",INDEX('JLR Materials'!$B$2:$B$20001,MATCH($C453,'JLR Materials'!$A$2:$A$20001,0)),IF($E453="labour",IFERROR(INDEX('JLR Labour'!$B$2:$B$20001,MATCH($C453,'JLR Labour'!$A$2:$A$20001,0)),"labour category "&amp;$C453&amp;" — from the machine tab"),""))),"NOT FOUND — check the code"))</f>
        <v/>
      </c>
      <c r="E453" s="30" t="s">
        <v>925</v>
      </c>
    </row>
    <row r="454" spans="1:5" x14ac:dyDescent="0.25">
      <c r="A454" s="28" t="s">
        <v>1172</v>
      </c>
      <c r="B454" s="19" t="s">
        <v>1173</v>
      </c>
      <c r="C454" s="29"/>
      <c r="D454" s="17" t="str">
        <f>IF($C454="","",IFERROR(IF($E454="machine",INDEX('JLR Machines'!$B$2:$B$20001,MATCH($C454,'JLR Machines'!$A$2:$A$20001,0)),IF($E454="material",INDEX('JLR Materials'!$B$2:$B$20001,MATCH($C454,'JLR Materials'!$A$2:$A$20001,0)),IF($E454="labour",IFERROR(INDEX('JLR Labour'!$B$2:$B$20001,MATCH($C454,'JLR Labour'!$A$2:$A$20001,0)),"labour category "&amp;$C454&amp;" — from the machine tab"),""))),"NOT FOUND — check the code"))</f>
        <v/>
      </c>
      <c r="E454" s="30" t="s">
        <v>925</v>
      </c>
    </row>
    <row r="455" spans="1:5" x14ac:dyDescent="0.25">
      <c r="A455" s="28" t="s">
        <v>1174</v>
      </c>
      <c r="B455" s="19" t="s">
        <v>1175</v>
      </c>
      <c r="C455" s="29"/>
      <c r="D455" s="17" t="str">
        <f>IF($C455="","",IFERROR(IF($E455="machine",INDEX('JLR Machines'!$B$2:$B$20001,MATCH($C455,'JLR Machines'!$A$2:$A$20001,0)),IF($E455="material",INDEX('JLR Materials'!$B$2:$B$20001,MATCH($C455,'JLR Materials'!$A$2:$A$20001,0)),IF($E455="labour",IFERROR(INDEX('JLR Labour'!$B$2:$B$20001,MATCH($C455,'JLR Labour'!$A$2:$A$20001,0)),"labour category "&amp;$C455&amp;" — from the machine tab"),""))),"NOT FOUND — check the code"))</f>
        <v/>
      </c>
      <c r="E455" s="30" t="s">
        <v>925</v>
      </c>
    </row>
    <row r="456" spans="1:5" x14ac:dyDescent="0.25">
      <c r="A456" s="28" t="s">
        <v>1176</v>
      </c>
      <c r="B456" s="19" t="s">
        <v>1177</v>
      </c>
      <c r="C456" s="29"/>
      <c r="D456" s="17" t="str">
        <f>IF($C456="","",IFERROR(IF($E456="machine",INDEX('JLR Machines'!$B$2:$B$20001,MATCH($C456,'JLR Machines'!$A$2:$A$20001,0)),IF($E456="material",INDEX('JLR Materials'!$B$2:$B$20001,MATCH($C456,'JLR Materials'!$A$2:$A$20001,0)),IF($E456="labour",IFERROR(INDEX('JLR Labour'!$B$2:$B$20001,MATCH($C456,'JLR Labour'!$A$2:$A$20001,0)),"labour category "&amp;$C456&amp;" — from the machine tab"),""))),"NOT FOUND — check the code"))</f>
        <v/>
      </c>
      <c r="E456" s="30" t="s">
        <v>925</v>
      </c>
    </row>
    <row r="457" spans="1:5" x14ac:dyDescent="0.25">
      <c r="A457" s="28" t="s">
        <v>1178</v>
      </c>
      <c r="B457" s="19" t="s">
        <v>1179</v>
      </c>
      <c r="C457" s="29"/>
      <c r="D457" s="17" t="str">
        <f>IF($C457="","",IFERROR(IF($E457="machine",INDEX('JLR Machines'!$B$2:$B$20001,MATCH($C457,'JLR Machines'!$A$2:$A$20001,0)),IF($E457="material",INDEX('JLR Materials'!$B$2:$B$20001,MATCH($C457,'JLR Materials'!$A$2:$A$20001,0)),IF($E457="labour",IFERROR(INDEX('JLR Labour'!$B$2:$B$20001,MATCH($C457,'JLR Labour'!$A$2:$A$20001,0)),"labour category "&amp;$C457&amp;" — from the machine tab"),""))),"NOT FOUND — check the code"))</f>
        <v/>
      </c>
      <c r="E457" s="30" t="s">
        <v>925</v>
      </c>
    </row>
    <row r="458" spans="1:5" x14ac:dyDescent="0.25">
      <c r="A458" s="28" t="s">
        <v>1180</v>
      </c>
      <c r="B458" s="19" t="s">
        <v>1181</v>
      </c>
      <c r="C458" s="29"/>
      <c r="D458" s="17" t="str">
        <f>IF($C458="","",IFERROR(IF($E458="machine",INDEX('JLR Machines'!$B$2:$B$20001,MATCH($C458,'JLR Machines'!$A$2:$A$20001,0)),IF($E458="material",INDEX('JLR Materials'!$B$2:$B$20001,MATCH($C458,'JLR Materials'!$A$2:$A$20001,0)),IF($E458="labour",IFERROR(INDEX('JLR Labour'!$B$2:$B$20001,MATCH($C458,'JLR Labour'!$A$2:$A$20001,0)),"labour category "&amp;$C458&amp;" — from the machine tab"),""))),"NOT FOUND — check the code"))</f>
        <v/>
      </c>
      <c r="E458" s="30" t="s">
        <v>925</v>
      </c>
    </row>
    <row r="459" spans="1:5" x14ac:dyDescent="0.25">
      <c r="A459" s="28" t="s">
        <v>1182</v>
      </c>
      <c r="B459" s="19" t="s">
        <v>1183</v>
      </c>
      <c r="C459" s="29"/>
      <c r="D459" s="17" t="str">
        <f>IF($C459="","",IFERROR(IF($E459="machine",INDEX('JLR Machines'!$B$2:$B$20001,MATCH($C459,'JLR Machines'!$A$2:$A$20001,0)),IF($E459="material",INDEX('JLR Materials'!$B$2:$B$20001,MATCH($C459,'JLR Materials'!$A$2:$A$20001,0)),IF($E459="labour",IFERROR(INDEX('JLR Labour'!$B$2:$B$20001,MATCH($C459,'JLR Labour'!$A$2:$A$20001,0)),"labour category "&amp;$C459&amp;" — from the machine tab"),""))),"NOT FOUND — check the code"))</f>
        <v/>
      </c>
      <c r="E459" s="30" t="s">
        <v>925</v>
      </c>
    </row>
    <row r="460" spans="1:5" x14ac:dyDescent="0.25">
      <c r="A460" s="28" t="s">
        <v>1184</v>
      </c>
      <c r="B460" s="19" t="s">
        <v>1185</v>
      </c>
      <c r="C460" s="29"/>
      <c r="D460" s="17" t="str">
        <f>IF($C460="","",IFERROR(IF($E460="machine",INDEX('JLR Machines'!$B$2:$B$20001,MATCH($C460,'JLR Machines'!$A$2:$A$20001,0)),IF($E460="material",INDEX('JLR Materials'!$B$2:$B$20001,MATCH($C460,'JLR Materials'!$A$2:$A$20001,0)),IF($E460="labour",IFERROR(INDEX('JLR Labour'!$B$2:$B$20001,MATCH($C460,'JLR Labour'!$A$2:$A$20001,0)),"labour category "&amp;$C460&amp;" — from the machine tab"),""))),"NOT FOUND — check the code"))</f>
        <v/>
      </c>
      <c r="E460" s="30" t="s">
        <v>925</v>
      </c>
    </row>
    <row r="461" spans="1:5" x14ac:dyDescent="0.25">
      <c r="A461" s="28" t="s">
        <v>1186</v>
      </c>
      <c r="B461" s="19" t="s">
        <v>1187</v>
      </c>
      <c r="C461" s="29"/>
      <c r="D461" s="17" t="str">
        <f>IF($C461="","",IFERROR(IF($E461="machine",INDEX('JLR Machines'!$B$2:$B$20001,MATCH($C461,'JLR Machines'!$A$2:$A$20001,0)),IF($E461="material",INDEX('JLR Materials'!$B$2:$B$20001,MATCH($C461,'JLR Materials'!$A$2:$A$20001,0)),IF($E461="labour",IFERROR(INDEX('JLR Labour'!$B$2:$B$20001,MATCH($C461,'JLR Labour'!$A$2:$A$20001,0)),"labour category "&amp;$C461&amp;" — from the machine tab"),""))),"NOT FOUND — check the code"))</f>
        <v/>
      </c>
      <c r="E461" s="30" t="s">
        <v>925</v>
      </c>
    </row>
    <row r="462" spans="1:5" x14ac:dyDescent="0.25">
      <c r="A462" s="28" t="s">
        <v>1188</v>
      </c>
      <c r="B462" s="19" t="s">
        <v>1189</v>
      </c>
      <c r="C462" s="29"/>
      <c r="D462" s="17" t="str">
        <f>IF($C462="","",IFERROR(IF($E462="machine",INDEX('JLR Machines'!$B$2:$B$20001,MATCH($C462,'JLR Machines'!$A$2:$A$20001,0)),IF($E462="material",INDEX('JLR Materials'!$B$2:$B$20001,MATCH($C462,'JLR Materials'!$A$2:$A$20001,0)),IF($E462="labour",IFERROR(INDEX('JLR Labour'!$B$2:$B$20001,MATCH($C462,'JLR Labour'!$A$2:$A$20001,0)),"labour category "&amp;$C462&amp;" — from the machine tab"),""))),"NOT FOUND — check the code"))</f>
        <v/>
      </c>
      <c r="E462" s="30" t="s">
        <v>925</v>
      </c>
    </row>
    <row r="463" spans="1:5" x14ac:dyDescent="0.25">
      <c r="A463" s="28" t="s">
        <v>1190</v>
      </c>
      <c r="B463" s="19" t="s">
        <v>1191</v>
      </c>
      <c r="C463" s="29"/>
      <c r="D463" s="17" t="str">
        <f>IF($C463="","",IFERROR(IF($E463="machine",INDEX('JLR Machines'!$B$2:$B$20001,MATCH($C463,'JLR Machines'!$A$2:$A$20001,0)),IF($E463="material",INDEX('JLR Materials'!$B$2:$B$20001,MATCH($C463,'JLR Materials'!$A$2:$A$20001,0)),IF($E463="labour",IFERROR(INDEX('JLR Labour'!$B$2:$B$20001,MATCH($C463,'JLR Labour'!$A$2:$A$20001,0)),"labour category "&amp;$C463&amp;" — from the machine tab"),""))),"NOT FOUND — check the code"))</f>
        <v/>
      </c>
      <c r="E463" s="30" t="s">
        <v>925</v>
      </c>
    </row>
    <row r="464" spans="1:5" x14ac:dyDescent="0.25">
      <c r="A464" s="28" t="s">
        <v>1192</v>
      </c>
      <c r="B464" s="19" t="s">
        <v>1193</v>
      </c>
      <c r="C464" s="29"/>
      <c r="D464" s="17" t="str">
        <f>IF($C464="","",IFERROR(IF($E464="machine",INDEX('JLR Machines'!$B$2:$B$20001,MATCH($C464,'JLR Machines'!$A$2:$A$20001,0)),IF($E464="material",INDEX('JLR Materials'!$B$2:$B$20001,MATCH($C464,'JLR Materials'!$A$2:$A$20001,0)),IF($E464="labour",IFERROR(INDEX('JLR Labour'!$B$2:$B$20001,MATCH($C464,'JLR Labour'!$A$2:$A$20001,0)),"labour category "&amp;$C464&amp;" — from the machine tab"),""))),"NOT FOUND — check the code"))</f>
        <v/>
      </c>
      <c r="E464" s="30" t="s">
        <v>925</v>
      </c>
    </row>
    <row r="465" spans="1:5" x14ac:dyDescent="0.25">
      <c r="A465" s="28" t="s">
        <v>1194</v>
      </c>
      <c r="B465" s="19" t="s">
        <v>1195</v>
      </c>
      <c r="C465" s="29"/>
      <c r="D465" s="17" t="str">
        <f>IF($C465="","",IFERROR(IF($E465="machine",INDEX('JLR Machines'!$B$2:$B$20001,MATCH($C465,'JLR Machines'!$A$2:$A$20001,0)),IF($E465="material",INDEX('JLR Materials'!$B$2:$B$20001,MATCH($C465,'JLR Materials'!$A$2:$A$20001,0)),IF($E465="labour",IFERROR(INDEX('JLR Labour'!$B$2:$B$20001,MATCH($C465,'JLR Labour'!$A$2:$A$20001,0)),"labour category "&amp;$C465&amp;" — from the machine tab"),""))),"NOT FOUND — check the code"))</f>
        <v/>
      </c>
      <c r="E465" s="30" t="s">
        <v>925</v>
      </c>
    </row>
    <row r="466" spans="1:5" x14ac:dyDescent="0.25">
      <c r="A466" s="28" t="s">
        <v>1196</v>
      </c>
      <c r="B466" s="19" t="s">
        <v>1197</v>
      </c>
      <c r="C466" s="29"/>
      <c r="D466" s="17" t="str">
        <f>IF($C466="","",IFERROR(IF($E466="machine",INDEX('JLR Machines'!$B$2:$B$20001,MATCH($C466,'JLR Machines'!$A$2:$A$20001,0)),IF($E466="material",INDEX('JLR Materials'!$B$2:$B$20001,MATCH($C466,'JLR Materials'!$A$2:$A$20001,0)),IF($E466="labour",IFERROR(INDEX('JLR Labour'!$B$2:$B$20001,MATCH($C466,'JLR Labour'!$A$2:$A$20001,0)),"labour category "&amp;$C466&amp;" — from the machine tab"),""))),"NOT FOUND — check the code"))</f>
        <v/>
      </c>
      <c r="E466" s="30" t="s">
        <v>925</v>
      </c>
    </row>
    <row r="467" spans="1:5" x14ac:dyDescent="0.25">
      <c r="A467" s="28" t="s">
        <v>1198</v>
      </c>
      <c r="B467" s="19" t="s">
        <v>1199</v>
      </c>
      <c r="C467" s="29"/>
      <c r="D467" s="17" t="str">
        <f>IF($C467="","",IFERROR(IF($E467="machine",INDEX('JLR Machines'!$B$2:$B$20001,MATCH($C467,'JLR Machines'!$A$2:$A$20001,0)),IF($E467="material",INDEX('JLR Materials'!$B$2:$B$20001,MATCH($C467,'JLR Materials'!$A$2:$A$20001,0)),IF($E467="labour",IFERROR(INDEX('JLR Labour'!$B$2:$B$20001,MATCH($C467,'JLR Labour'!$A$2:$A$20001,0)),"labour category "&amp;$C467&amp;" — from the machine tab"),""))),"NOT FOUND — check the code"))</f>
        <v/>
      </c>
      <c r="E467" s="30" t="s">
        <v>925</v>
      </c>
    </row>
    <row r="468" spans="1:5" x14ac:dyDescent="0.25">
      <c r="A468" s="28" t="s">
        <v>1200</v>
      </c>
      <c r="B468" s="19" t="s">
        <v>1201</v>
      </c>
      <c r="C468" s="29"/>
      <c r="D468" s="17" t="str">
        <f>IF($C468="","",IFERROR(IF($E468="machine",INDEX('JLR Machines'!$B$2:$B$20001,MATCH($C468,'JLR Machines'!$A$2:$A$20001,0)),IF($E468="material",INDEX('JLR Materials'!$B$2:$B$20001,MATCH($C468,'JLR Materials'!$A$2:$A$20001,0)),IF($E468="labour",IFERROR(INDEX('JLR Labour'!$B$2:$B$20001,MATCH($C468,'JLR Labour'!$A$2:$A$20001,0)),"labour category "&amp;$C468&amp;" — from the machine tab"),""))),"NOT FOUND — check the code"))</f>
        <v/>
      </c>
      <c r="E468" s="30" t="s">
        <v>925</v>
      </c>
    </row>
    <row r="469" spans="1:5" x14ac:dyDescent="0.25">
      <c r="A469" s="28" t="s">
        <v>1202</v>
      </c>
      <c r="B469" s="19" t="s">
        <v>1203</v>
      </c>
      <c r="C469" s="29"/>
      <c r="D469" s="17" t="str">
        <f>IF($C469="","",IFERROR(IF($E469="machine",INDEX('JLR Machines'!$B$2:$B$20001,MATCH($C469,'JLR Machines'!$A$2:$A$20001,0)),IF($E469="material",INDEX('JLR Materials'!$B$2:$B$20001,MATCH($C469,'JLR Materials'!$A$2:$A$20001,0)),IF($E469="labour",IFERROR(INDEX('JLR Labour'!$B$2:$B$20001,MATCH($C469,'JLR Labour'!$A$2:$A$20001,0)),"labour category "&amp;$C469&amp;" — from the machine tab"),""))),"NOT FOUND — check the code"))</f>
        <v/>
      </c>
      <c r="E469" s="30" t="s">
        <v>925</v>
      </c>
    </row>
    <row r="470" spans="1:5" x14ac:dyDescent="0.25">
      <c r="A470" s="28" t="s">
        <v>1204</v>
      </c>
      <c r="B470" s="19" t="s">
        <v>1205</v>
      </c>
      <c r="C470" s="29"/>
      <c r="D470" s="17" t="str">
        <f>IF($C470="","",IFERROR(IF($E470="machine",INDEX('JLR Machines'!$B$2:$B$20001,MATCH($C470,'JLR Machines'!$A$2:$A$20001,0)),IF($E470="material",INDEX('JLR Materials'!$B$2:$B$20001,MATCH($C470,'JLR Materials'!$A$2:$A$20001,0)),IF($E470="labour",IFERROR(INDEX('JLR Labour'!$B$2:$B$20001,MATCH($C470,'JLR Labour'!$A$2:$A$20001,0)),"labour category "&amp;$C470&amp;" — from the machine tab"),""))),"NOT FOUND — check the code"))</f>
        <v/>
      </c>
      <c r="E470" s="30" t="s">
        <v>925</v>
      </c>
    </row>
    <row r="471" spans="1:5" x14ac:dyDescent="0.25">
      <c r="A471" s="28" t="s">
        <v>1206</v>
      </c>
      <c r="B471" s="19" t="s">
        <v>1207</v>
      </c>
      <c r="C471" s="29"/>
      <c r="D471" s="17" t="str">
        <f>IF($C471="","",IFERROR(IF($E471="machine",INDEX('JLR Machines'!$B$2:$B$20001,MATCH($C471,'JLR Machines'!$A$2:$A$20001,0)),IF($E471="material",INDEX('JLR Materials'!$B$2:$B$20001,MATCH($C471,'JLR Materials'!$A$2:$A$20001,0)),IF($E471="labour",IFERROR(INDEX('JLR Labour'!$B$2:$B$20001,MATCH($C471,'JLR Labour'!$A$2:$A$20001,0)),"labour category "&amp;$C471&amp;" — from the machine tab"),""))),"NOT FOUND — check the code"))</f>
        <v/>
      </c>
      <c r="E471" s="30" t="s">
        <v>925</v>
      </c>
    </row>
    <row r="472" spans="1:5" x14ac:dyDescent="0.25">
      <c r="A472" s="28" t="s">
        <v>1208</v>
      </c>
      <c r="B472" s="19" t="s">
        <v>1209</v>
      </c>
      <c r="C472" s="29"/>
      <c r="D472" s="17" t="str">
        <f>IF($C472="","",IFERROR(IF($E472="machine",INDEX('JLR Machines'!$B$2:$B$20001,MATCH($C472,'JLR Machines'!$A$2:$A$20001,0)),IF($E472="material",INDEX('JLR Materials'!$B$2:$B$20001,MATCH($C472,'JLR Materials'!$A$2:$A$20001,0)),IF($E472="labour",IFERROR(INDEX('JLR Labour'!$B$2:$B$20001,MATCH($C472,'JLR Labour'!$A$2:$A$20001,0)),"labour category "&amp;$C472&amp;" — from the machine tab"),""))),"NOT FOUND — check the code"))</f>
        <v/>
      </c>
      <c r="E472" s="30" t="s">
        <v>925</v>
      </c>
    </row>
    <row r="473" spans="1:5" x14ac:dyDescent="0.25">
      <c r="A473" s="28" t="s">
        <v>1210</v>
      </c>
      <c r="B473" s="19" t="s">
        <v>1211</v>
      </c>
      <c r="C473" s="29"/>
      <c r="D473" s="17" t="str">
        <f>IF($C473="","",IFERROR(IF($E473="machine",INDEX('JLR Machines'!$B$2:$B$20001,MATCH($C473,'JLR Machines'!$A$2:$A$20001,0)),IF($E473="material",INDEX('JLR Materials'!$B$2:$B$20001,MATCH($C473,'JLR Materials'!$A$2:$A$20001,0)),IF($E473="labour",IFERROR(INDEX('JLR Labour'!$B$2:$B$20001,MATCH($C473,'JLR Labour'!$A$2:$A$20001,0)),"labour category "&amp;$C473&amp;" — from the machine tab"),""))),"NOT FOUND — check the code"))</f>
        <v/>
      </c>
      <c r="E473" s="30" t="s">
        <v>925</v>
      </c>
    </row>
    <row r="474" spans="1:5" x14ac:dyDescent="0.25">
      <c r="A474" s="28" t="s">
        <v>1212</v>
      </c>
      <c r="B474" s="19" t="s">
        <v>1213</v>
      </c>
      <c r="C474" s="29"/>
      <c r="D474" s="17" t="str">
        <f>IF($C474="","",IFERROR(IF($E474="machine",INDEX('JLR Machines'!$B$2:$B$20001,MATCH($C474,'JLR Machines'!$A$2:$A$20001,0)),IF($E474="material",INDEX('JLR Materials'!$B$2:$B$20001,MATCH($C474,'JLR Materials'!$A$2:$A$20001,0)),IF($E474="labour",IFERROR(INDEX('JLR Labour'!$B$2:$B$20001,MATCH($C474,'JLR Labour'!$A$2:$A$20001,0)),"labour category "&amp;$C474&amp;" — from the machine tab"),""))),"NOT FOUND — check the code"))</f>
        <v/>
      </c>
      <c r="E474" s="30" t="s">
        <v>925</v>
      </c>
    </row>
    <row r="475" spans="1:5" x14ac:dyDescent="0.25">
      <c r="A475" s="28" t="s">
        <v>1214</v>
      </c>
      <c r="B475" s="19" t="s">
        <v>1215</v>
      </c>
      <c r="C475" s="29"/>
      <c r="D475" s="17" t="str">
        <f>IF($C475="","",IFERROR(IF($E475="machine",INDEX('JLR Machines'!$B$2:$B$20001,MATCH($C475,'JLR Machines'!$A$2:$A$20001,0)),IF($E475="material",INDEX('JLR Materials'!$B$2:$B$20001,MATCH($C475,'JLR Materials'!$A$2:$A$20001,0)),IF($E475="labour",IFERROR(INDEX('JLR Labour'!$B$2:$B$20001,MATCH($C475,'JLR Labour'!$A$2:$A$20001,0)),"labour category "&amp;$C475&amp;" — from the machine tab"),""))),"NOT FOUND — check the code"))</f>
        <v/>
      </c>
      <c r="E475" s="30" t="s">
        <v>925</v>
      </c>
    </row>
    <row r="476" spans="1:5" x14ac:dyDescent="0.25">
      <c r="A476" s="28" t="s">
        <v>1216</v>
      </c>
      <c r="B476" s="19" t="s">
        <v>1217</v>
      </c>
      <c r="C476" s="29"/>
      <c r="D476" s="17" t="str">
        <f>IF($C476="","",IFERROR(IF($E476="machine",INDEX('JLR Machines'!$B$2:$B$20001,MATCH($C476,'JLR Machines'!$A$2:$A$20001,0)),IF($E476="material",INDEX('JLR Materials'!$B$2:$B$20001,MATCH($C476,'JLR Materials'!$A$2:$A$20001,0)),IF($E476="labour",IFERROR(INDEX('JLR Labour'!$B$2:$B$20001,MATCH($C476,'JLR Labour'!$A$2:$A$20001,0)),"labour category "&amp;$C476&amp;" — from the machine tab"),""))),"NOT FOUND — check the code"))</f>
        <v/>
      </c>
      <c r="E476" s="30" t="s">
        <v>925</v>
      </c>
    </row>
    <row r="477" spans="1:5" x14ac:dyDescent="0.25">
      <c r="A477" s="28" t="s">
        <v>1218</v>
      </c>
      <c r="B477" s="19" t="s">
        <v>1219</v>
      </c>
      <c r="C477" s="29"/>
      <c r="D477" s="17" t="str">
        <f>IF($C477="","",IFERROR(IF($E477="machine",INDEX('JLR Machines'!$B$2:$B$20001,MATCH($C477,'JLR Machines'!$A$2:$A$20001,0)),IF($E477="material",INDEX('JLR Materials'!$B$2:$B$20001,MATCH($C477,'JLR Materials'!$A$2:$A$20001,0)),IF($E477="labour",IFERROR(INDEX('JLR Labour'!$B$2:$B$20001,MATCH($C477,'JLR Labour'!$A$2:$A$20001,0)),"labour category "&amp;$C477&amp;" — from the machine tab"),""))),"NOT FOUND — check the code"))</f>
        <v/>
      </c>
      <c r="E477" s="30" t="s">
        <v>925</v>
      </c>
    </row>
    <row r="478" spans="1:5" x14ac:dyDescent="0.25">
      <c r="A478" s="28" t="s">
        <v>1220</v>
      </c>
      <c r="B478" s="19" t="s">
        <v>1221</v>
      </c>
      <c r="C478" s="29"/>
      <c r="D478" s="17" t="str">
        <f>IF($C478="","",IFERROR(IF($E478="machine",INDEX('JLR Machines'!$B$2:$B$20001,MATCH($C478,'JLR Machines'!$A$2:$A$20001,0)),IF($E478="material",INDEX('JLR Materials'!$B$2:$B$20001,MATCH($C478,'JLR Materials'!$A$2:$A$20001,0)),IF($E478="labour",IFERROR(INDEX('JLR Labour'!$B$2:$B$20001,MATCH($C478,'JLR Labour'!$A$2:$A$20001,0)),"labour category "&amp;$C478&amp;" — from the machine tab"),""))),"NOT FOUND — check the code"))</f>
        <v/>
      </c>
      <c r="E478" s="30" t="s">
        <v>925</v>
      </c>
    </row>
    <row r="479" spans="1:5" x14ac:dyDescent="0.25">
      <c r="A479" s="28" t="s">
        <v>1222</v>
      </c>
      <c r="B479" s="19" t="s">
        <v>1223</v>
      </c>
      <c r="C479" s="29"/>
      <c r="D479" s="17" t="str">
        <f>IF($C479="","",IFERROR(IF($E479="machine",INDEX('JLR Machines'!$B$2:$B$20001,MATCH($C479,'JLR Machines'!$A$2:$A$20001,0)),IF($E479="material",INDEX('JLR Materials'!$B$2:$B$20001,MATCH($C479,'JLR Materials'!$A$2:$A$20001,0)),IF($E479="labour",IFERROR(INDEX('JLR Labour'!$B$2:$B$20001,MATCH($C479,'JLR Labour'!$A$2:$A$20001,0)),"labour category "&amp;$C479&amp;" — from the machine tab"),""))),"NOT FOUND — check the code"))</f>
        <v/>
      </c>
      <c r="E479" s="30" t="s">
        <v>925</v>
      </c>
    </row>
    <row r="480" spans="1:5" x14ac:dyDescent="0.25">
      <c r="A480" s="28" t="s">
        <v>1224</v>
      </c>
      <c r="B480" s="19" t="s">
        <v>1225</v>
      </c>
      <c r="C480" s="29"/>
      <c r="D480" s="17" t="str">
        <f>IF($C480="","",IFERROR(IF($E480="machine",INDEX('JLR Machines'!$B$2:$B$20001,MATCH($C480,'JLR Machines'!$A$2:$A$20001,0)),IF($E480="material",INDEX('JLR Materials'!$B$2:$B$20001,MATCH($C480,'JLR Materials'!$A$2:$A$20001,0)),IF($E480="labour",IFERROR(INDEX('JLR Labour'!$B$2:$B$20001,MATCH($C480,'JLR Labour'!$A$2:$A$20001,0)),"labour category "&amp;$C480&amp;" — from the machine tab"),""))),"NOT FOUND — check the code"))</f>
        <v/>
      </c>
      <c r="E480" s="30" t="s">
        <v>925</v>
      </c>
    </row>
    <row r="481" spans="1:5" x14ac:dyDescent="0.25">
      <c r="A481" s="28" t="s">
        <v>1226</v>
      </c>
      <c r="B481" s="19" t="s">
        <v>1227</v>
      </c>
      <c r="C481" s="29"/>
      <c r="D481" s="17" t="str">
        <f>IF($C481="","",IFERROR(IF($E481="machine",INDEX('JLR Machines'!$B$2:$B$20001,MATCH($C481,'JLR Machines'!$A$2:$A$20001,0)),IF($E481="material",INDEX('JLR Materials'!$B$2:$B$20001,MATCH($C481,'JLR Materials'!$A$2:$A$20001,0)),IF($E481="labour",IFERROR(INDEX('JLR Labour'!$B$2:$B$20001,MATCH($C481,'JLR Labour'!$A$2:$A$20001,0)),"labour category "&amp;$C481&amp;" — from the machine tab"),""))),"NOT FOUND — check the code"))</f>
        <v/>
      </c>
      <c r="E481" s="30" t="s">
        <v>925</v>
      </c>
    </row>
    <row r="482" spans="1:5" x14ac:dyDescent="0.25">
      <c r="A482" s="28" t="s">
        <v>1228</v>
      </c>
      <c r="B482" s="19" t="s">
        <v>1229</v>
      </c>
      <c r="C482" s="29"/>
      <c r="D482" s="17" t="str">
        <f>IF($C482="","",IFERROR(IF($E482="machine",INDEX('JLR Machines'!$B$2:$B$20001,MATCH($C482,'JLR Machines'!$A$2:$A$20001,0)),IF($E482="material",INDEX('JLR Materials'!$B$2:$B$20001,MATCH($C482,'JLR Materials'!$A$2:$A$20001,0)),IF($E482="labour",IFERROR(INDEX('JLR Labour'!$B$2:$B$20001,MATCH($C482,'JLR Labour'!$A$2:$A$20001,0)),"labour category "&amp;$C482&amp;" — from the machine tab"),""))),"NOT FOUND — check the code"))</f>
        <v/>
      </c>
      <c r="E482" s="30" t="s">
        <v>925</v>
      </c>
    </row>
    <row r="483" spans="1:5" x14ac:dyDescent="0.25">
      <c r="A483" s="28" t="s">
        <v>1230</v>
      </c>
      <c r="B483" s="19" t="s">
        <v>1231</v>
      </c>
      <c r="C483" s="29"/>
      <c r="D483" s="17" t="str">
        <f>IF($C483="","",IFERROR(IF($E483="machine",INDEX('JLR Machines'!$B$2:$B$20001,MATCH($C483,'JLR Machines'!$A$2:$A$20001,0)),IF($E483="material",INDEX('JLR Materials'!$B$2:$B$20001,MATCH($C483,'JLR Materials'!$A$2:$A$20001,0)),IF($E483="labour",IFERROR(INDEX('JLR Labour'!$B$2:$B$20001,MATCH($C483,'JLR Labour'!$A$2:$A$20001,0)),"labour category "&amp;$C483&amp;" — from the machine tab"),""))),"NOT FOUND — check the code"))</f>
        <v/>
      </c>
      <c r="E483" s="30" t="s">
        <v>925</v>
      </c>
    </row>
    <row r="484" spans="1:5" x14ac:dyDescent="0.25">
      <c r="A484" s="28" t="s">
        <v>1232</v>
      </c>
      <c r="B484" s="19" t="s">
        <v>1233</v>
      </c>
      <c r="C484" s="29"/>
      <c r="D484" s="17" t="str">
        <f>IF($C484="","",IFERROR(IF($E484="machine",INDEX('JLR Machines'!$B$2:$B$20001,MATCH($C484,'JLR Machines'!$A$2:$A$20001,0)),IF($E484="material",INDEX('JLR Materials'!$B$2:$B$20001,MATCH($C484,'JLR Materials'!$A$2:$A$20001,0)),IF($E484="labour",IFERROR(INDEX('JLR Labour'!$B$2:$B$20001,MATCH($C484,'JLR Labour'!$A$2:$A$20001,0)),"labour category "&amp;$C484&amp;" — from the machine tab"),""))),"NOT FOUND — check the code"))</f>
        <v/>
      </c>
      <c r="E484" s="30" t="s">
        <v>925</v>
      </c>
    </row>
    <row r="485" spans="1:5" x14ac:dyDescent="0.25">
      <c r="A485" s="28" t="s">
        <v>1234</v>
      </c>
      <c r="B485" s="19" t="s">
        <v>1235</v>
      </c>
      <c r="C485" s="29"/>
      <c r="D485" s="17" t="str">
        <f>IF($C485="","",IFERROR(IF($E485="machine",INDEX('JLR Machines'!$B$2:$B$20001,MATCH($C485,'JLR Machines'!$A$2:$A$20001,0)),IF($E485="material",INDEX('JLR Materials'!$B$2:$B$20001,MATCH($C485,'JLR Materials'!$A$2:$A$20001,0)),IF($E485="labour",IFERROR(INDEX('JLR Labour'!$B$2:$B$20001,MATCH($C485,'JLR Labour'!$A$2:$A$20001,0)),"labour category "&amp;$C485&amp;" — from the machine tab"),""))),"NOT FOUND — check the code"))</f>
        <v/>
      </c>
      <c r="E485" s="30" t="s">
        <v>925</v>
      </c>
    </row>
    <row r="486" spans="1:5" x14ac:dyDescent="0.25">
      <c r="A486" s="28" t="s">
        <v>1236</v>
      </c>
      <c r="B486" s="19" t="s">
        <v>1237</v>
      </c>
      <c r="C486" s="29"/>
      <c r="D486" s="17" t="str">
        <f>IF($C486="","",IFERROR(IF($E486="machine",INDEX('JLR Machines'!$B$2:$B$20001,MATCH($C486,'JLR Machines'!$A$2:$A$20001,0)),IF($E486="material",INDEX('JLR Materials'!$B$2:$B$20001,MATCH($C486,'JLR Materials'!$A$2:$A$20001,0)),IF($E486="labour",IFERROR(INDEX('JLR Labour'!$B$2:$B$20001,MATCH($C486,'JLR Labour'!$A$2:$A$20001,0)),"labour category "&amp;$C486&amp;" — from the machine tab"),""))),"NOT FOUND — check the code"))</f>
        <v/>
      </c>
      <c r="E486" s="30" t="s">
        <v>925</v>
      </c>
    </row>
    <row r="487" spans="1:5" x14ac:dyDescent="0.25">
      <c r="A487" s="28" t="s">
        <v>1238</v>
      </c>
      <c r="B487" s="19" t="s">
        <v>1239</v>
      </c>
      <c r="C487" s="29"/>
      <c r="D487" s="17" t="str">
        <f>IF($C487="","",IFERROR(IF($E487="machine",INDEX('JLR Machines'!$B$2:$B$20001,MATCH($C487,'JLR Machines'!$A$2:$A$20001,0)),IF($E487="material",INDEX('JLR Materials'!$B$2:$B$20001,MATCH($C487,'JLR Materials'!$A$2:$A$20001,0)),IF($E487="labour",IFERROR(INDEX('JLR Labour'!$B$2:$B$20001,MATCH($C487,'JLR Labour'!$A$2:$A$20001,0)),"labour category "&amp;$C487&amp;" — from the machine tab"),""))),"NOT FOUND — check the code"))</f>
        <v/>
      </c>
      <c r="E487" s="30" t="s">
        <v>925</v>
      </c>
    </row>
    <row r="488" spans="1:5" x14ac:dyDescent="0.25">
      <c r="A488" s="28" t="s">
        <v>1240</v>
      </c>
      <c r="B488" s="19" t="s">
        <v>1241</v>
      </c>
      <c r="C488" s="29"/>
      <c r="D488" s="17" t="str">
        <f>IF($C488="","",IFERROR(IF($E488="machine",INDEX('JLR Machines'!$B$2:$B$20001,MATCH($C488,'JLR Machines'!$A$2:$A$20001,0)),IF($E488="material",INDEX('JLR Materials'!$B$2:$B$20001,MATCH($C488,'JLR Materials'!$A$2:$A$20001,0)),IF($E488="labour",IFERROR(INDEX('JLR Labour'!$B$2:$B$20001,MATCH($C488,'JLR Labour'!$A$2:$A$20001,0)),"labour category "&amp;$C488&amp;" — from the machine tab"),""))),"NOT FOUND — check the code"))</f>
        <v/>
      </c>
      <c r="E488" s="30" t="s">
        <v>925</v>
      </c>
    </row>
    <row r="489" spans="1:5" x14ac:dyDescent="0.25">
      <c r="A489" s="28" t="s">
        <v>1242</v>
      </c>
      <c r="B489" s="19" t="s">
        <v>1243</v>
      </c>
      <c r="C489" s="29"/>
      <c r="D489" s="17" t="str">
        <f>IF($C489="","",IFERROR(IF($E489="machine",INDEX('JLR Machines'!$B$2:$B$20001,MATCH($C489,'JLR Machines'!$A$2:$A$20001,0)),IF($E489="material",INDEX('JLR Materials'!$B$2:$B$20001,MATCH($C489,'JLR Materials'!$A$2:$A$20001,0)),IF($E489="labour",IFERROR(INDEX('JLR Labour'!$B$2:$B$20001,MATCH($C489,'JLR Labour'!$A$2:$A$20001,0)),"labour category "&amp;$C489&amp;" — from the machine tab"),""))),"NOT FOUND — check the code"))</f>
        <v/>
      </c>
      <c r="E489" s="30" t="s">
        <v>925</v>
      </c>
    </row>
    <row r="490" spans="1:5" x14ac:dyDescent="0.25">
      <c r="A490" s="28" t="s">
        <v>1244</v>
      </c>
      <c r="B490" s="19" t="s">
        <v>1245</v>
      </c>
      <c r="C490" s="29"/>
      <c r="D490" s="17" t="str">
        <f>IF($C490="","",IFERROR(IF($E490="machine",INDEX('JLR Machines'!$B$2:$B$20001,MATCH($C490,'JLR Machines'!$A$2:$A$20001,0)),IF($E490="material",INDEX('JLR Materials'!$B$2:$B$20001,MATCH($C490,'JLR Materials'!$A$2:$A$20001,0)),IF($E490="labour",IFERROR(INDEX('JLR Labour'!$B$2:$B$20001,MATCH($C490,'JLR Labour'!$A$2:$A$20001,0)),"labour category "&amp;$C490&amp;" — from the machine tab"),""))),"NOT FOUND — check the code"))</f>
        <v/>
      </c>
      <c r="E490" s="30" t="s">
        <v>925</v>
      </c>
    </row>
    <row r="491" spans="1:5" x14ac:dyDescent="0.25">
      <c r="A491" s="28" t="s">
        <v>1246</v>
      </c>
      <c r="B491" s="19" t="s">
        <v>1247</v>
      </c>
      <c r="C491" s="29"/>
      <c r="D491" s="17" t="str">
        <f>IF($C491="","",IFERROR(IF($E491="machine",INDEX('JLR Machines'!$B$2:$B$20001,MATCH($C491,'JLR Machines'!$A$2:$A$20001,0)),IF($E491="material",INDEX('JLR Materials'!$B$2:$B$20001,MATCH($C491,'JLR Materials'!$A$2:$A$20001,0)),IF($E491="labour",IFERROR(INDEX('JLR Labour'!$B$2:$B$20001,MATCH($C491,'JLR Labour'!$A$2:$A$20001,0)),"labour category "&amp;$C491&amp;" — from the machine tab"),""))),"NOT FOUND — check the code"))</f>
        <v/>
      </c>
      <c r="E491" s="30" t="s">
        <v>925</v>
      </c>
    </row>
    <row r="492" spans="1:5" x14ac:dyDescent="0.25">
      <c r="A492" s="28" t="s">
        <v>1248</v>
      </c>
      <c r="B492" s="19" t="s">
        <v>1249</v>
      </c>
      <c r="C492" s="29"/>
      <c r="D492" s="17" t="str">
        <f>IF($C492="","",IFERROR(IF($E492="machine",INDEX('JLR Machines'!$B$2:$B$20001,MATCH($C492,'JLR Machines'!$A$2:$A$20001,0)),IF($E492="material",INDEX('JLR Materials'!$B$2:$B$20001,MATCH($C492,'JLR Materials'!$A$2:$A$20001,0)),IF($E492="labour",IFERROR(INDEX('JLR Labour'!$B$2:$B$20001,MATCH($C492,'JLR Labour'!$A$2:$A$20001,0)),"labour category "&amp;$C492&amp;" — from the machine tab"),""))),"NOT FOUND — check the code"))</f>
        <v/>
      </c>
      <c r="E492" s="30" t="s">
        <v>925</v>
      </c>
    </row>
    <row r="493" spans="1:5" x14ac:dyDescent="0.25">
      <c r="A493" s="28" t="s">
        <v>1250</v>
      </c>
      <c r="B493" s="19" t="s">
        <v>1251</v>
      </c>
      <c r="C493" s="29"/>
      <c r="D493" s="17" t="str">
        <f>IF($C493="","",IFERROR(IF($E493="machine",INDEX('JLR Machines'!$B$2:$B$20001,MATCH($C493,'JLR Machines'!$A$2:$A$20001,0)),IF($E493="material",INDEX('JLR Materials'!$B$2:$B$20001,MATCH($C493,'JLR Materials'!$A$2:$A$20001,0)),IF($E493="labour",IFERROR(INDEX('JLR Labour'!$B$2:$B$20001,MATCH($C493,'JLR Labour'!$A$2:$A$20001,0)),"labour category "&amp;$C493&amp;" — from the machine tab"),""))),"NOT FOUND — check the code"))</f>
        <v/>
      </c>
      <c r="E493" s="30" t="s">
        <v>925</v>
      </c>
    </row>
    <row r="494" spans="1:5" x14ac:dyDescent="0.25">
      <c r="A494" s="28" t="s">
        <v>1252</v>
      </c>
      <c r="B494" s="19" t="s">
        <v>1253</v>
      </c>
      <c r="C494" s="29"/>
      <c r="D494" s="17" t="str">
        <f>IF($C494="","",IFERROR(IF($E494="machine",INDEX('JLR Machines'!$B$2:$B$20001,MATCH($C494,'JLR Machines'!$A$2:$A$20001,0)),IF($E494="material",INDEX('JLR Materials'!$B$2:$B$20001,MATCH($C494,'JLR Materials'!$A$2:$A$20001,0)),IF($E494="labour",IFERROR(INDEX('JLR Labour'!$B$2:$B$20001,MATCH($C494,'JLR Labour'!$A$2:$A$20001,0)),"labour category "&amp;$C494&amp;" — from the machine tab"),""))),"NOT FOUND — check the code"))</f>
        <v/>
      </c>
      <c r="E494" s="30" t="s">
        <v>925</v>
      </c>
    </row>
    <row r="495" spans="1:5" x14ac:dyDescent="0.25">
      <c r="A495" s="28" t="s">
        <v>1254</v>
      </c>
      <c r="B495" s="19" t="s">
        <v>1255</v>
      </c>
      <c r="C495" s="29"/>
      <c r="D495" s="17" t="str">
        <f>IF($C495="","",IFERROR(IF($E495="machine",INDEX('JLR Machines'!$B$2:$B$20001,MATCH($C495,'JLR Machines'!$A$2:$A$20001,0)),IF($E495="material",INDEX('JLR Materials'!$B$2:$B$20001,MATCH($C495,'JLR Materials'!$A$2:$A$20001,0)),IF($E495="labour",IFERROR(INDEX('JLR Labour'!$B$2:$B$20001,MATCH($C495,'JLR Labour'!$A$2:$A$20001,0)),"labour category "&amp;$C495&amp;" — from the machine tab"),""))),"NOT FOUND — check the code"))</f>
        <v/>
      </c>
      <c r="E495" s="30" t="s">
        <v>925</v>
      </c>
    </row>
    <row r="496" spans="1:5" x14ac:dyDescent="0.25">
      <c r="A496" s="28" t="s">
        <v>1256</v>
      </c>
      <c r="B496" s="19" t="s">
        <v>1257</v>
      </c>
      <c r="C496" s="29"/>
      <c r="D496" s="17" t="str">
        <f>IF($C496="","",IFERROR(IF($E496="machine",INDEX('JLR Machines'!$B$2:$B$20001,MATCH($C496,'JLR Machines'!$A$2:$A$20001,0)),IF($E496="material",INDEX('JLR Materials'!$B$2:$B$20001,MATCH($C496,'JLR Materials'!$A$2:$A$20001,0)),IF($E496="labour",IFERROR(INDEX('JLR Labour'!$B$2:$B$20001,MATCH($C496,'JLR Labour'!$A$2:$A$20001,0)),"labour category "&amp;$C496&amp;" — from the machine tab"),""))),"NOT FOUND — check the code"))</f>
        <v/>
      </c>
      <c r="E496" s="30" t="s">
        <v>925</v>
      </c>
    </row>
    <row r="497" spans="1:5" x14ac:dyDescent="0.25">
      <c r="A497" s="28" t="s">
        <v>1258</v>
      </c>
      <c r="B497" s="19" t="s">
        <v>1259</v>
      </c>
      <c r="C497" s="29"/>
      <c r="D497" s="17" t="str">
        <f>IF($C497="","",IFERROR(IF($E497="machine",INDEX('JLR Machines'!$B$2:$B$20001,MATCH($C497,'JLR Machines'!$A$2:$A$20001,0)),IF($E497="material",INDEX('JLR Materials'!$B$2:$B$20001,MATCH($C497,'JLR Materials'!$A$2:$A$20001,0)),IF($E497="labour",IFERROR(INDEX('JLR Labour'!$B$2:$B$20001,MATCH($C497,'JLR Labour'!$A$2:$A$20001,0)),"labour category "&amp;$C497&amp;" — from the machine tab"),""))),"NOT FOUND — check the code"))</f>
        <v/>
      </c>
      <c r="E497" s="30" t="s">
        <v>925</v>
      </c>
    </row>
    <row r="498" spans="1:5" x14ac:dyDescent="0.25">
      <c r="A498" s="28" t="s">
        <v>1260</v>
      </c>
      <c r="B498" s="19" t="s">
        <v>1261</v>
      </c>
      <c r="C498" s="29"/>
      <c r="D498" s="17" t="str">
        <f>IF($C498="","",IFERROR(IF($E498="machine",INDEX('JLR Machines'!$B$2:$B$20001,MATCH($C498,'JLR Machines'!$A$2:$A$20001,0)),IF($E498="material",INDEX('JLR Materials'!$B$2:$B$20001,MATCH($C498,'JLR Materials'!$A$2:$A$20001,0)),IF($E498="labour",IFERROR(INDEX('JLR Labour'!$B$2:$B$20001,MATCH($C498,'JLR Labour'!$A$2:$A$20001,0)),"labour category "&amp;$C498&amp;" — from the machine tab"),""))),"NOT FOUND — check the code"))</f>
        <v/>
      </c>
      <c r="E498" s="30" t="s">
        <v>925</v>
      </c>
    </row>
    <row r="499" spans="1:5" x14ac:dyDescent="0.25">
      <c r="A499" s="28" t="s">
        <v>1262</v>
      </c>
      <c r="B499" s="19" t="s">
        <v>1263</v>
      </c>
      <c r="C499" s="29"/>
      <c r="D499" s="17" t="str">
        <f>IF($C499="","",IFERROR(IF($E499="machine",INDEX('JLR Machines'!$B$2:$B$20001,MATCH($C499,'JLR Machines'!$A$2:$A$20001,0)),IF($E499="material",INDEX('JLR Materials'!$B$2:$B$20001,MATCH($C499,'JLR Materials'!$A$2:$A$20001,0)),IF($E499="labour",IFERROR(INDEX('JLR Labour'!$B$2:$B$20001,MATCH($C499,'JLR Labour'!$A$2:$A$20001,0)),"labour category "&amp;$C499&amp;" — from the machine tab"),""))),"NOT FOUND — check the code"))</f>
        <v/>
      </c>
      <c r="E499" s="30" t="s">
        <v>925</v>
      </c>
    </row>
    <row r="500" spans="1:5" x14ac:dyDescent="0.25">
      <c r="A500" s="28" t="s">
        <v>1264</v>
      </c>
      <c r="B500" s="19" t="s">
        <v>1265</v>
      </c>
      <c r="C500" s="29"/>
      <c r="D500" s="17" t="str">
        <f>IF($C500="","",IFERROR(IF($E500="machine",INDEX('JLR Machines'!$B$2:$B$20001,MATCH($C500,'JLR Machines'!$A$2:$A$20001,0)),IF($E500="material",INDEX('JLR Materials'!$B$2:$B$20001,MATCH($C500,'JLR Materials'!$A$2:$A$20001,0)),IF($E500="labour",IFERROR(INDEX('JLR Labour'!$B$2:$B$20001,MATCH($C500,'JLR Labour'!$A$2:$A$20001,0)),"labour category "&amp;$C500&amp;" — from the machine tab"),""))),"NOT FOUND — check the code"))</f>
        <v/>
      </c>
      <c r="E500" s="30" t="s">
        <v>925</v>
      </c>
    </row>
    <row r="501" spans="1:5" x14ac:dyDescent="0.25">
      <c r="A501" s="28" t="s">
        <v>1266</v>
      </c>
      <c r="B501" s="19" t="s">
        <v>1267</v>
      </c>
      <c r="C501" s="29"/>
      <c r="D501" s="17" t="str">
        <f>IF($C501="","",IFERROR(IF($E501="machine",INDEX('JLR Machines'!$B$2:$B$20001,MATCH($C501,'JLR Machines'!$A$2:$A$20001,0)),IF($E501="material",INDEX('JLR Materials'!$B$2:$B$20001,MATCH($C501,'JLR Materials'!$A$2:$A$20001,0)),IF($E501="labour",IFERROR(INDEX('JLR Labour'!$B$2:$B$20001,MATCH($C501,'JLR Labour'!$A$2:$A$20001,0)),"labour category "&amp;$C501&amp;" — from the machine tab"),""))),"NOT FOUND — check the code"))</f>
        <v/>
      </c>
      <c r="E501" s="30" t="s">
        <v>925</v>
      </c>
    </row>
    <row r="502" spans="1:5" x14ac:dyDescent="0.25">
      <c r="A502" s="28" t="s">
        <v>1268</v>
      </c>
      <c r="B502" s="19" t="s">
        <v>1269</v>
      </c>
      <c r="C502" s="29"/>
      <c r="D502" s="17" t="str">
        <f>IF($C502="","",IFERROR(IF($E502="machine",INDEX('JLR Machines'!$B$2:$B$20001,MATCH($C502,'JLR Machines'!$A$2:$A$20001,0)),IF($E502="material",INDEX('JLR Materials'!$B$2:$B$20001,MATCH($C502,'JLR Materials'!$A$2:$A$20001,0)),IF($E502="labour",IFERROR(INDEX('JLR Labour'!$B$2:$B$20001,MATCH($C502,'JLR Labour'!$A$2:$A$20001,0)),"labour category "&amp;$C502&amp;" — from the machine tab"),""))),"NOT FOUND — check the code"))</f>
        <v/>
      </c>
      <c r="E502" s="30" t="s">
        <v>925</v>
      </c>
    </row>
    <row r="503" spans="1:5" x14ac:dyDescent="0.25">
      <c r="A503" s="28" t="s">
        <v>1270</v>
      </c>
      <c r="B503" s="19" t="s">
        <v>1271</v>
      </c>
      <c r="C503" s="29"/>
      <c r="D503" s="17" t="str">
        <f>IF($C503="","",IFERROR(IF($E503="machine",INDEX('JLR Machines'!$B$2:$B$20001,MATCH($C503,'JLR Machines'!$A$2:$A$20001,0)),IF($E503="material",INDEX('JLR Materials'!$B$2:$B$20001,MATCH($C503,'JLR Materials'!$A$2:$A$20001,0)),IF($E503="labour",IFERROR(INDEX('JLR Labour'!$B$2:$B$20001,MATCH($C503,'JLR Labour'!$A$2:$A$20001,0)),"labour category "&amp;$C503&amp;" — from the machine tab"),""))),"NOT FOUND — check the code"))</f>
        <v/>
      </c>
      <c r="E503" s="30" t="s">
        <v>925</v>
      </c>
    </row>
    <row r="504" spans="1:5" x14ac:dyDescent="0.25">
      <c r="A504" s="28" t="s">
        <v>1272</v>
      </c>
      <c r="B504" s="19" t="s">
        <v>1273</v>
      </c>
      <c r="C504" s="29"/>
      <c r="D504" s="17" t="str">
        <f>IF($C504="","",IFERROR(IF($E504="machine",INDEX('JLR Machines'!$B$2:$B$20001,MATCH($C504,'JLR Machines'!$A$2:$A$20001,0)),IF($E504="material",INDEX('JLR Materials'!$B$2:$B$20001,MATCH($C504,'JLR Materials'!$A$2:$A$20001,0)),IF($E504="labour",IFERROR(INDEX('JLR Labour'!$B$2:$B$20001,MATCH($C504,'JLR Labour'!$A$2:$A$20001,0)),"labour category "&amp;$C504&amp;" — from the machine tab"),""))),"NOT FOUND — check the code"))</f>
        <v/>
      </c>
      <c r="E504" s="30" t="s">
        <v>925</v>
      </c>
    </row>
    <row r="505" spans="1:5" x14ac:dyDescent="0.25">
      <c r="A505" s="28" t="s">
        <v>1274</v>
      </c>
      <c r="B505" s="19" t="s">
        <v>1275</v>
      </c>
      <c r="C505" s="29"/>
      <c r="D505" s="17" t="str">
        <f>IF($C505="","",IFERROR(IF($E505="machine",INDEX('JLR Machines'!$B$2:$B$20001,MATCH($C505,'JLR Machines'!$A$2:$A$20001,0)),IF($E505="material",INDEX('JLR Materials'!$B$2:$B$20001,MATCH($C505,'JLR Materials'!$A$2:$A$20001,0)),IF($E505="labour",IFERROR(INDEX('JLR Labour'!$B$2:$B$20001,MATCH($C505,'JLR Labour'!$A$2:$A$20001,0)),"labour category "&amp;$C505&amp;" — from the machine tab"),""))),"NOT FOUND — check the code"))</f>
        <v/>
      </c>
      <c r="E505" s="30" t="s">
        <v>925</v>
      </c>
    </row>
    <row r="506" spans="1:5" x14ac:dyDescent="0.25">
      <c r="A506" s="28" t="s">
        <v>1276</v>
      </c>
      <c r="B506" s="19" t="s">
        <v>1277</v>
      </c>
      <c r="C506" s="29"/>
      <c r="D506" s="17" t="str">
        <f>IF($C506="","",IFERROR(IF($E506="machine",INDEX('JLR Machines'!$B$2:$B$20001,MATCH($C506,'JLR Machines'!$A$2:$A$20001,0)),IF($E506="material",INDEX('JLR Materials'!$B$2:$B$20001,MATCH($C506,'JLR Materials'!$A$2:$A$20001,0)),IF($E506="labour",IFERROR(INDEX('JLR Labour'!$B$2:$B$20001,MATCH($C506,'JLR Labour'!$A$2:$A$20001,0)),"labour category "&amp;$C506&amp;" — from the machine tab"),""))),"NOT FOUND — check the code"))</f>
        <v/>
      </c>
      <c r="E506" s="30" t="s">
        <v>925</v>
      </c>
    </row>
    <row r="507" spans="1:5" x14ac:dyDescent="0.25">
      <c r="A507" s="28" t="s">
        <v>1278</v>
      </c>
      <c r="B507" s="19" t="s">
        <v>1279</v>
      </c>
      <c r="C507" s="29"/>
      <c r="D507" s="17" t="str">
        <f>IF($C507="","",IFERROR(IF($E507="machine",INDEX('JLR Machines'!$B$2:$B$20001,MATCH($C507,'JLR Machines'!$A$2:$A$20001,0)),IF($E507="material",INDEX('JLR Materials'!$B$2:$B$20001,MATCH($C507,'JLR Materials'!$A$2:$A$20001,0)),IF($E507="labour",IFERROR(INDEX('JLR Labour'!$B$2:$B$20001,MATCH($C507,'JLR Labour'!$A$2:$A$20001,0)),"labour category "&amp;$C507&amp;" — from the machine tab"),""))),"NOT FOUND — check the code"))</f>
        <v/>
      </c>
      <c r="E507" s="30" t="s">
        <v>925</v>
      </c>
    </row>
    <row r="508" spans="1:5" x14ac:dyDescent="0.25">
      <c r="A508" s="28" t="s">
        <v>1280</v>
      </c>
      <c r="B508" s="19" t="s">
        <v>1281</v>
      </c>
      <c r="C508" s="29"/>
      <c r="D508" s="17" t="str">
        <f>IF($C508="","",IFERROR(IF($E508="machine",INDEX('JLR Machines'!$B$2:$B$20001,MATCH($C508,'JLR Machines'!$A$2:$A$20001,0)),IF($E508="material",INDEX('JLR Materials'!$B$2:$B$20001,MATCH($C508,'JLR Materials'!$A$2:$A$20001,0)),IF($E508="labour",IFERROR(INDEX('JLR Labour'!$B$2:$B$20001,MATCH($C508,'JLR Labour'!$A$2:$A$20001,0)),"labour category "&amp;$C508&amp;" — from the machine tab"),""))),"NOT FOUND — check the code"))</f>
        <v/>
      </c>
      <c r="E508" s="30" t="s">
        <v>1282</v>
      </c>
    </row>
    <row r="509" spans="1:5" x14ac:dyDescent="0.25">
      <c r="A509" s="28" t="s">
        <v>1283</v>
      </c>
      <c r="B509" s="19" t="s">
        <v>1284</v>
      </c>
      <c r="C509" s="29"/>
      <c r="D509" s="17" t="str">
        <f>IF($C509="","",IFERROR(IF($E509="machine",INDEX('JLR Machines'!$B$2:$B$20001,MATCH($C509,'JLR Machines'!$A$2:$A$20001,0)),IF($E509="material",INDEX('JLR Materials'!$B$2:$B$20001,MATCH($C509,'JLR Materials'!$A$2:$A$20001,0)),IF($E509="labour",IFERROR(INDEX('JLR Labour'!$B$2:$B$20001,MATCH($C509,'JLR Labour'!$A$2:$A$20001,0)),"labour category "&amp;$C509&amp;" — from the machine tab"),""))),"NOT FOUND — check the code"))</f>
        <v/>
      </c>
      <c r="E509" s="30" t="s">
        <v>1282</v>
      </c>
    </row>
    <row r="510" spans="1:5" x14ac:dyDescent="0.25">
      <c r="A510" s="28" t="s">
        <v>1285</v>
      </c>
      <c r="B510" s="19" t="s">
        <v>1286</v>
      </c>
      <c r="C510" s="29"/>
      <c r="D510" s="17" t="str">
        <f>IF($C510="","",IFERROR(IF($E510="machine",INDEX('JLR Machines'!$B$2:$B$20001,MATCH($C510,'JLR Machines'!$A$2:$A$20001,0)),IF($E510="material",INDEX('JLR Materials'!$B$2:$B$20001,MATCH($C510,'JLR Materials'!$A$2:$A$20001,0)),IF($E510="labour",IFERROR(INDEX('JLR Labour'!$B$2:$B$20001,MATCH($C510,'JLR Labour'!$A$2:$A$20001,0)),"labour category "&amp;$C510&amp;" — from the machine tab"),""))),"NOT FOUND — check the code"))</f>
        <v/>
      </c>
      <c r="E510" s="30" t="s">
        <v>1282</v>
      </c>
    </row>
    <row r="511" spans="1:5" x14ac:dyDescent="0.25">
      <c r="A511" s="28" t="s">
        <v>1287</v>
      </c>
      <c r="B511" s="19" t="s">
        <v>1288</v>
      </c>
      <c r="C511" s="29"/>
      <c r="D511" s="17" t="str">
        <f>IF($C511="","",IFERROR(IF($E511="machine",INDEX('JLR Machines'!$B$2:$B$20001,MATCH($C511,'JLR Machines'!$A$2:$A$20001,0)),IF($E511="material",INDEX('JLR Materials'!$B$2:$B$20001,MATCH($C511,'JLR Materials'!$A$2:$A$20001,0)),IF($E511="labour",IFERROR(INDEX('JLR Labour'!$B$2:$B$20001,MATCH($C511,'JLR Labour'!$A$2:$A$20001,0)),"labour category "&amp;$C511&amp;" — from the machine tab"),""))),"NOT FOUND — check the code"))</f>
        <v/>
      </c>
      <c r="E511" s="30" t="s">
        <v>1282</v>
      </c>
    </row>
    <row r="512" spans="1:5" x14ac:dyDescent="0.25">
      <c r="A512" s="28" t="s">
        <v>1289</v>
      </c>
      <c r="B512" s="19" t="s">
        <v>1290</v>
      </c>
      <c r="C512" s="29"/>
      <c r="D512" s="17" t="str">
        <f>IF($C512="","",IFERROR(IF($E512="machine",INDEX('JLR Machines'!$B$2:$B$20001,MATCH($C512,'JLR Machines'!$A$2:$A$20001,0)),IF($E512="material",INDEX('JLR Materials'!$B$2:$B$20001,MATCH($C512,'JLR Materials'!$A$2:$A$20001,0)),IF($E512="labour",IFERROR(INDEX('JLR Labour'!$B$2:$B$20001,MATCH($C512,'JLR Labour'!$A$2:$A$20001,0)),"labour category "&amp;$C512&amp;" — from the machine tab"),""))),"NOT FOUND — check the code"))</f>
        <v/>
      </c>
      <c r="E512" s="30" t="s">
        <v>1282</v>
      </c>
    </row>
    <row r="513" spans="1:5" x14ac:dyDescent="0.25">
      <c r="A513" s="28" t="s">
        <v>1291</v>
      </c>
      <c r="B513" s="19" t="s">
        <v>1292</v>
      </c>
      <c r="C513" s="29"/>
      <c r="D513" s="17" t="str">
        <f>IF($C513="","",IFERROR(IF($E513="machine",INDEX('JLR Machines'!$B$2:$B$20001,MATCH($C513,'JLR Machines'!$A$2:$A$20001,0)),IF($E513="material",INDEX('JLR Materials'!$B$2:$B$20001,MATCH($C513,'JLR Materials'!$A$2:$A$20001,0)),IF($E513="labour",IFERROR(INDEX('JLR Labour'!$B$2:$B$20001,MATCH($C513,'JLR Labour'!$A$2:$A$20001,0)),"labour category "&amp;$C513&amp;" — from the machine tab"),""))),"NOT FOUND — check the code"))</f>
        <v/>
      </c>
      <c r="E513" s="30" t="s">
        <v>1282</v>
      </c>
    </row>
    <row r="514" spans="1:5" x14ac:dyDescent="0.25">
      <c r="A514" s="28" t="s">
        <v>1293</v>
      </c>
      <c r="B514" s="19" t="s">
        <v>1294</v>
      </c>
      <c r="C514" s="29"/>
      <c r="D514" s="17" t="str">
        <f>IF($C514="","",IFERROR(IF($E514="machine",INDEX('JLR Machines'!$B$2:$B$20001,MATCH($C514,'JLR Machines'!$A$2:$A$20001,0)),IF($E514="material",INDEX('JLR Materials'!$B$2:$B$20001,MATCH($C514,'JLR Materials'!$A$2:$A$20001,0)),IF($E514="labour",IFERROR(INDEX('JLR Labour'!$B$2:$B$20001,MATCH($C514,'JLR Labour'!$A$2:$A$20001,0)),"labour category "&amp;$C514&amp;" — from the machine tab"),""))),"NOT FOUND — check the code"))</f>
        <v/>
      </c>
      <c r="E514" s="30" t="s">
        <v>1282</v>
      </c>
    </row>
    <row r="515" spans="1:5" x14ac:dyDescent="0.25">
      <c r="A515" s="28" t="s">
        <v>1295</v>
      </c>
      <c r="B515" s="19" t="s">
        <v>1296</v>
      </c>
      <c r="C515" s="29"/>
      <c r="D515" s="17" t="str">
        <f>IF($C515="","",IFERROR(IF($E515="machine",INDEX('JLR Machines'!$B$2:$B$20001,MATCH($C515,'JLR Machines'!$A$2:$A$20001,0)),IF($E515="material",INDEX('JLR Materials'!$B$2:$B$20001,MATCH($C515,'JLR Materials'!$A$2:$A$20001,0)),IF($E515="labour",IFERROR(INDEX('JLR Labour'!$B$2:$B$20001,MATCH($C515,'JLR Labour'!$A$2:$A$20001,0)),"labour category "&amp;$C515&amp;" — from the machine tab"),""))),"NOT FOUND — check the code"))</f>
        <v/>
      </c>
      <c r="E515" s="30" t="s">
        <v>1282</v>
      </c>
    </row>
    <row r="516" spans="1:5" x14ac:dyDescent="0.25">
      <c r="A516" s="28" t="s">
        <v>1297</v>
      </c>
      <c r="B516" s="19" t="s">
        <v>1298</v>
      </c>
      <c r="C516" s="29"/>
      <c r="D516" s="17" t="str">
        <f>IF($C516="","",IFERROR(IF($E516="machine",INDEX('JLR Machines'!$B$2:$B$20001,MATCH($C516,'JLR Machines'!$A$2:$A$20001,0)),IF($E516="material",INDEX('JLR Materials'!$B$2:$B$20001,MATCH($C516,'JLR Materials'!$A$2:$A$20001,0)),IF($E516="labour",IFERROR(INDEX('JLR Labour'!$B$2:$B$20001,MATCH($C516,'JLR Labour'!$A$2:$A$20001,0)),"labour category "&amp;$C516&amp;" — from the machine tab"),""))),"NOT FOUND — check the code"))</f>
        <v/>
      </c>
      <c r="E516" s="30" t="s">
        <v>1282</v>
      </c>
    </row>
    <row r="517" spans="1:5" x14ac:dyDescent="0.25">
      <c r="A517" s="28" t="s">
        <v>1299</v>
      </c>
      <c r="B517" s="19" t="s">
        <v>1300</v>
      </c>
      <c r="C517" s="29"/>
      <c r="D517" s="17" t="str">
        <f>IF($C517="","",IFERROR(IF($E517="machine",INDEX('JLR Machines'!$B$2:$B$20001,MATCH($C517,'JLR Machines'!$A$2:$A$20001,0)),IF($E517="material",INDEX('JLR Materials'!$B$2:$B$20001,MATCH($C517,'JLR Materials'!$A$2:$A$20001,0)),IF($E517="labour",IFERROR(INDEX('JLR Labour'!$B$2:$B$20001,MATCH($C517,'JLR Labour'!$A$2:$A$20001,0)),"labour category "&amp;$C517&amp;" — from the machine tab"),""))),"NOT FOUND — check the code"))</f>
        <v/>
      </c>
      <c r="E517" s="30" t="s">
        <v>1282</v>
      </c>
    </row>
    <row r="518" spans="1:5" x14ac:dyDescent="0.25">
      <c r="A518" s="28" t="s">
        <v>1301</v>
      </c>
      <c r="B518" s="19" t="s">
        <v>1302</v>
      </c>
      <c r="C518" s="29"/>
      <c r="D518" s="17" t="str">
        <f>IF($C518="","",IFERROR(IF($E518="machine",INDEX('JLR Machines'!$B$2:$B$20001,MATCH($C518,'JLR Machines'!$A$2:$A$20001,0)),IF($E518="material",INDEX('JLR Materials'!$B$2:$B$20001,MATCH($C518,'JLR Materials'!$A$2:$A$20001,0)),IF($E518="labour",IFERROR(INDEX('JLR Labour'!$B$2:$B$20001,MATCH($C518,'JLR Labour'!$A$2:$A$20001,0)),"labour category "&amp;$C518&amp;" — from the machine tab"),""))),"NOT FOUND — check the code"))</f>
        <v/>
      </c>
      <c r="E518" s="30" t="s">
        <v>1282</v>
      </c>
    </row>
    <row r="519" spans="1:5" x14ac:dyDescent="0.25">
      <c r="A519" s="28" t="s">
        <v>1303</v>
      </c>
      <c r="B519" s="19" t="s">
        <v>1304</v>
      </c>
      <c r="C519" s="29"/>
      <c r="D519" s="17" t="str">
        <f>IF($C519="","",IFERROR(IF($E519="machine",INDEX('JLR Machines'!$B$2:$B$20001,MATCH($C519,'JLR Machines'!$A$2:$A$20001,0)),IF($E519="material",INDEX('JLR Materials'!$B$2:$B$20001,MATCH($C519,'JLR Materials'!$A$2:$A$20001,0)),IF($E519="labour",IFERROR(INDEX('JLR Labour'!$B$2:$B$20001,MATCH($C519,'JLR Labour'!$A$2:$A$20001,0)),"labour category "&amp;$C519&amp;" — from the machine tab"),""))),"NOT FOUND — check the code"))</f>
        <v/>
      </c>
      <c r="E519" s="30" t="s">
        <v>1282</v>
      </c>
    </row>
    <row r="520" spans="1:5" x14ac:dyDescent="0.25">
      <c r="A520" s="28" t="s">
        <v>1305</v>
      </c>
      <c r="B520" s="19" t="s">
        <v>1306</v>
      </c>
      <c r="C520" s="29"/>
      <c r="D520" s="17" t="str">
        <f>IF($C520="","",IFERROR(IF($E520="machine",INDEX('JLR Machines'!$B$2:$B$20001,MATCH($C520,'JLR Machines'!$A$2:$A$20001,0)),IF($E520="material",INDEX('JLR Materials'!$B$2:$B$20001,MATCH($C520,'JLR Materials'!$A$2:$A$20001,0)),IF($E520="labour",IFERROR(INDEX('JLR Labour'!$B$2:$B$20001,MATCH($C520,'JLR Labour'!$A$2:$A$20001,0)),"labour category "&amp;$C520&amp;" — from the machine tab"),""))),"NOT FOUND — check the code"))</f>
        <v/>
      </c>
      <c r="E520" s="30" t="s">
        <v>1282</v>
      </c>
    </row>
    <row r="521" spans="1:5" x14ac:dyDescent="0.25">
      <c r="A521" s="28" t="s">
        <v>1307</v>
      </c>
      <c r="B521" s="19" t="s">
        <v>1308</v>
      </c>
      <c r="C521" s="29"/>
      <c r="D521" s="17" t="str">
        <f>IF($C521="","",IFERROR(IF($E521="machine",INDEX('JLR Machines'!$B$2:$B$20001,MATCH($C521,'JLR Machines'!$A$2:$A$20001,0)),IF($E521="material",INDEX('JLR Materials'!$B$2:$B$20001,MATCH($C521,'JLR Materials'!$A$2:$A$20001,0)),IF($E521="labour",IFERROR(INDEX('JLR Labour'!$B$2:$B$20001,MATCH($C521,'JLR Labour'!$A$2:$A$20001,0)),"labour category "&amp;$C521&amp;" — from the machine tab"),""))),"NOT FOUND — check the code"))</f>
        <v/>
      </c>
      <c r="E521" s="30" t="s">
        <v>1282</v>
      </c>
    </row>
    <row r="522" spans="1:5" x14ac:dyDescent="0.25">
      <c r="A522" s="28" t="s">
        <v>1309</v>
      </c>
      <c r="B522" s="19" t="s">
        <v>1310</v>
      </c>
      <c r="C522" s="29"/>
      <c r="D522" s="17" t="str">
        <f>IF($C522="","",IFERROR(IF($E522="machine",INDEX('JLR Machines'!$B$2:$B$20001,MATCH($C522,'JLR Machines'!$A$2:$A$20001,0)),IF($E522="material",INDEX('JLR Materials'!$B$2:$B$20001,MATCH($C522,'JLR Materials'!$A$2:$A$20001,0)),IF($E522="labour",IFERROR(INDEX('JLR Labour'!$B$2:$B$20001,MATCH($C522,'JLR Labour'!$A$2:$A$20001,0)),"labour category "&amp;$C522&amp;" — from the machine tab"),""))),"NOT FOUND — check the code"))</f>
        <v/>
      </c>
      <c r="E522" s="30" t="s">
        <v>1282</v>
      </c>
    </row>
    <row r="523" spans="1:5" x14ac:dyDescent="0.25">
      <c r="A523" s="28" t="s">
        <v>1311</v>
      </c>
      <c r="B523" s="19" t="s">
        <v>1312</v>
      </c>
      <c r="C523" s="29"/>
      <c r="D523" s="17" t="str">
        <f>IF($C523="","",IFERROR(IF($E523="machine",INDEX('JLR Machines'!$B$2:$B$20001,MATCH($C523,'JLR Machines'!$A$2:$A$20001,0)),IF($E523="material",INDEX('JLR Materials'!$B$2:$B$20001,MATCH($C523,'JLR Materials'!$A$2:$A$20001,0)),IF($E523="labour",IFERROR(INDEX('JLR Labour'!$B$2:$B$20001,MATCH($C523,'JLR Labour'!$A$2:$A$20001,0)),"labour category "&amp;$C523&amp;" — from the machine tab"),""))),"NOT FOUND — check the code"))</f>
        <v/>
      </c>
      <c r="E523" s="30" t="s">
        <v>1282</v>
      </c>
    </row>
    <row r="524" spans="1:5" x14ac:dyDescent="0.25">
      <c r="A524" s="28" t="s">
        <v>1313</v>
      </c>
      <c r="B524" s="19" t="s">
        <v>1314</v>
      </c>
      <c r="C524" s="29"/>
      <c r="D524" s="17" t="str">
        <f>IF($C524="","",IFERROR(IF($E524="machine",INDEX('JLR Machines'!$B$2:$B$20001,MATCH($C524,'JLR Machines'!$A$2:$A$20001,0)),IF($E524="material",INDEX('JLR Materials'!$B$2:$B$20001,MATCH($C524,'JLR Materials'!$A$2:$A$20001,0)),IF($E524="labour",IFERROR(INDEX('JLR Labour'!$B$2:$B$20001,MATCH($C524,'JLR Labour'!$A$2:$A$20001,0)),"labour category "&amp;$C524&amp;" — from the machine tab"),""))),"NOT FOUND — check the code"))</f>
        <v/>
      </c>
      <c r="E524" s="30" t="s">
        <v>1282</v>
      </c>
    </row>
    <row r="525" spans="1:5" x14ac:dyDescent="0.25">
      <c r="A525" s="28" t="s">
        <v>1315</v>
      </c>
      <c r="B525" s="19" t="s">
        <v>1316</v>
      </c>
      <c r="C525" s="29"/>
      <c r="D525" s="17" t="str">
        <f>IF($C525="","",IFERROR(IF($E525="machine",INDEX('JLR Machines'!$B$2:$B$20001,MATCH($C525,'JLR Machines'!$A$2:$A$20001,0)),IF($E525="material",INDEX('JLR Materials'!$B$2:$B$20001,MATCH($C525,'JLR Materials'!$A$2:$A$20001,0)),IF($E525="labour",IFERROR(INDEX('JLR Labour'!$B$2:$B$20001,MATCH($C525,'JLR Labour'!$A$2:$A$20001,0)),"labour category "&amp;$C525&amp;" — from the machine tab"),""))),"NOT FOUND — check the code"))</f>
        <v/>
      </c>
      <c r="E525" s="30" t="s">
        <v>1282</v>
      </c>
    </row>
    <row r="526" spans="1:5" x14ac:dyDescent="0.25">
      <c r="A526" s="28" t="s">
        <v>1317</v>
      </c>
      <c r="B526" s="19" t="s">
        <v>1318</v>
      </c>
      <c r="C526" s="29"/>
      <c r="D526" s="17" t="str">
        <f>IF($C526="","",IFERROR(IF($E526="machine",INDEX('JLR Machines'!$B$2:$B$20001,MATCH($C526,'JLR Machines'!$A$2:$A$20001,0)),IF($E526="material",INDEX('JLR Materials'!$B$2:$B$20001,MATCH($C526,'JLR Materials'!$A$2:$A$20001,0)),IF($E526="labour",IFERROR(INDEX('JLR Labour'!$B$2:$B$20001,MATCH($C526,'JLR Labour'!$A$2:$A$20001,0)),"labour category "&amp;$C526&amp;" — from the machine tab"),""))),"NOT FOUND — check the code"))</f>
        <v/>
      </c>
      <c r="E526" s="30" t="s">
        <v>1282</v>
      </c>
    </row>
    <row r="527" spans="1:5" x14ac:dyDescent="0.25">
      <c r="A527" s="28" t="s">
        <v>1319</v>
      </c>
      <c r="B527" s="19" t="s">
        <v>1320</v>
      </c>
      <c r="C527" s="29"/>
      <c r="D527" s="17" t="str">
        <f>IF($C527="","",IFERROR(IF($E527="machine",INDEX('JLR Machines'!$B$2:$B$20001,MATCH($C527,'JLR Machines'!$A$2:$A$20001,0)),IF($E527="material",INDEX('JLR Materials'!$B$2:$B$20001,MATCH($C527,'JLR Materials'!$A$2:$A$20001,0)),IF($E527="labour",IFERROR(INDEX('JLR Labour'!$B$2:$B$20001,MATCH($C527,'JLR Labour'!$A$2:$A$20001,0)),"labour category "&amp;$C527&amp;" — from the machine tab"),""))),"NOT FOUND — check the code"))</f>
        <v/>
      </c>
      <c r="E527" s="30" t="s">
        <v>1282</v>
      </c>
    </row>
    <row r="528" spans="1:5" x14ac:dyDescent="0.25">
      <c r="A528" s="28" t="s">
        <v>1321</v>
      </c>
      <c r="B528" s="19" t="s">
        <v>1322</v>
      </c>
      <c r="C528" s="29"/>
      <c r="D528" s="17" t="str">
        <f>IF($C528="","",IFERROR(IF($E528="machine",INDEX('JLR Machines'!$B$2:$B$20001,MATCH($C528,'JLR Machines'!$A$2:$A$20001,0)),IF($E528="material",INDEX('JLR Materials'!$B$2:$B$20001,MATCH($C528,'JLR Materials'!$A$2:$A$20001,0)),IF($E528="labour",IFERROR(INDEX('JLR Labour'!$B$2:$B$20001,MATCH($C528,'JLR Labour'!$A$2:$A$20001,0)),"labour category "&amp;$C528&amp;" — from the machine tab"),""))),"NOT FOUND — check the code"))</f>
        <v/>
      </c>
      <c r="E528" s="30" t="s">
        <v>1282</v>
      </c>
    </row>
    <row r="529" spans="1:5" x14ac:dyDescent="0.25">
      <c r="A529" s="28" t="s">
        <v>1323</v>
      </c>
      <c r="B529" s="19" t="s">
        <v>1324</v>
      </c>
      <c r="C529" s="29"/>
      <c r="D529" s="17" t="str">
        <f>IF($C529="","",IFERROR(IF($E529="machine",INDEX('JLR Machines'!$B$2:$B$20001,MATCH($C529,'JLR Machines'!$A$2:$A$20001,0)),IF($E529="material",INDEX('JLR Materials'!$B$2:$B$20001,MATCH($C529,'JLR Materials'!$A$2:$A$20001,0)),IF($E529="labour",IFERROR(INDEX('JLR Labour'!$B$2:$B$20001,MATCH($C529,'JLR Labour'!$A$2:$A$20001,0)),"labour category "&amp;$C529&amp;" — from the machine tab"),""))),"NOT FOUND — check the code"))</f>
        <v/>
      </c>
      <c r="E529" s="30" t="s">
        <v>1282</v>
      </c>
    </row>
    <row r="530" spans="1:5" x14ac:dyDescent="0.25">
      <c r="A530" s="28" t="s">
        <v>1325</v>
      </c>
      <c r="B530" s="19" t="s">
        <v>1326</v>
      </c>
      <c r="C530" s="29"/>
      <c r="D530" s="17" t="str">
        <f>IF($C530="","",IFERROR(IF($E530="machine",INDEX('JLR Machines'!$B$2:$B$20001,MATCH($C530,'JLR Machines'!$A$2:$A$20001,0)),IF($E530="material",INDEX('JLR Materials'!$B$2:$B$20001,MATCH($C530,'JLR Materials'!$A$2:$A$20001,0)),IF($E530="labour",IFERROR(INDEX('JLR Labour'!$B$2:$B$20001,MATCH($C530,'JLR Labour'!$A$2:$A$20001,0)),"labour category "&amp;$C530&amp;" — from the machine tab"),""))),"NOT FOUND — check the code"))</f>
        <v/>
      </c>
      <c r="E530" s="30" t="s">
        <v>1282</v>
      </c>
    </row>
    <row r="531" spans="1:5" x14ac:dyDescent="0.25">
      <c r="A531" s="28" t="s">
        <v>1327</v>
      </c>
      <c r="B531" s="19" t="s">
        <v>1328</v>
      </c>
      <c r="C531" s="29"/>
      <c r="D531" s="17" t="str">
        <f>IF($C531="","",IFERROR(IF($E531="machine",INDEX('JLR Machines'!$B$2:$B$20001,MATCH($C531,'JLR Machines'!$A$2:$A$20001,0)),IF($E531="material",INDEX('JLR Materials'!$B$2:$B$20001,MATCH($C531,'JLR Materials'!$A$2:$A$20001,0)),IF($E531="labour",IFERROR(INDEX('JLR Labour'!$B$2:$B$20001,MATCH($C531,'JLR Labour'!$A$2:$A$20001,0)),"labour category "&amp;$C531&amp;" — from the machine tab"),""))),"NOT FOUND — check the code"))</f>
        <v/>
      </c>
      <c r="E531" s="30" t="s">
        <v>1282</v>
      </c>
    </row>
    <row r="532" spans="1:5" x14ac:dyDescent="0.25">
      <c r="A532" s="28" t="s">
        <v>1329</v>
      </c>
      <c r="B532" s="19" t="s">
        <v>1330</v>
      </c>
      <c r="C532" s="29"/>
      <c r="D532" s="17" t="str">
        <f>IF($C532="","",IFERROR(IF($E532="machine",INDEX('JLR Machines'!$B$2:$B$20001,MATCH($C532,'JLR Machines'!$A$2:$A$20001,0)),IF($E532="material",INDEX('JLR Materials'!$B$2:$B$20001,MATCH($C532,'JLR Materials'!$A$2:$A$20001,0)),IF($E532="labour",IFERROR(INDEX('JLR Labour'!$B$2:$B$20001,MATCH($C532,'JLR Labour'!$A$2:$A$20001,0)),"labour category "&amp;$C532&amp;" — from the machine tab"),""))),"NOT FOUND — check the code"))</f>
        <v/>
      </c>
      <c r="E532" s="30" t="s">
        <v>1282</v>
      </c>
    </row>
    <row r="533" spans="1:5" x14ac:dyDescent="0.25">
      <c r="A533" s="28" t="s">
        <v>1331</v>
      </c>
      <c r="B533" s="19" t="s">
        <v>1332</v>
      </c>
      <c r="C533" s="29"/>
      <c r="D533" s="17" t="str">
        <f>IF($C533="","",IFERROR(IF($E533="machine",INDEX('JLR Machines'!$B$2:$B$20001,MATCH($C533,'JLR Machines'!$A$2:$A$20001,0)),IF($E533="material",INDEX('JLR Materials'!$B$2:$B$20001,MATCH($C533,'JLR Materials'!$A$2:$A$20001,0)),IF($E533="labour",IFERROR(INDEX('JLR Labour'!$B$2:$B$20001,MATCH($C533,'JLR Labour'!$A$2:$A$20001,0)),"labour category "&amp;$C533&amp;" — from the machine tab"),""))),"NOT FOUND — check the code"))</f>
        <v/>
      </c>
      <c r="E533" s="30" t="s">
        <v>1282</v>
      </c>
    </row>
    <row r="534" spans="1:5" x14ac:dyDescent="0.25">
      <c r="A534" s="28" t="s">
        <v>1333</v>
      </c>
      <c r="B534" s="19" t="s">
        <v>1334</v>
      </c>
      <c r="C534" s="29"/>
      <c r="D534" s="17" t="str">
        <f>IF($C534="","",IFERROR(IF($E534="machine",INDEX('JLR Machines'!$B$2:$B$20001,MATCH($C534,'JLR Machines'!$A$2:$A$20001,0)),IF($E534="material",INDEX('JLR Materials'!$B$2:$B$20001,MATCH($C534,'JLR Materials'!$A$2:$A$20001,0)),IF($E534="labour",IFERROR(INDEX('JLR Labour'!$B$2:$B$20001,MATCH($C534,'JLR Labour'!$A$2:$A$20001,0)),"labour category "&amp;$C534&amp;" — from the machine tab"),""))),"NOT FOUND — check the code"))</f>
        <v/>
      </c>
      <c r="E534" s="30" t="s">
        <v>1282</v>
      </c>
    </row>
    <row r="535" spans="1:5" x14ac:dyDescent="0.25">
      <c r="A535" s="28" t="s">
        <v>1335</v>
      </c>
      <c r="B535" s="19" t="s">
        <v>1336</v>
      </c>
      <c r="C535" s="29"/>
      <c r="D535" s="17" t="str">
        <f>IF($C535="","",IFERROR(IF($E535="machine",INDEX('JLR Machines'!$B$2:$B$20001,MATCH($C535,'JLR Machines'!$A$2:$A$20001,0)),IF($E535="material",INDEX('JLR Materials'!$B$2:$B$20001,MATCH($C535,'JLR Materials'!$A$2:$A$20001,0)),IF($E535="labour",IFERROR(INDEX('JLR Labour'!$B$2:$B$20001,MATCH($C535,'JLR Labour'!$A$2:$A$20001,0)),"labour category "&amp;$C535&amp;" — from the machine tab"),""))),"NOT FOUND — check the code"))</f>
        <v/>
      </c>
      <c r="E535" s="30" t="s">
        <v>1282</v>
      </c>
    </row>
    <row r="536" spans="1:5" x14ac:dyDescent="0.25">
      <c r="A536" s="28" t="s">
        <v>1337</v>
      </c>
      <c r="B536" s="19" t="s">
        <v>1338</v>
      </c>
      <c r="C536" s="29"/>
      <c r="D536" s="17" t="str">
        <f>IF($C536="","",IFERROR(IF($E536="machine",INDEX('JLR Machines'!$B$2:$B$20001,MATCH($C536,'JLR Machines'!$A$2:$A$20001,0)),IF($E536="material",INDEX('JLR Materials'!$B$2:$B$20001,MATCH($C536,'JLR Materials'!$A$2:$A$20001,0)),IF($E536="labour",IFERROR(INDEX('JLR Labour'!$B$2:$B$20001,MATCH($C536,'JLR Labour'!$A$2:$A$20001,0)),"labour category "&amp;$C536&amp;" — from the machine tab"),""))),"NOT FOUND — check the code"))</f>
        <v/>
      </c>
      <c r="E536" s="30" t="s">
        <v>1282</v>
      </c>
    </row>
    <row r="537" spans="1:5" x14ac:dyDescent="0.25">
      <c r="A537" s="28" t="s">
        <v>1339</v>
      </c>
      <c r="B537" s="19" t="s">
        <v>1340</v>
      </c>
      <c r="C537" s="29"/>
      <c r="D537" s="17" t="str">
        <f>IF($C537="","",IFERROR(IF($E537="machine",INDEX('JLR Machines'!$B$2:$B$20001,MATCH($C537,'JLR Machines'!$A$2:$A$20001,0)),IF($E537="material",INDEX('JLR Materials'!$B$2:$B$20001,MATCH($C537,'JLR Materials'!$A$2:$A$20001,0)),IF($E537="labour",IFERROR(INDEX('JLR Labour'!$B$2:$B$20001,MATCH($C537,'JLR Labour'!$A$2:$A$20001,0)),"labour category "&amp;$C537&amp;" — from the machine tab"),""))),"NOT FOUND — check the code"))</f>
        <v/>
      </c>
      <c r="E537" s="30" t="s">
        <v>1282</v>
      </c>
    </row>
    <row r="538" spans="1:5" x14ac:dyDescent="0.25">
      <c r="A538" s="28" t="s">
        <v>1341</v>
      </c>
      <c r="B538" s="19" t="s">
        <v>1342</v>
      </c>
      <c r="C538" s="29"/>
      <c r="D538" s="17" t="str">
        <f>IF($C538="","",IFERROR(IF($E538="machine",INDEX('JLR Machines'!$B$2:$B$20001,MATCH($C538,'JLR Machines'!$A$2:$A$20001,0)),IF($E538="material",INDEX('JLR Materials'!$B$2:$B$20001,MATCH($C538,'JLR Materials'!$A$2:$A$20001,0)),IF($E538="labour",IFERROR(INDEX('JLR Labour'!$B$2:$B$20001,MATCH($C538,'JLR Labour'!$A$2:$A$20001,0)),"labour category "&amp;$C538&amp;" — from the machine tab"),""))),"NOT FOUND — check the code"))</f>
        <v/>
      </c>
      <c r="E538" s="30" t="s">
        <v>1282</v>
      </c>
    </row>
    <row r="539" spans="1:5" x14ac:dyDescent="0.25">
      <c r="A539" s="28" t="s">
        <v>1343</v>
      </c>
      <c r="B539" s="19" t="s">
        <v>1344</v>
      </c>
      <c r="C539" s="29"/>
      <c r="D539" s="17" t="str">
        <f>IF($C539="","",IFERROR(IF($E539="machine",INDEX('JLR Machines'!$B$2:$B$20001,MATCH($C539,'JLR Machines'!$A$2:$A$20001,0)),IF($E539="material",INDEX('JLR Materials'!$B$2:$B$20001,MATCH($C539,'JLR Materials'!$A$2:$A$20001,0)),IF($E539="labour",IFERROR(INDEX('JLR Labour'!$B$2:$B$20001,MATCH($C539,'JLR Labour'!$A$2:$A$20001,0)),"labour category "&amp;$C539&amp;" — from the machine tab"),""))),"NOT FOUND — check the code"))</f>
        <v/>
      </c>
      <c r="E539" s="30" t="s">
        <v>1282</v>
      </c>
    </row>
    <row r="540" spans="1:5" x14ac:dyDescent="0.25">
      <c r="A540" s="28" t="s">
        <v>1345</v>
      </c>
      <c r="B540" s="19" t="s">
        <v>1346</v>
      </c>
      <c r="C540" s="29"/>
      <c r="D540" s="17" t="str">
        <f>IF($C540="","",IFERROR(IF($E540="machine",INDEX('JLR Machines'!$B$2:$B$20001,MATCH($C540,'JLR Machines'!$A$2:$A$20001,0)),IF($E540="material",INDEX('JLR Materials'!$B$2:$B$20001,MATCH($C540,'JLR Materials'!$A$2:$A$20001,0)),IF($E540="labour",IFERROR(INDEX('JLR Labour'!$B$2:$B$20001,MATCH($C540,'JLR Labour'!$A$2:$A$20001,0)),"labour category "&amp;$C540&amp;" — from the machine tab"),""))),"NOT FOUND — check the code"))</f>
        <v/>
      </c>
      <c r="E540" s="30" t="s">
        <v>1282</v>
      </c>
    </row>
    <row r="541" spans="1:5" x14ac:dyDescent="0.25">
      <c r="A541" s="28" t="s">
        <v>1347</v>
      </c>
      <c r="B541" s="19" t="s">
        <v>1348</v>
      </c>
      <c r="C541" s="29"/>
      <c r="D541" s="17" t="str">
        <f>IF($C541="","",IFERROR(IF($E541="machine",INDEX('JLR Machines'!$B$2:$B$20001,MATCH($C541,'JLR Machines'!$A$2:$A$20001,0)),IF($E541="material",INDEX('JLR Materials'!$B$2:$B$20001,MATCH($C541,'JLR Materials'!$A$2:$A$20001,0)),IF($E541="labour",IFERROR(INDEX('JLR Labour'!$B$2:$B$20001,MATCH($C541,'JLR Labour'!$A$2:$A$20001,0)),"labour category "&amp;$C541&amp;" — from the machine tab"),""))),"NOT FOUND — check the code"))</f>
        <v/>
      </c>
      <c r="E541" s="30" t="s">
        <v>1282</v>
      </c>
    </row>
    <row r="542" spans="1:5" x14ac:dyDescent="0.25">
      <c r="A542" s="28" t="s">
        <v>1349</v>
      </c>
      <c r="B542" s="19" t="s">
        <v>1350</v>
      </c>
      <c r="C542" s="29"/>
      <c r="D542" s="17" t="str">
        <f>IF($C542="","",IFERROR(IF($E542="machine",INDEX('JLR Machines'!$B$2:$B$20001,MATCH($C542,'JLR Machines'!$A$2:$A$20001,0)),IF($E542="material",INDEX('JLR Materials'!$B$2:$B$20001,MATCH($C542,'JLR Materials'!$A$2:$A$20001,0)),IF($E542="labour",IFERROR(INDEX('JLR Labour'!$B$2:$B$20001,MATCH($C542,'JLR Labour'!$A$2:$A$20001,0)),"labour category "&amp;$C542&amp;" — from the machine tab"),""))),"NOT FOUND — check the code"))</f>
        <v/>
      </c>
      <c r="E542" s="30" t="s">
        <v>1282</v>
      </c>
    </row>
    <row r="543" spans="1:5" x14ac:dyDescent="0.25">
      <c r="A543" s="28" t="s">
        <v>1351</v>
      </c>
      <c r="B543" s="19" t="s">
        <v>1352</v>
      </c>
      <c r="C543" s="29"/>
      <c r="D543" s="17" t="str">
        <f>IF($C543="","",IFERROR(IF($E543="machine",INDEX('JLR Machines'!$B$2:$B$20001,MATCH($C543,'JLR Machines'!$A$2:$A$20001,0)),IF($E543="material",INDEX('JLR Materials'!$B$2:$B$20001,MATCH($C543,'JLR Materials'!$A$2:$A$20001,0)),IF($E543="labour",IFERROR(INDEX('JLR Labour'!$B$2:$B$20001,MATCH($C543,'JLR Labour'!$A$2:$A$20001,0)),"labour category "&amp;$C543&amp;" — from the machine tab"),""))),"NOT FOUND — check the code"))</f>
        <v/>
      </c>
      <c r="E543" s="30" t="s">
        <v>1282</v>
      </c>
    </row>
    <row r="544" spans="1:5" x14ac:dyDescent="0.25">
      <c r="A544" s="28" t="s">
        <v>1353</v>
      </c>
      <c r="B544" s="19" t="s">
        <v>1354</v>
      </c>
      <c r="C544" s="29"/>
      <c r="D544" s="17" t="str">
        <f>IF($C544="","",IFERROR(IF($E544="machine",INDEX('JLR Machines'!$B$2:$B$20001,MATCH($C544,'JLR Machines'!$A$2:$A$20001,0)),IF($E544="material",INDEX('JLR Materials'!$B$2:$B$20001,MATCH($C544,'JLR Materials'!$A$2:$A$20001,0)),IF($E544="labour",IFERROR(INDEX('JLR Labour'!$B$2:$B$20001,MATCH($C544,'JLR Labour'!$A$2:$A$20001,0)),"labour category "&amp;$C544&amp;" — from the machine tab"),""))),"NOT FOUND — check the code"))</f>
        <v/>
      </c>
      <c r="E544" s="30" t="s">
        <v>1282</v>
      </c>
    </row>
    <row r="545" spans="1:5" x14ac:dyDescent="0.25">
      <c r="A545" s="28" t="s">
        <v>1355</v>
      </c>
      <c r="B545" s="19" t="s">
        <v>1356</v>
      </c>
      <c r="C545" s="29"/>
      <c r="D545" s="17" t="str">
        <f>IF($C545="","",IFERROR(IF($E545="machine",INDEX('JLR Machines'!$B$2:$B$20001,MATCH($C545,'JLR Machines'!$A$2:$A$20001,0)),IF($E545="material",INDEX('JLR Materials'!$B$2:$B$20001,MATCH($C545,'JLR Materials'!$A$2:$A$20001,0)),IF($E545="labour",IFERROR(INDEX('JLR Labour'!$B$2:$B$20001,MATCH($C545,'JLR Labour'!$A$2:$A$20001,0)),"labour category "&amp;$C545&amp;" — from the machine tab"),""))),"NOT FOUND — check the code"))</f>
        <v/>
      </c>
      <c r="E545" s="30" t="s">
        <v>1282</v>
      </c>
    </row>
    <row r="546" spans="1:5" x14ac:dyDescent="0.25">
      <c r="A546" s="28" t="s">
        <v>1357</v>
      </c>
      <c r="B546" s="19" t="s">
        <v>1358</v>
      </c>
      <c r="C546" s="29"/>
      <c r="D546" s="17" t="str">
        <f>IF($C546="","",IFERROR(IF($E546="machine",INDEX('JLR Machines'!$B$2:$B$20001,MATCH($C546,'JLR Machines'!$A$2:$A$20001,0)),IF($E546="material",INDEX('JLR Materials'!$B$2:$B$20001,MATCH($C546,'JLR Materials'!$A$2:$A$20001,0)),IF($E546="labour",IFERROR(INDEX('JLR Labour'!$B$2:$B$20001,MATCH($C546,'JLR Labour'!$A$2:$A$20001,0)),"labour category "&amp;$C546&amp;" — from the machine tab"),""))),"NOT FOUND — check the code"))</f>
        <v/>
      </c>
      <c r="E546" s="30" t="s">
        <v>1282</v>
      </c>
    </row>
    <row r="547" spans="1:5" x14ac:dyDescent="0.25">
      <c r="A547" s="28" t="s">
        <v>1359</v>
      </c>
      <c r="B547" s="19" t="s">
        <v>1360</v>
      </c>
      <c r="C547" s="29"/>
      <c r="D547" s="17" t="str">
        <f>IF($C547="","",IFERROR(IF($E547="machine",INDEX('JLR Machines'!$B$2:$B$20001,MATCH($C547,'JLR Machines'!$A$2:$A$20001,0)),IF($E547="material",INDEX('JLR Materials'!$B$2:$B$20001,MATCH($C547,'JLR Materials'!$A$2:$A$20001,0)),IF($E547="labour",IFERROR(INDEX('JLR Labour'!$B$2:$B$20001,MATCH($C547,'JLR Labour'!$A$2:$A$20001,0)),"labour category "&amp;$C547&amp;" — from the machine tab"),""))),"NOT FOUND — check the code"))</f>
        <v/>
      </c>
      <c r="E547" s="30" t="s">
        <v>1282</v>
      </c>
    </row>
    <row r="548" spans="1:5" x14ac:dyDescent="0.25">
      <c r="A548" s="28" t="s">
        <v>1361</v>
      </c>
      <c r="B548" s="19" t="s">
        <v>1362</v>
      </c>
      <c r="C548" s="29"/>
      <c r="D548" s="17" t="str">
        <f>IF($C548="","",IFERROR(IF($E548="machine",INDEX('JLR Machines'!$B$2:$B$20001,MATCH($C548,'JLR Machines'!$A$2:$A$20001,0)),IF($E548="material",INDEX('JLR Materials'!$B$2:$B$20001,MATCH($C548,'JLR Materials'!$A$2:$A$20001,0)),IF($E548="labour",IFERROR(INDEX('JLR Labour'!$B$2:$B$20001,MATCH($C548,'JLR Labour'!$A$2:$A$20001,0)),"labour category "&amp;$C548&amp;" — from the machine tab"),""))),"NOT FOUND — check the code"))</f>
        <v/>
      </c>
      <c r="E548" s="30" t="s">
        <v>1282</v>
      </c>
    </row>
    <row r="549" spans="1:5" x14ac:dyDescent="0.25">
      <c r="A549" s="28" t="s">
        <v>1363</v>
      </c>
      <c r="B549" s="19" t="s">
        <v>1364</v>
      </c>
      <c r="C549" s="29"/>
      <c r="D549" s="17" t="str">
        <f>IF($C549="","",IFERROR(IF($E549="machine",INDEX('JLR Machines'!$B$2:$B$20001,MATCH($C549,'JLR Machines'!$A$2:$A$20001,0)),IF($E549="material",INDEX('JLR Materials'!$B$2:$B$20001,MATCH($C549,'JLR Materials'!$A$2:$A$20001,0)),IF($E549="labour",IFERROR(INDEX('JLR Labour'!$B$2:$B$20001,MATCH($C549,'JLR Labour'!$A$2:$A$20001,0)),"labour category "&amp;$C549&amp;" — from the machine tab"),""))),"NOT FOUND — check the code"))</f>
        <v/>
      </c>
      <c r="E549" s="30" t="s">
        <v>1282</v>
      </c>
    </row>
  </sheetData>
  <autoFilter ref="A1:E1"/>
  <conditionalFormatting sqref="D2:D549">
    <cfRule type="containsText" dxfId="0" priority="1">
      <formula>NOT(ISERROR(SEARCH("NOT FOUND",D2)))</formula>
    </cfRule>
  </conditionalFormatting>
  <pageMargins left="0.4" right="0.4" top="0.5" bottom="0.5" header="0.3" footer="0.3"/>
  <pageSetup orientation="portrait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94A6"/>
    <pageSetUpPr fitToPage="1"/>
  </sheetPr>
  <dimension ref="A1:R32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 defaultColWidth="12"/>
  <cols>
    <col min="1" max="1" width="24" customWidth="1"/>
    <col min="2" max="2" width="26" customWidth="1"/>
    <col min="3" max="3" width="17" customWidth="1"/>
    <col min="4" max="4" width="13" customWidth="1"/>
    <col min="5" max="5" width="22" customWidth="1"/>
    <col min="6" max="6" width="15" customWidth="1"/>
    <col min="7" max="7" width="10" customWidth="1"/>
    <col min="8" max="8" width="14" customWidth="1"/>
    <col min="9" max="9" width="44" customWidth="1"/>
    <col min="10" max="10" width="12" customWidth="1"/>
    <col min="11" max="12" width="13" customWidth="1"/>
    <col min="13" max="13" width="15" customWidth="1"/>
    <col min="14" max="14" width="17" customWidth="1"/>
    <col min="15" max="15" width="13" customWidth="1"/>
    <col min="16" max="16" width="14" customWidth="1"/>
    <col min="17" max="17" width="44" customWidth="1"/>
    <col min="18" max="18" width="14" customWidth="1"/>
  </cols>
  <sheetData>
    <row r="1" ht="30" customHeight="1" spans="1:18" x14ac:dyDescent="0.25">
      <c r="A1" s="20" t="s">
        <v>1365</v>
      </c>
      <c r="B1" s="20" t="s">
        <v>1366</v>
      </c>
      <c r="C1" s="20" t="s">
        <v>265</v>
      </c>
      <c r="D1" s="20" t="s">
        <v>182</v>
      </c>
      <c r="E1" s="20" t="s">
        <v>186</v>
      </c>
      <c r="F1" s="20" t="s">
        <v>1367</v>
      </c>
      <c r="G1" s="20" t="s">
        <v>1368</v>
      </c>
      <c r="H1" s="20" t="s">
        <v>1369</v>
      </c>
      <c r="I1" s="20" t="s">
        <v>1370</v>
      </c>
      <c r="J1" s="20" t="s">
        <v>1371</v>
      </c>
      <c r="K1" s="31" t="s">
        <v>263</v>
      </c>
      <c r="L1" s="31" t="s">
        <v>1372</v>
      </c>
      <c r="M1" s="31" t="s">
        <v>181</v>
      </c>
      <c r="N1" s="31" t="s">
        <v>185</v>
      </c>
      <c r="O1" s="31" t="s">
        <v>1373</v>
      </c>
      <c r="P1" s="31" t="s">
        <v>1374</v>
      </c>
      <c r="Q1" s="31" t="s">
        <v>1375</v>
      </c>
      <c r="R1" s="31" t="s">
        <v>1376</v>
      </c>
    </row>
    <row r="2" spans="1:18" x14ac:dyDescent="0.25">
      <c r="A2" s="32" t="s">
        <v>266</v>
      </c>
      <c r="B2" s="33" t="s">
        <v>1377</v>
      </c>
      <c r="C2" s="33" t="s">
        <v>1378</v>
      </c>
      <c r="D2" s="34">
        <f>IF($M2&gt;0,$M2,3.56)</f>
        <v>3.56</v>
      </c>
      <c r="E2" s="34">
        <f>IF($O2&gt;0,$O2,0.54)</f>
        <v>0.54</v>
      </c>
      <c r="F2" s="35">
        <v>2700</v>
      </c>
      <c r="G2" s="33" t="s">
        <v>1379</v>
      </c>
      <c r="H2" s="36" t="str">
        <f>IF($M2&gt;0,IF($L2&lt;&gt;1,$R2,IFERROR(INDEX('JLR Materials'!$D$2:$D$20001,MATCH($K2,'JLR Materials'!$A$2:$A$20001,0)),$R2)),$R2)</f>
        <v>2026-09</v>
      </c>
      <c r="I2" s="36" t="str">
        <f>IF($M2&gt;0,"JLR rate card — material code "&amp;$K2,$Q2)</f>
        <v>LME + UK processor premium, Jun 2026. Index-anchored 2026-07 refresh. | Refresh 2026-09: −£0.060/kg from 0.97kg al £2.910→£2.849/kg; premiums held</v>
      </c>
      <c r="J2" s="33" t="s">
        <v>1380</v>
      </c>
      <c r="K2" s="37" t="str">
        <f>IFERROR(INDEX(Mapping!$C$2:$C$549,MATCH($A2,Mapping!$A$2:$A$549,0)),"")</f>
        <v/>
      </c>
      <c r="L2" s="37">
        <f>IF($K2="",0,COUNTIFS('JLR Materials'!$A$2:$A$20001,$K2,'JLR Materials'!$C$2:$C$20001,IF(Settings!$B$2="","&lt;&gt;",Settings!$B$2),'JLR Materials'!$D$2:$D$20001,IF(Settings!$B$4="","&lt;&gt;",Settings!$B$4)))</f>
        <v>0</v>
      </c>
      <c r="M2" s="38">
        <f>IF($L2&lt;&gt;1,0,SUMIFS('JLR Materials'!$E$2:$E$20001,'JLR Materials'!$A$2:$A$20001,$K2,'JLR Materials'!$C$2:$C$20001,IF(Settings!$B$2="","&lt;&gt;",Settings!$B$2),'JLR Materials'!$D$2:$D$20001,IF(Settings!$B$4="","&lt;&gt;",Settings!$B$4)))</f>
        <v>0</v>
      </c>
      <c r="N2" s="39">
        <f>IF($L2&lt;&gt;1,0,SUMIFS('JLR Materials'!$F$2:$F$20001,'JLR Materials'!$A$2:$A$20001,$K2,'JLR Materials'!$C$2:$C$20001,IF(Settings!$B$2="","&lt;&gt;",Settings!$B$2),'JLR Materials'!$D$2:$D$20001,IF(Settings!$B$4="","&lt;&gt;",Settings!$B$4)))</f>
        <v>0</v>
      </c>
      <c r="O2" s="38">
        <f>IF($N2=0,0,IF(Settings!$B$5="percent",$M2*$N2/100,$N2))</f>
        <v>0</v>
      </c>
      <c r="P2" s="39">
        <f>IF($L2&lt;&gt;1,0,SUMIFS('JLR Materials'!$G$2:$G$20001,'JLR Materials'!$A$2:$A$20001,$K2,'JLR Materials'!$C$2:$C$20001,IF(Settings!$B$2="","&lt;&gt;",Settings!$B$2),'JLR Materials'!$D$2:$D$20001,IF(Settings!$B$4="","&lt;&gt;",Settings!$B$4)))</f>
        <v>0</v>
      </c>
      <c r="Q2" s="40" t="s">
        <v>1381</v>
      </c>
      <c r="R2" s="40" t="s">
        <v>1382</v>
      </c>
    </row>
    <row r="3" spans="1:18" x14ac:dyDescent="0.25">
      <c r="A3" s="32" t="s">
        <v>269</v>
      </c>
      <c r="B3" s="33" t="s">
        <v>1383</v>
      </c>
      <c r="C3" s="33" t="s">
        <v>1384</v>
      </c>
      <c r="D3" s="34">
        <f>IF($M3&gt;0,$M3,0.95)</f>
        <v>0.95</v>
      </c>
      <c r="E3" s="34">
        <f>IF($O3&gt;0,$O3,0.22)</f>
        <v>0.22</v>
      </c>
      <c r="F3" s="35">
        <v>7850</v>
      </c>
      <c r="G3" s="33" t="s">
        <v>1379</v>
      </c>
      <c r="H3" s="36" t="str">
        <f>IF($M3&gt;0,IF($L3&lt;&gt;1,$R3,IFERROR(INDEX('JLR Materials'!$D$2:$D$20001,MATCH($K3,'JLR Materials'!$A$2:$A$20001,0)),$R3)),$R3)</f>
        <v>2026-09</v>
      </c>
      <c r="I3" s="36" t="str">
        <f>IF($M3&gt;0,"JLR rate card — material code "&amp;$K3,$Q3)</f>
        <v>UK steel stockholder, Jun 2026. Index-anchored 2026-07 refresh. | Refresh 2026-09: INDEX FLAT — Index flat: Kallanish N-Europe wire rod ’stable’ (Jun 2026), ’decrease slightly’ (Jul), ’remain stable’ / ’flat’ (Sep 2026) — carbon and alloy bar unchanged.</v>
      </c>
      <c r="J3" s="33" t="s">
        <v>1380</v>
      </c>
      <c r="K3" s="37" t="str">
        <f>IFERROR(INDEX(Mapping!$C$2:$C$549,MATCH($A3,Mapping!$A$2:$A$549,0)),"")</f>
        <v/>
      </c>
      <c r="L3" s="37">
        <f>IF($K3="",0,COUNTIFS('JLR Materials'!$A$2:$A$20001,$K3,'JLR Materials'!$C$2:$C$20001,IF(Settings!$B$2="","&lt;&gt;",Settings!$B$2),'JLR Materials'!$D$2:$D$20001,IF(Settings!$B$4="","&lt;&gt;",Settings!$B$4)))</f>
        <v>0</v>
      </c>
      <c r="M3" s="38">
        <f>IF($L3&lt;&gt;1,0,SUMIFS('JLR Materials'!$E$2:$E$20001,'JLR Materials'!$A$2:$A$20001,$K3,'JLR Materials'!$C$2:$C$20001,IF(Settings!$B$2="","&lt;&gt;",Settings!$B$2),'JLR Materials'!$D$2:$D$20001,IF(Settings!$B$4="","&lt;&gt;",Settings!$B$4)))</f>
        <v>0</v>
      </c>
      <c r="N3" s="39">
        <f>IF($L3&lt;&gt;1,0,SUMIFS('JLR Materials'!$F$2:$F$20001,'JLR Materials'!$A$2:$A$20001,$K3,'JLR Materials'!$C$2:$C$20001,IF(Settings!$B$2="","&lt;&gt;",Settings!$B$2),'JLR Materials'!$D$2:$D$20001,IF(Settings!$B$4="","&lt;&gt;",Settings!$B$4)))</f>
        <v>0</v>
      </c>
      <c r="O3" s="38">
        <f>IF($N3=0,0,IF(Settings!$B$5="percent",$M3*$N3/100,$N3))</f>
        <v>0</v>
      </c>
      <c r="P3" s="39">
        <f>IF($L3&lt;&gt;1,0,SUMIFS('JLR Materials'!$G$2:$G$20001,'JLR Materials'!$A$2:$A$20001,$K3,'JLR Materials'!$C$2:$C$20001,IF(Settings!$B$2="","&lt;&gt;",Settings!$B$2),'JLR Materials'!$D$2:$D$20001,IF(Settings!$B$4="","&lt;&gt;",Settings!$B$4)))</f>
        <v>0</v>
      </c>
      <c r="Q3" s="40" t="s">
        <v>1385</v>
      </c>
      <c r="R3" s="40" t="s">
        <v>1382</v>
      </c>
    </row>
    <row r="4" spans="1:18" x14ac:dyDescent="0.25">
      <c r="A4" s="32" t="s">
        <v>271</v>
      </c>
      <c r="B4" s="33" t="s">
        <v>1386</v>
      </c>
      <c r="C4" s="33" t="s">
        <v>1387</v>
      </c>
      <c r="D4" s="34">
        <f>IF($M4&gt;0,$M4,3.95)</f>
        <v>3.95</v>
      </c>
      <c r="E4" s="34">
        <f>IF($O4&gt;0,$O4,0.88)</f>
        <v>0.88</v>
      </c>
      <c r="F4" s="35">
        <v>7990</v>
      </c>
      <c r="G4" s="33" t="s">
        <v>1379</v>
      </c>
      <c r="H4" s="36" t="str">
        <f>IF($M4&gt;0,IF($L4&lt;&gt;1,$R4,IFERROR(INDEX('JLR Materials'!$D$2:$D$20001,MATCH($K4,'JLR Materials'!$A$2:$A$20001,0)),$R4)),$R4)</f>
        <v>2026-09</v>
      </c>
      <c r="I4" s="36" t="str">
        <f>IF($M4&gt;0,"JLR rate card — material code "&amp;$K4,$Q4)</f>
        <v>UK stainless distributor, Jun 2026. Index-anchored 2026-07 refresh. | Refresh 2026-09: +£0.129/kg from 1kg ss_sur £2.037→£2.164/kg, 0.03kg ni £12.302→£12.378/kg; premiums held</v>
      </c>
      <c r="J4" s="33" t="s">
        <v>1380</v>
      </c>
      <c r="K4" s="37" t="str">
        <f>IFERROR(INDEX(Mapping!$C$2:$C$549,MATCH($A4,Mapping!$A$2:$A$549,0)),"")</f>
        <v/>
      </c>
      <c r="L4" s="37">
        <f>IF($K4="",0,COUNTIFS('JLR Materials'!$A$2:$A$20001,$K4,'JLR Materials'!$C$2:$C$20001,IF(Settings!$B$2="","&lt;&gt;",Settings!$B$2),'JLR Materials'!$D$2:$D$20001,IF(Settings!$B$4="","&lt;&gt;",Settings!$B$4)))</f>
        <v>0</v>
      </c>
      <c r="M4" s="38">
        <f>IF($L4&lt;&gt;1,0,SUMIFS('JLR Materials'!$E$2:$E$20001,'JLR Materials'!$A$2:$A$20001,$K4,'JLR Materials'!$C$2:$C$20001,IF(Settings!$B$2="","&lt;&gt;",Settings!$B$2),'JLR Materials'!$D$2:$D$20001,IF(Settings!$B$4="","&lt;&gt;",Settings!$B$4)))</f>
        <v>0</v>
      </c>
      <c r="N4" s="39">
        <f>IF($L4&lt;&gt;1,0,SUMIFS('JLR Materials'!$F$2:$F$20001,'JLR Materials'!$A$2:$A$20001,$K4,'JLR Materials'!$C$2:$C$20001,IF(Settings!$B$2="","&lt;&gt;",Settings!$B$2),'JLR Materials'!$D$2:$D$20001,IF(Settings!$B$4="","&lt;&gt;",Settings!$B$4)))</f>
        <v>0</v>
      </c>
      <c r="O4" s="38">
        <f>IF($N4=0,0,IF(Settings!$B$5="percent",$M4*$N4/100,$N4))</f>
        <v>0</v>
      </c>
      <c r="P4" s="39">
        <f>IF($L4&lt;&gt;1,0,SUMIFS('JLR Materials'!$G$2:$G$20001,'JLR Materials'!$A$2:$A$20001,$K4,'JLR Materials'!$C$2:$C$20001,IF(Settings!$B$2="","&lt;&gt;",Settings!$B$2),'JLR Materials'!$D$2:$D$20001,IF(Settings!$B$4="","&lt;&gt;",Settings!$B$4)))</f>
        <v>0</v>
      </c>
      <c r="Q4" s="40" t="s">
        <v>1388</v>
      </c>
      <c r="R4" s="40" t="s">
        <v>1382</v>
      </c>
    </row>
    <row r="5" spans="1:18" x14ac:dyDescent="0.25">
      <c r="A5" s="32" t="s">
        <v>273</v>
      </c>
      <c r="B5" s="33" t="s">
        <v>1389</v>
      </c>
      <c r="C5" s="33" t="s">
        <v>1390</v>
      </c>
      <c r="D5" s="34">
        <f>IF($M5&gt;0,$M5,1.21)</f>
        <v>1.21</v>
      </c>
      <c r="E5" s="34">
        <f>IF($O5&gt;0,$O5,0.22)</f>
        <v>0.22</v>
      </c>
      <c r="F5" s="35">
        <v>7850</v>
      </c>
      <c r="G5" s="33" t="s">
        <v>1379</v>
      </c>
      <c r="H5" s="36" t="str">
        <f>IF($M5&gt;0,IF($L5&lt;&gt;1,$R5,IFERROR(INDEX('JLR Materials'!$D$2:$D$20001,MATCH($K5,'JLR Materials'!$A$2:$A$20001,0)),$R5)),$R5)</f>
        <v>2026-09</v>
      </c>
      <c r="I5" s="36" t="str">
        <f>IF($M5&gt;0,"JLR rate card — material code "&amp;$K5,$Q5)</f>
        <v>UK steel stockholder, Jun 2026. Index-anchored 2026-07 refresh. | Refresh 2026-09: INDEX FLAT — Index flat: Kallanish N-Europe wire rod ’stable’ (Jun 2026), ’decrease slightly’ (Jul), ’remain stable’ / ’flat’ (Sep 2026) — carbon and alloy bar unchanged.</v>
      </c>
      <c r="J5" s="33" t="s">
        <v>1380</v>
      </c>
      <c r="K5" s="37" t="str">
        <f>IFERROR(INDEX(Mapping!$C$2:$C$549,MATCH($A5,Mapping!$A$2:$A$549,0)),"")</f>
        <v/>
      </c>
      <c r="L5" s="37">
        <f>IF($K5="",0,COUNTIFS('JLR Materials'!$A$2:$A$20001,$K5,'JLR Materials'!$C$2:$C$20001,IF(Settings!$B$2="","&lt;&gt;",Settings!$B$2),'JLR Materials'!$D$2:$D$20001,IF(Settings!$B$4="","&lt;&gt;",Settings!$B$4)))</f>
        <v>0</v>
      </c>
      <c r="M5" s="38">
        <f>IF($L5&lt;&gt;1,0,SUMIFS('JLR Materials'!$E$2:$E$20001,'JLR Materials'!$A$2:$A$20001,$K5,'JLR Materials'!$C$2:$C$20001,IF(Settings!$B$2="","&lt;&gt;",Settings!$B$2),'JLR Materials'!$D$2:$D$20001,IF(Settings!$B$4="","&lt;&gt;",Settings!$B$4)))</f>
        <v>0</v>
      </c>
      <c r="N5" s="39">
        <f>IF($L5&lt;&gt;1,0,SUMIFS('JLR Materials'!$F$2:$F$20001,'JLR Materials'!$A$2:$A$20001,$K5,'JLR Materials'!$C$2:$C$20001,IF(Settings!$B$2="","&lt;&gt;",Settings!$B$2),'JLR Materials'!$D$2:$D$20001,IF(Settings!$B$4="","&lt;&gt;",Settings!$B$4)))</f>
        <v>0</v>
      </c>
      <c r="O5" s="38">
        <f>IF($N5=0,0,IF(Settings!$B$5="percent",$M5*$N5/100,$N5))</f>
        <v>0</v>
      </c>
      <c r="P5" s="39">
        <f>IF($L5&lt;&gt;1,0,SUMIFS('JLR Materials'!$G$2:$G$20001,'JLR Materials'!$A$2:$A$20001,$K5,'JLR Materials'!$C$2:$C$20001,IF(Settings!$B$2="","&lt;&gt;",Settings!$B$2),'JLR Materials'!$D$2:$D$20001,IF(Settings!$B$4="","&lt;&gt;",Settings!$B$4)))</f>
        <v>0</v>
      </c>
      <c r="Q5" s="40" t="s">
        <v>1385</v>
      </c>
      <c r="R5" s="40" t="s">
        <v>1382</v>
      </c>
    </row>
    <row r="6" spans="1:18" x14ac:dyDescent="0.25">
      <c r="A6" s="32" t="s">
        <v>275</v>
      </c>
      <c r="B6" s="33" t="s">
        <v>1391</v>
      </c>
      <c r="C6" s="33" t="s">
        <v>1392</v>
      </c>
      <c r="D6" s="34">
        <f>IF($M6&gt;0,$M6,47.13)</f>
        <v>47.13</v>
      </c>
      <c r="E6" s="34">
        <f>IF($O6&gt;0,$O6,15.88)</f>
        <v>15.88</v>
      </c>
      <c r="F6" s="35">
        <v>4430</v>
      </c>
      <c r="G6" s="33" t="s">
        <v>1379</v>
      </c>
      <c r="H6" s="36" t="str">
        <f>IF($M6&gt;0,IF($L6&lt;&gt;1,$R6,IFERROR(INDEX('JLR Materials'!$D$2:$D$20001,MATCH($K6,'JLR Materials'!$A$2:$A$20001,0)),$R6)),$R6)</f>
        <v>2026-09</v>
      </c>
      <c r="I6" s="36" t="str">
        <f>IF($M6&gt;0,"JLR rate card — material code "&amp;$K6,$Q6)</f>
        <v>Titanium distributor UK, Jun 2026. Index-anchored 2026-07 refresh. | Refresh 2026-09: −£0.367/kg from 0.9kg ti £5.398→£4.989/kg; premiums held</v>
      </c>
      <c r="J6" s="33" t="s">
        <v>1393</v>
      </c>
      <c r="K6" s="37" t="str">
        <f>IFERROR(INDEX(Mapping!$C$2:$C$549,MATCH($A6,Mapping!$A$2:$A$549,0)),"")</f>
        <v/>
      </c>
      <c r="L6" s="37">
        <f>IF($K6="",0,COUNTIFS('JLR Materials'!$A$2:$A$20001,$K6,'JLR Materials'!$C$2:$C$20001,IF(Settings!$B$2="","&lt;&gt;",Settings!$B$2),'JLR Materials'!$D$2:$D$20001,IF(Settings!$B$4="","&lt;&gt;",Settings!$B$4)))</f>
        <v>0</v>
      </c>
      <c r="M6" s="38">
        <f>IF($L6&lt;&gt;1,0,SUMIFS('JLR Materials'!$E$2:$E$20001,'JLR Materials'!$A$2:$A$20001,$K6,'JLR Materials'!$C$2:$C$20001,IF(Settings!$B$2="","&lt;&gt;",Settings!$B$2),'JLR Materials'!$D$2:$D$20001,IF(Settings!$B$4="","&lt;&gt;",Settings!$B$4)))</f>
        <v>0</v>
      </c>
      <c r="N6" s="39">
        <f>IF($L6&lt;&gt;1,0,SUMIFS('JLR Materials'!$F$2:$F$20001,'JLR Materials'!$A$2:$A$20001,$K6,'JLR Materials'!$C$2:$C$20001,IF(Settings!$B$2="","&lt;&gt;",Settings!$B$2),'JLR Materials'!$D$2:$D$20001,IF(Settings!$B$4="","&lt;&gt;",Settings!$B$4)))</f>
        <v>0</v>
      </c>
      <c r="O6" s="38">
        <f>IF($N6=0,0,IF(Settings!$B$5="percent",$M6*$N6/100,$N6))</f>
        <v>0</v>
      </c>
      <c r="P6" s="39">
        <f>IF($L6&lt;&gt;1,0,SUMIFS('JLR Materials'!$G$2:$G$20001,'JLR Materials'!$A$2:$A$20001,$K6,'JLR Materials'!$C$2:$C$20001,IF(Settings!$B$2="","&lt;&gt;",Settings!$B$2),'JLR Materials'!$D$2:$D$20001,IF(Settings!$B$4="","&lt;&gt;",Settings!$B$4)))</f>
        <v>0</v>
      </c>
      <c r="Q6" s="40" t="s">
        <v>1394</v>
      </c>
      <c r="R6" s="40" t="s">
        <v>1382</v>
      </c>
    </row>
    <row r="7" spans="1:18" x14ac:dyDescent="0.25">
      <c r="A7" s="32" t="s">
        <v>277</v>
      </c>
      <c r="B7" s="33" t="s">
        <v>1395</v>
      </c>
      <c r="C7" s="33" t="s">
        <v>1396</v>
      </c>
      <c r="D7" s="34">
        <f>IF($M7&gt;0,$M7,1)</f>
        <v>1</v>
      </c>
      <c r="E7" s="34">
        <f>IF($O7&gt;0,$O7,0)</f>
        <v>0</v>
      </c>
      <c r="F7" s="35">
        <v>1000</v>
      </c>
      <c r="G7" s="33" t="s">
        <v>1379</v>
      </c>
      <c r="H7" s="36" t="str">
        <f>IF($M7&gt;0,IF($L7&lt;&gt;1,$R7,IFERROR(INDEX('JLR Materials'!$D$2:$D$20001,MATCH($K7,'JLR Materials'!$A$2:$A$20001,0)),$R7)),$R7)</f>
        <v>2026-06-14</v>
      </c>
      <c r="I7" s="36" t="str">
        <f>IF($M7&gt;0,"JLR rate card — material code "&amp;$K7,$Q7)</f>
        <v>Placeholder for directCost modules (painting, BIW, PCB, PCBA). Price is irrelevant — directCost overrides.</v>
      </c>
      <c r="J7" s="33" t="s">
        <v>1380</v>
      </c>
      <c r="K7" s="37" t="str">
        <f>IFERROR(INDEX(Mapping!$C$2:$C$549,MATCH($A7,Mapping!$A$2:$A$549,0)),"")</f>
        <v/>
      </c>
      <c r="L7" s="37">
        <f>IF($K7="",0,COUNTIFS('JLR Materials'!$A$2:$A$20001,$K7,'JLR Materials'!$C$2:$C$20001,IF(Settings!$B$2="","&lt;&gt;",Settings!$B$2),'JLR Materials'!$D$2:$D$20001,IF(Settings!$B$4="","&lt;&gt;",Settings!$B$4)))</f>
        <v>0</v>
      </c>
      <c r="M7" s="38">
        <f>IF($L7&lt;&gt;1,0,SUMIFS('JLR Materials'!$E$2:$E$20001,'JLR Materials'!$A$2:$A$20001,$K7,'JLR Materials'!$C$2:$C$20001,IF(Settings!$B$2="","&lt;&gt;",Settings!$B$2),'JLR Materials'!$D$2:$D$20001,IF(Settings!$B$4="","&lt;&gt;",Settings!$B$4)))</f>
        <v>0</v>
      </c>
      <c r="N7" s="39">
        <f>IF($L7&lt;&gt;1,0,SUMIFS('JLR Materials'!$F$2:$F$20001,'JLR Materials'!$A$2:$A$20001,$K7,'JLR Materials'!$C$2:$C$20001,IF(Settings!$B$2="","&lt;&gt;",Settings!$B$2),'JLR Materials'!$D$2:$D$20001,IF(Settings!$B$4="","&lt;&gt;",Settings!$B$4)))</f>
        <v>0</v>
      </c>
      <c r="O7" s="38">
        <f>IF($N7=0,0,IF(Settings!$B$5="percent",$M7*$N7/100,$N7))</f>
        <v>0</v>
      </c>
      <c r="P7" s="39">
        <f>IF($L7&lt;&gt;1,0,SUMIFS('JLR Materials'!$G$2:$G$20001,'JLR Materials'!$A$2:$A$20001,$K7,'JLR Materials'!$C$2:$C$20001,IF(Settings!$B$2="","&lt;&gt;",Settings!$B$2),'JLR Materials'!$D$2:$D$20001,IF(Settings!$B$4="","&lt;&gt;",Settings!$B$4)))</f>
        <v>0</v>
      </c>
      <c r="Q7" s="40" t="s">
        <v>1397</v>
      </c>
      <c r="R7" s="40" t="s">
        <v>1398</v>
      </c>
    </row>
    <row r="8" spans="1:18" x14ac:dyDescent="0.25">
      <c r="A8" s="32" t="s">
        <v>279</v>
      </c>
      <c r="B8" s="33" t="s">
        <v>1399</v>
      </c>
      <c r="C8" s="33" t="s">
        <v>1384</v>
      </c>
      <c r="D8" s="34">
        <f>IF($M8&gt;0,$M8,0.98)</f>
        <v>0.98</v>
      </c>
      <c r="E8" s="34">
        <f>IF($O8&gt;0,$O8,0.22)</f>
        <v>0.22</v>
      </c>
      <c r="F8" s="35">
        <v>7850</v>
      </c>
      <c r="G8" s="33" t="s">
        <v>1379</v>
      </c>
      <c r="H8" s="36" t="str">
        <f>IF($M8&gt;0,IF($L8&lt;&gt;1,$R8,IFERROR(INDEX('JLR Materials'!$D$2:$D$20001,MATCH($K8,'JLR Materials'!$A$2:$A$20001,0)),$R8)),$R8)</f>
        <v>2026-09</v>
      </c>
      <c r="I8" s="36" t="str">
        <f>IF($M8&gt;0,"JLR rate card — material code "&amp;$K8,$Q8)</f>
        <v>Index-anchored 2026-07 refresh. General medium-carbon machining bar — shafts, studs, general engineering. | Refresh 2026-09: INDEX FLAT — Index flat: Kallanish N-Europe wire rod ’stable’ (Jun 2026), ’decrease slightly’ (Jul), ’remain stable’ / ’flat’ (Sep 2026) — carbon and alloy bar unchanged.</v>
      </c>
      <c r="J8" s="33" t="s">
        <v>1380</v>
      </c>
      <c r="K8" s="37" t="str">
        <f>IFERROR(INDEX(Mapping!$C$2:$C$549,MATCH($A8,Mapping!$A$2:$A$549,0)),"")</f>
        <v/>
      </c>
      <c r="L8" s="37">
        <f>IF($K8="",0,COUNTIFS('JLR Materials'!$A$2:$A$20001,$K8,'JLR Materials'!$C$2:$C$20001,IF(Settings!$B$2="","&lt;&gt;",Settings!$B$2),'JLR Materials'!$D$2:$D$20001,IF(Settings!$B$4="","&lt;&gt;",Settings!$B$4)))</f>
        <v>0</v>
      </c>
      <c r="M8" s="38">
        <f>IF($L8&lt;&gt;1,0,SUMIFS('JLR Materials'!$E$2:$E$20001,'JLR Materials'!$A$2:$A$20001,$K8,'JLR Materials'!$C$2:$C$20001,IF(Settings!$B$2="","&lt;&gt;",Settings!$B$2),'JLR Materials'!$D$2:$D$20001,IF(Settings!$B$4="","&lt;&gt;",Settings!$B$4)))</f>
        <v>0</v>
      </c>
      <c r="N8" s="39">
        <f>IF($L8&lt;&gt;1,0,SUMIFS('JLR Materials'!$F$2:$F$20001,'JLR Materials'!$A$2:$A$20001,$K8,'JLR Materials'!$C$2:$C$20001,IF(Settings!$B$2="","&lt;&gt;",Settings!$B$2),'JLR Materials'!$D$2:$D$20001,IF(Settings!$B$4="","&lt;&gt;",Settings!$B$4)))</f>
        <v>0</v>
      </c>
      <c r="O8" s="38">
        <f>IF($N8=0,0,IF(Settings!$B$5="percent",$M8*$N8/100,$N8))</f>
        <v>0</v>
      </c>
      <c r="P8" s="39">
        <f>IF($L8&lt;&gt;1,0,SUMIFS('JLR Materials'!$G$2:$G$20001,'JLR Materials'!$A$2:$A$20001,$K8,'JLR Materials'!$C$2:$C$20001,IF(Settings!$B$2="","&lt;&gt;",Settings!$B$2),'JLR Materials'!$D$2:$D$20001,IF(Settings!$B$4="","&lt;&gt;",Settings!$B$4)))</f>
        <v>0</v>
      </c>
      <c r="Q8" s="40" t="s">
        <v>1400</v>
      </c>
      <c r="R8" s="40" t="s">
        <v>1382</v>
      </c>
    </row>
    <row r="9" spans="1:18" x14ac:dyDescent="0.25">
      <c r="A9" s="32" t="s">
        <v>281</v>
      </c>
      <c r="B9" s="33" t="s">
        <v>1401</v>
      </c>
      <c r="C9" s="33" t="s">
        <v>1387</v>
      </c>
      <c r="D9" s="34">
        <f>IF($M9&gt;0,$M9,3.53)</f>
        <v>3.53</v>
      </c>
      <c r="E9" s="34">
        <f>IF($O9&gt;0,$O9,0.83)</f>
        <v>0.83</v>
      </c>
      <c r="F9" s="35">
        <v>8000</v>
      </c>
      <c r="G9" s="33" t="s">
        <v>1379</v>
      </c>
      <c r="H9" s="36" t="str">
        <f>IF($M9&gt;0,IF($L9&lt;&gt;1,$R9,IFERROR(INDEX('JLR Materials'!$D$2:$D$20001,MATCH($K9,'JLR Materials'!$A$2:$A$20001,0)),$R9)),$R9)</f>
        <v>2026-09</v>
      </c>
      <c r="I9" s="36" t="str">
        <f>IF($M9&gt;0,"JLR rate card — material code "&amp;$K9,$Q9)</f>
        <v>Index-anchored 2026-07 refresh. General austenitic machining bar — fittings, shafts, food/chemical. | Refresh 2026-09: +£0.127/kg from 1kg ss_sur £2.037→£2.164/kg; premiums held</v>
      </c>
      <c r="J9" s="33" t="s">
        <v>1380</v>
      </c>
      <c r="K9" s="37" t="str">
        <f>IFERROR(INDEX(Mapping!$C$2:$C$549,MATCH($A9,Mapping!$A$2:$A$549,0)),"")</f>
        <v/>
      </c>
      <c r="L9" s="37">
        <f>IF($K9="",0,COUNTIFS('JLR Materials'!$A$2:$A$20001,$K9,'JLR Materials'!$C$2:$C$20001,IF(Settings!$B$2="","&lt;&gt;",Settings!$B$2),'JLR Materials'!$D$2:$D$20001,IF(Settings!$B$4="","&lt;&gt;",Settings!$B$4)))</f>
        <v>0</v>
      </c>
      <c r="M9" s="38">
        <f>IF($L9&lt;&gt;1,0,SUMIFS('JLR Materials'!$E$2:$E$20001,'JLR Materials'!$A$2:$A$20001,$K9,'JLR Materials'!$C$2:$C$20001,IF(Settings!$B$2="","&lt;&gt;",Settings!$B$2),'JLR Materials'!$D$2:$D$20001,IF(Settings!$B$4="","&lt;&gt;",Settings!$B$4)))</f>
        <v>0</v>
      </c>
      <c r="N9" s="39">
        <f>IF($L9&lt;&gt;1,0,SUMIFS('JLR Materials'!$F$2:$F$20001,'JLR Materials'!$A$2:$A$20001,$K9,'JLR Materials'!$C$2:$C$20001,IF(Settings!$B$2="","&lt;&gt;",Settings!$B$2),'JLR Materials'!$D$2:$D$20001,IF(Settings!$B$4="","&lt;&gt;",Settings!$B$4)))</f>
        <v>0</v>
      </c>
      <c r="O9" s="38">
        <f>IF($N9=0,0,IF(Settings!$B$5="percent",$M9*$N9/100,$N9))</f>
        <v>0</v>
      </c>
      <c r="P9" s="39">
        <f>IF($L9&lt;&gt;1,0,SUMIFS('JLR Materials'!$G$2:$G$20001,'JLR Materials'!$A$2:$A$20001,$K9,'JLR Materials'!$C$2:$C$20001,IF(Settings!$B$2="","&lt;&gt;",Settings!$B$2),'JLR Materials'!$D$2:$D$20001,IF(Settings!$B$4="","&lt;&gt;",Settings!$B$4)))</f>
        <v>0</v>
      </c>
      <c r="Q9" s="40" t="s">
        <v>1402</v>
      </c>
      <c r="R9" s="40" t="s">
        <v>1382</v>
      </c>
    </row>
    <row r="10" spans="1:18" x14ac:dyDescent="0.25">
      <c r="A10" s="32" t="s">
        <v>283</v>
      </c>
      <c r="B10" s="33" t="s">
        <v>1403</v>
      </c>
      <c r="C10" s="33" t="s">
        <v>1387</v>
      </c>
      <c r="D10" s="34">
        <f>IF($M10&gt;0,$M10,3.83)</f>
        <v>3.83</v>
      </c>
      <c r="E10" s="34">
        <f>IF($O10&gt;0,$O10,0.83)</f>
        <v>0.83</v>
      </c>
      <c r="F10" s="35">
        <v>8000</v>
      </c>
      <c r="G10" s="33" t="s">
        <v>1379</v>
      </c>
      <c r="H10" s="36" t="str">
        <f>IF($M10&gt;0,IF($L10&lt;&gt;1,$R10,IFERROR(INDEX('JLR Materials'!$D$2:$D$20001,MATCH($K10,'JLR Materials'!$A$2:$A$20001,0)),$R10)),$R10)</f>
        <v>2026-09</v>
      </c>
      <c r="I10" s="36" t="str">
        <f>IF($M10&gt;0,"JLR rate card — material code "&amp;$K10,$Q10)</f>
        <v>Index-anchored 2026-07 refresh. Sulphur-added free-machining austenitic — high-volume turned parts, fasteners. | Refresh 2026-09: +£0.127/kg from 1kg ss_sur £2.037→£2.164/kg; premiums held</v>
      </c>
      <c r="J10" s="33" t="s">
        <v>1380</v>
      </c>
      <c r="K10" s="37" t="str">
        <f>IFERROR(INDEX(Mapping!$C$2:$C$549,MATCH($A10,Mapping!$A$2:$A$549,0)),"")</f>
        <v/>
      </c>
      <c r="L10" s="37">
        <f>IF($K10="",0,COUNTIFS('JLR Materials'!$A$2:$A$20001,$K10,'JLR Materials'!$C$2:$C$20001,IF(Settings!$B$2="","&lt;&gt;",Settings!$B$2),'JLR Materials'!$D$2:$D$20001,IF(Settings!$B$4="","&lt;&gt;",Settings!$B$4)))</f>
        <v>0</v>
      </c>
      <c r="M10" s="38">
        <f>IF($L10&lt;&gt;1,0,SUMIFS('JLR Materials'!$E$2:$E$20001,'JLR Materials'!$A$2:$A$20001,$K10,'JLR Materials'!$C$2:$C$20001,IF(Settings!$B$2="","&lt;&gt;",Settings!$B$2),'JLR Materials'!$D$2:$D$20001,IF(Settings!$B$4="","&lt;&gt;",Settings!$B$4)))</f>
        <v>0</v>
      </c>
      <c r="N10" s="39">
        <f>IF($L10&lt;&gt;1,0,SUMIFS('JLR Materials'!$F$2:$F$20001,'JLR Materials'!$A$2:$A$20001,$K10,'JLR Materials'!$C$2:$C$20001,IF(Settings!$B$2="","&lt;&gt;",Settings!$B$2),'JLR Materials'!$D$2:$D$20001,IF(Settings!$B$4="","&lt;&gt;",Settings!$B$4)))</f>
        <v>0</v>
      </c>
      <c r="O10" s="38">
        <f>IF($N10=0,0,IF(Settings!$B$5="percent",$M10*$N10/100,$N10))</f>
        <v>0</v>
      </c>
      <c r="P10" s="39">
        <f>IF($L10&lt;&gt;1,0,SUMIFS('JLR Materials'!$G$2:$G$20001,'JLR Materials'!$A$2:$A$20001,$K10,'JLR Materials'!$C$2:$C$20001,IF(Settings!$B$2="","&lt;&gt;",Settings!$B$2),'JLR Materials'!$D$2:$D$20001,IF(Settings!$B$4="","&lt;&gt;",Settings!$B$4)))</f>
        <v>0</v>
      </c>
      <c r="Q10" s="40" t="s">
        <v>1404</v>
      </c>
      <c r="R10" s="40" t="s">
        <v>1382</v>
      </c>
    </row>
    <row r="11" spans="1:18" x14ac:dyDescent="0.25">
      <c r="A11" s="32" t="s">
        <v>285</v>
      </c>
      <c r="B11" s="33" t="s">
        <v>1405</v>
      </c>
      <c r="C11" s="33" t="s">
        <v>1378</v>
      </c>
      <c r="D11" s="34">
        <f>IF($M11&gt;0,$M11,3.49)</f>
        <v>3.49</v>
      </c>
      <c r="E11" s="34">
        <f>IF($O11&gt;0,$O11,0.54)</f>
        <v>0.54</v>
      </c>
      <c r="F11" s="35">
        <v>2700</v>
      </c>
      <c r="G11" s="33" t="s">
        <v>1379</v>
      </c>
      <c r="H11" s="36" t="str">
        <f>IF($M11&gt;0,IF($L11&lt;&gt;1,$R11,IFERROR(INDEX('JLR Materials'!$D$2:$D$20001,MATCH($K11,'JLR Materials'!$A$2:$A$20001,0)),$R11)),$R11)</f>
        <v>2026-09</v>
      </c>
      <c r="I11" s="36" t="str">
        <f>IF($M11&gt;0,"JLR rate card — material code "&amp;$K11,$Q11)</f>
        <v>Index-anchored 2026-07 refresh. Structural 6xxx machining bar/plate — brackets, jigs, structural parts. | Refresh 2026-09: −£0.060/kg from 0.97kg al £2.910→£2.849/kg; premiums held</v>
      </c>
      <c r="J11" s="33" t="s">
        <v>1380</v>
      </c>
      <c r="K11" s="37" t="str">
        <f>IFERROR(INDEX(Mapping!$C$2:$C$549,MATCH($A11,Mapping!$A$2:$A$549,0)),"")</f>
        <v/>
      </c>
      <c r="L11" s="37">
        <f>IF($K11="",0,COUNTIFS('JLR Materials'!$A$2:$A$20001,$K11,'JLR Materials'!$C$2:$C$20001,IF(Settings!$B$2="","&lt;&gt;",Settings!$B$2),'JLR Materials'!$D$2:$D$20001,IF(Settings!$B$4="","&lt;&gt;",Settings!$B$4)))</f>
        <v>0</v>
      </c>
      <c r="M11" s="38">
        <f>IF($L11&lt;&gt;1,0,SUMIFS('JLR Materials'!$E$2:$E$20001,'JLR Materials'!$A$2:$A$20001,$K11,'JLR Materials'!$C$2:$C$20001,IF(Settings!$B$2="","&lt;&gt;",Settings!$B$2),'JLR Materials'!$D$2:$D$20001,IF(Settings!$B$4="","&lt;&gt;",Settings!$B$4)))</f>
        <v>0</v>
      </c>
      <c r="N11" s="39">
        <f>IF($L11&lt;&gt;1,0,SUMIFS('JLR Materials'!$F$2:$F$20001,'JLR Materials'!$A$2:$A$20001,$K11,'JLR Materials'!$C$2:$C$20001,IF(Settings!$B$2="","&lt;&gt;",Settings!$B$2),'JLR Materials'!$D$2:$D$20001,IF(Settings!$B$4="","&lt;&gt;",Settings!$B$4)))</f>
        <v>0</v>
      </c>
      <c r="O11" s="38">
        <f>IF($N11=0,0,IF(Settings!$B$5="percent",$M11*$N11/100,$N11))</f>
        <v>0</v>
      </c>
      <c r="P11" s="39">
        <f>IF($L11&lt;&gt;1,0,SUMIFS('JLR Materials'!$G$2:$G$20001,'JLR Materials'!$A$2:$A$20001,$K11,'JLR Materials'!$C$2:$C$20001,IF(Settings!$B$2="","&lt;&gt;",Settings!$B$2),'JLR Materials'!$D$2:$D$20001,IF(Settings!$B$4="","&lt;&gt;",Settings!$B$4)))</f>
        <v>0</v>
      </c>
      <c r="Q11" s="40" t="s">
        <v>1406</v>
      </c>
      <c r="R11" s="40" t="s">
        <v>1382</v>
      </c>
    </row>
    <row r="12" spans="1:18" x14ac:dyDescent="0.25">
      <c r="A12" s="32" t="s">
        <v>287</v>
      </c>
      <c r="B12" s="33" t="s">
        <v>1407</v>
      </c>
      <c r="C12" s="33" t="s">
        <v>1378</v>
      </c>
      <c r="D12" s="34">
        <f>IF($M12&gt;0,$M12,3.93)</f>
        <v>3.93</v>
      </c>
      <c r="E12" s="34">
        <f>IF($O12&gt;0,$O12,0.55)</f>
        <v>0.55</v>
      </c>
      <c r="F12" s="35">
        <v>2830</v>
      </c>
      <c r="G12" s="33" t="s">
        <v>1379</v>
      </c>
      <c r="H12" s="36" t="str">
        <f>IF($M12&gt;0,IF($L12&lt;&gt;1,$R12,IFERROR(INDEX('JLR Materials'!$D$2:$D$20001,MATCH($K12,'JLR Materials'!$A$2:$A$20001,0)),$R12)),$R12)</f>
        <v>2026-09</v>
      </c>
      <c r="I12" s="36" t="str">
        <f>IF($M12&gt;0,"JLR rate card — material code "&amp;$K12,$Q12)</f>
        <v>Index-anchored 2026-07 refresh. Free-machining Al-Cu-Pb — high-speed screw-machine parts, fittings. | Refresh 2026-09: −£0.022/kg from 0.93kg al £2.910→£2.849/kg, 0.05kg cu £10.070→£10.768/kg; premiums held</v>
      </c>
      <c r="J12" s="33" t="s">
        <v>1393</v>
      </c>
      <c r="K12" s="37" t="str">
        <f>IFERROR(INDEX(Mapping!$C$2:$C$549,MATCH($A12,Mapping!$A$2:$A$549,0)),"")</f>
        <v/>
      </c>
      <c r="L12" s="37">
        <f>IF($K12="",0,COUNTIFS('JLR Materials'!$A$2:$A$20001,$K12,'JLR Materials'!$C$2:$C$20001,IF(Settings!$B$2="","&lt;&gt;",Settings!$B$2),'JLR Materials'!$D$2:$D$20001,IF(Settings!$B$4="","&lt;&gt;",Settings!$B$4)))</f>
        <v>0</v>
      </c>
      <c r="M12" s="38">
        <f>IF($L12&lt;&gt;1,0,SUMIFS('JLR Materials'!$E$2:$E$20001,'JLR Materials'!$A$2:$A$20001,$K12,'JLR Materials'!$C$2:$C$20001,IF(Settings!$B$2="","&lt;&gt;",Settings!$B$2),'JLR Materials'!$D$2:$D$20001,IF(Settings!$B$4="","&lt;&gt;",Settings!$B$4)))</f>
        <v>0</v>
      </c>
      <c r="N12" s="39">
        <f>IF($L12&lt;&gt;1,0,SUMIFS('JLR Materials'!$F$2:$F$20001,'JLR Materials'!$A$2:$A$20001,$K12,'JLR Materials'!$C$2:$C$20001,IF(Settings!$B$2="","&lt;&gt;",Settings!$B$2),'JLR Materials'!$D$2:$D$20001,IF(Settings!$B$4="","&lt;&gt;",Settings!$B$4)))</f>
        <v>0</v>
      </c>
      <c r="O12" s="38">
        <f>IF($N12=0,0,IF(Settings!$B$5="percent",$M12*$N12/100,$N12))</f>
        <v>0</v>
      </c>
      <c r="P12" s="39">
        <f>IF($L12&lt;&gt;1,0,SUMIFS('JLR Materials'!$G$2:$G$20001,'JLR Materials'!$A$2:$A$20001,$K12,'JLR Materials'!$C$2:$C$20001,IF(Settings!$B$2="","&lt;&gt;",Settings!$B$2),'JLR Materials'!$D$2:$D$20001,IF(Settings!$B$4="","&lt;&gt;",Settings!$B$4)))</f>
        <v>0</v>
      </c>
      <c r="Q12" s="40" t="s">
        <v>1408</v>
      </c>
      <c r="R12" s="40" t="s">
        <v>1382</v>
      </c>
    </row>
    <row r="13" spans="1:18" x14ac:dyDescent="0.25">
      <c r="A13" s="32" t="s">
        <v>289</v>
      </c>
      <c r="B13" s="33" t="s">
        <v>1409</v>
      </c>
      <c r="C13" s="33" t="s">
        <v>1410</v>
      </c>
      <c r="D13" s="34">
        <f>IF($M13&gt;0,$M13,7.7)</f>
        <v>7.7</v>
      </c>
      <c r="E13" s="34">
        <f>IF($O13&gt;0,$O13,3.3)</f>
        <v>3.3</v>
      </c>
      <c r="F13" s="35">
        <v>8490</v>
      </c>
      <c r="G13" s="33" t="s">
        <v>1379</v>
      </c>
      <c r="H13" s="36" t="str">
        <f>IF($M13&gt;0,IF($L13&lt;&gt;1,$R13,IFERROR(INDEX('JLR Materials'!$D$2:$D$20001,MATCH($K13,'JLR Materials'!$A$2:$A$20001,0)),$R13)),$R13)</f>
        <v>2026-09</v>
      </c>
      <c r="I13" s="36" t="str">
        <f>IF($M13&gt;0,"JLR rate card — material code "&amp;$K13,$Q13)</f>
        <v>Index-anchored 2026-07 refresh. Standard free-machining brass bar — fittings, valve parts, connectors. | Refresh 2026-09: +£0.697/kg from 0.58kg cu £10.070→£10.768/kg, 0.39kg zn £2.164→£2.913/kg, 0.03kg pb £1.442→£1.438/kg; premiums held</v>
      </c>
      <c r="J13" s="33" t="s">
        <v>1393</v>
      </c>
      <c r="K13" s="37" t="str">
        <f>IFERROR(INDEX(Mapping!$C$2:$C$549,MATCH($A13,Mapping!$A$2:$A$549,0)),"")</f>
        <v/>
      </c>
      <c r="L13" s="37">
        <f>IF($K13="",0,COUNTIFS('JLR Materials'!$A$2:$A$20001,$K13,'JLR Materials'!$C$2:$C$20001,IF(Settings!$B$2="","&lt;&gt;",Settings!$B$2),'JLR Materials'!$D$2:$D$20001,IF(Settings!$B$4="","&lt;&gt;",Settings!$B$4)))</f>
        <v>0</v>
      </c>
      <c r="M13" s="38">
        <f>IF($L13&lt;&gt;1,0,SUMIFS('JLR Materials'!$E$2:$E$20001,'JLR Materials'!$A$2:$A$20001,$K13,'JLR Materials'!$C$2:$C$20001,IF(Settings!$B$2="","&lt;&gt;",Settings!$B$2),'JLR Materials'!$D$2:$D$20001,IF(Settings!$B$4="","&lt;&gt;",Settings!$B$4)))</f>
        <v>0</v>
      </c>
      <c r="N13" s="39">
        <f>IF($L13&lt;&gt;1,0,SUMIFS('JLR Materials'!$F$2:$F$20001,'JLR Materials'!$A$2:$A$20001,$K13,'JLR Materials'!$C$2:$C$20001,IF(Settings!$B$2="","&lt;&gt;",Settings!$B$2),'JLR Materials'!$D$2:$D$20001,IF(Settings!$B$4="","&lt;&gt;",Settings!$B$4)))</f>
        <v>0</v>
      </c>
      <c r="O13" s="38">
        <f>IF($N13=0,0,IF(Settings!$B$5="percent",$M13*$N13/100,$N13))</f>
        <v>0</v>
      </c>
      <c r="P13" s="39">
        <f>IF($L13&lt;&gt;1,0,SUMIFS('JLR Materials'!$G$2:$G$20001,'JLR Materials'!$A$2:$A$20001,$K13,'JLR Materials'!$C$2:$C$20001,IF(Settings!$B$2="","&lt;&gt;",Settings!$B$2),'JLR Materials'!$D$2:$D$20001,IF(Settings!$B$4="","&lt;&gt;",Settings!$B$4)))</f>
        <v>0</v>
      </c>
      <c r="Q13" s="40" t="s">
        <v>1411</v>
      </c>
      <c r="R13" s="40" t="s">
        <v>1382</v>
      </c>
    </row>
    <row r="14" spans="1:18" x14ac:dyDescent="0.25">
      <c r="A14" s="32" t="s">
        <v>291</v>
      </c>
      <c r="B14" s="33" t="s">
        <v>1412</v>
      </c>
      <c r="C14" s="33" t="s">
        <v>1410</v>
      </c>
      <c r="D14" s="34">
        <f>IF($M14&gt;0,$M14,13.91)</f>
        <v>13.91</v>
      </c>
      <c r="E14" s="34">
        <f>IF($O14&gt;0,$O14,4.23)</f>
        <v>4.23</v>
      </c>
      <c r="F14" s="35">
        <v>8800</v>
      </c>
      <c r="G14" s="33" t="s">
        <v>1379</v>
      </c>
      <c r="H14" s="36" t="str">
        <f>IF($M14&gt;0,IF($L14&lt;&gt;1,$R14,IFERROR(INDEX('JLR Materials'!$D$2:$D$20001,MATCH($K14,'JLR Materials'!$A$2:$A$20001,0)),$R14)),$R14)</f>
        <v>2026-09</v>
      </c>
      <c r="I14" s="36" t="str">
        <f>IF($M14&gt;0,"JLR rate card — material code "&amp;$K14,$Q14)</f>
        <v>Index-anchored 2026-07 refresh. Phosphor bronze bar — bearings, bushes, worm wheels, high-load sliding. | Refresh 2026-09: +£4.710/kg from 0.89kg cu £10.070→£10.768/kg, 0.105kg sn £38.211→£41.201/kg, floored at commodity content £13.91/kg (previous level was below the metal it contains); premiums held</v>
      </c>
      <c r="J14" s="33" t="s">
        <v>1393</v>
      </c>
      <c r="K14" s="37" t="str">
        <f>IFERROR(INDEX(Mapping!$C$2:$C$549,MATCH($A14,Mapping!$A$2:$A$549,0)),"")</f>
        <v/>
      </c>
      <c r="L14" s="37">
        <f>IF($K14="",0,COUNTIFS('JLR Materials'!$A$2:$A$20001,$K14,'JLR Materials'!$C$2:$C$20001,IF(Settings!$B$2="","&lt;&gt;",Settings!$B$2),'JLR Materials'!$D$2:$D$20001,IF(Settings!$B$4="","&lt;&gt;",Settings!$B$4)))</f>
        <v>0</v>
      </c>
      <c r="M14" s="38">
        <f>IF($L14&lt;&gt;1,0,SUMIFS('JLR Materials'!$E$2:$E$20001,'JLR Materials'!$A$2:$A$20001,$K14,'JLR Materials'!$C$2:$C$20001,IF(Settings!$B$2="","&lt;&gt;",Settings!$B$2),'JLR Materials'!$D$2:$D$20001,IF(Settings!$B$4="","&lt;&gt;",Settings!$B$4)))</f>
        <v>0</v>
      </c>
      <c r="N14" s="39">
        <f>IF($L14&lt;&gt;1,0,SUMIFS('JLR Materials'!$F$2:$F$20001,'JLR Materials'!$A$2:$A$20001,$K14,'JLR Materials'!$C$2:$C$20001,IF(Settings!$B$2="","&lt;&gt;",Settings!$B$2),'JLR Materials'!$D$2:$D$20001,IF(Settings!$B$4="","&lt;&gt;",Settings!$B$4)))</f>
        <v>0</v>
      </c>
      <c r="O14" s="38">
        <f>IF($N14=0,0,IF(Settings!$B$5="percent",$M14*$N14/100,$N14))</f>
        <v>0</v>
      </c>
      <c r="P14" s="39">
        <f>IF($L14&lt;&gt;1,0,SUMIFS('JLR Materials'!$G$2:$G$20001,'JLR Materials'!$A$2:$A$20001,$K14,'JLR Materials'!$C$2:$C$20001,IF(Settings!$B$2="","&lt;&gt;",Settings!$B$2),'JLR Materials'!$D$2:$D$20001,IF(Settings!$B$4="","&lt;&gt;",Settings!$B$4)))</f>
        <v>0</v>
      </c>
      <c r="Q14" s="40" t="s">
        <v>1413</v>
      </c>
      <c r="R14" s="40" t="s">
        <v>1382</v>
      </c>
    </row>
    <row r="15" spans="1:18" x14ac:dyDescent="0.25">
      <c r="A15" s="32" t="s">
        <v>293</v>
      </c>
      <c r="B15" s="33" t="s">
        <v>1414</v>
      </c>
      <c r="C15" s="33" t="s">
        <v>1415</v>
      </c>
      <c r="D15" s="34">
        <f>IF($M15&gt;0,$M15,3.1)</f>
        <v>3.1</v>
      </c>
      <c r="E15" s="34">
        <f>IF($O15&gt;0,$O15,0.1)</f>
        <v>0.1</v>
      </c>
      <c r="F15" s="35">
        <v>1410</v>
      </c>
      <c r="G15" s="33" t="s">
        <v>1379</v>
      </c>
      <c r="H15" s="36" t="str">
        <f>IF($M15&gt;0,IF($L15&lt;&gt;1,$R15,IFERROR(INDEX('JLR Materials'!$D$2:$D$20001,MATCH($K15,'JLR Materials'!$A$2:$A$20001,0)),$R15)),$R15)</f>
        <v>2026-09</v>
      </c>
      <c r="I15" s="36" t="str">
        <f>IF($M15&gt;0,"JLR rate card — material code "&amp;$K15,$Q15)</f>
        <v>Index-anchored 2026-07. Acetal copolymer rod/sheet — precision gears, bushes, manifolds; excellent machinability. | Refresh 2026-09: NOT SOURCED — pom: Not sourced this period: engineering resin prices are paywalled (PIE/ICIS). Direction only: PC rising through Aug 2026, PA6 rebounding, PA66 under pressure, PET declining — no like-for-like June→Sep figures. Held at the June 2026 price.</v>
      </c>
      <c r="J15" s="33" t="s">
        <v>1380</v>
      </c>
      <c r="K15" s="37" t="str">
        <f>IFERROR(INDEX(Mapping!$C$2:$C$549,MATCH($A15,Mapping!$A$2:$A$549,0)),"")</f>
        <v/>
      </c>
      <c r="L15" s="37">
        <f>IF($K15="",0,COUNTIFS('JLR Materials'!$A$2:$A$20001,$K15,'JLR Materials'!$C$2:$C$20001,IF(Settings!$B$2="","&lt;&gt;",Settings!$B$2),'JLR Materials'!$D$2:$D$20001,IF(Settings!$B$4="","&lt;&gt;",Settings!$B$4)))</f>
        <v>0</v>
      </c>
      <c r="M15" s="38">
        <f>IF($L15&lt;&gt;1,0,SUMIFS('JLR Materials'!$E$2:$E$20001,'JLR Materials'!$A$2:$A$20001,$K15,'JLR Materials'!$C$2:$C$20001,IF(Settings!$B$2="","&lt;&gt;",Settings!$B$2),'JLR Materials'!$D$2:$D$20001,IF(Settings!$B$4="","&lt;&gt;",Settings!$B$4)))</f>
        <v>0</v>
      </c>
      <c r="N15" s="39">
        <f>IF($L15&lt;&gt;1,0,SUMIFS('JLR Materials'!$F$2:$F$20001,'JLR Materials'!$A$2:$A$20001,$K15,'JLR Materials'!$C$2:$C$20001,IF(Settings!$B$2="","&lt;&gt;",Settings!$B$2),'JLR Materials'!$D$2:$D$20001,IF(Settings!$B$4="","&lt;&gt;",Settings!$B$4)))</f>
        <v>0</v>
      </c>
      <c r="O15" s="38">
        <f>IF($N15=0,0,IF(Settings!$B$5="percent",$M15*$N15/100,$N15))</f>
        <v>0</v>
      </c>
      <c r="P15" s="39">
        <f>IF($L15&lt;&gt;1,0,SUMIFS('JLR Materials'!$G$2:$G$20001,'JLR Materials'!$A$2:$A$20001,$K15,'JLR Materials'!$C$2:$C$20001,IF(Settings!$B$2="","&lt;&gt;",Settings!$B$2),'JLR Materials'!$D$2:$D$20001,IF(Settings!$B$4="","&lt;&gt;",Settings!$B$4)))</f>
        <v>0</v>
      </c>
      <c r="Q15" s="40" t="s">
        <v>1416</v>
      </c>
      <c r="R15" s="40" t="s">
        <v>1382</v>
      </c>
    </row>
    <row r="16" spans="1:18" x14ac:dyDescent="0.25">
      <c r="A16" s="32" t="s">
        <v>295</v>
      </c>
      <c r="B16" s="33" t="s">
        <v>1417</v>
      </c>
      <c r="C16" s="33" t="s">
        <v>1415</v>
      </c>
      <c r="D16" s="34">
        <f>IF($M16&gt;0,$M16,4.2)</f>
        <v>4.2</v>
      </c>
      <c r="E16" s="34">
        <f>IF($O16&gt;0,$O16,0.1)</f>
        <v>0.1</v>
      </c>
      <c r="F16" s="35">
        <v>1150</v>
      </c>
      <c r="G16" s="33" t="s">
        <v>1379</v>
      </c>
      <c r="H16" s="36" t="str">
        <f>IF($M16&gt;0,IF($L16&lt;&gt;1,$R16,IFERROR(INDEX('JLR Materials'!$D$2:$D$20001,MATCH($K16,'JLR Materials'!$A$2:$A$20001,0)),$R16)),$R16)</f>
        <v>2026-09</v>
      </c>
      <c r="I16" s="36" t="str">
        <f>IF($M16&gt;0,"JLR rate card — material code "&amp;$K16,$Q16)</f>
        <v>Index-anchored 2026-07. Cast nylon rod/slab — wear pads, sprockets, rollers, guide rails. | Refresh 2026-09: NOT SOURCED — pa6: Not sourced this period: engineering resin prices are paywalled (PIE/ICIS). Direction only: PC rising through Aug 2026, PA6 rebounding, PA66 under pressure, PET declining — no like-for-like June→Sep figures. Held at the June 2026 price.</v>
      </c>
      <c r="J16" s="33" t="s">
        <v>1380</v>
      </c>
      <c r="K16" s="37" t="str">
        <f>IFERROR(INDEX(Mapping!$C$2:$C$549,MATCH($A16,Mapping!$A$2:$A$549,0)),"")</f>
        <v/>
      </c>
      <c r="L16" s="37">
        <f>IF($K16="",0,COUNTIFS('JLR Materials'!$A$2:$A$20001,$K16,'JLR Materials'!$C$2:$C$20001,IF(Settings!$B$2="","&lt;&gt;",Settings!$B$2),'JLR Materials'!$D$2:$D$20001,IF(Settings!$B$4="","&lt;&gt;",Settings!$B$4)))</f>
        <v>0</v>
      </c>
      <c r="M16" s="38">
        <f>IF($L16&lt;&gt;1,0,SUMIFS('JLR Materials'!$E$2:$E$20001,'JLR Materials'!$A$2:$A$20001,$K16,'JLR Materials'!$C$2:$C$20001,IF(Settings!$B$2="","&lt;&gt;",Settings!$B$2),'JLR Materials'!$D$2:$D$20001,IF(Settings!$B$4="","&lt;&gt;",Settings!$B$4)))</f>
        <v>0</v>
      </c>
      <c r="N16" s="39">
        <f>IF($L16&lt;&gt;1,0,SUMIFS('JLR Materials'!$F$2:$F$20001,'JLR Materials'!$A$2:$A$20001,$K16,'JLR Materials'!$C$2:$C$20001,IF(Settings!$B$2="","&lt;&gt;",Settings!$B$2),'JLR Materials'!$D$2:$D$20001,IF(Settings!$B$4="","&lt;&gt;",Settings!$B$4)))</f>
        <v>0</v>
      </c>
      <c r="O16" s="38">
        <f>IF($N16=0,0,IF(Settings!$B$5="percent",$M16*$N16/100,$N16))</f>
        <v>0</v>
      </c>
      <c r="P16" s="39">
        <f>IF($L16&lt;&gt;1,0,SUMIFS('JLR Materials'!$G$2:$G$20001,'JLR Materials'!$A$2:$A$20001,$K16,'JLR Materials'!$C$2:$C$20001,IF(Settings!$B$2="","&lt;&gt;",Settings!$B$2),'JLR Materials'!$D$2:$D$20001,IF(Settings!$B$4="","&lt;&gt;",Settings!$B$4)))</f>
        <v>0</v>
      </c>
      <c r="Q16" s="40" t="s">
        <v>1418</v>
      </c>
      <c r="R16" s="40" t="s">
        <v>1382</v>
      </c>
    </row>
    <row r="17" spans="1:18" x14ac:dyDescent="0.25">
      <c r="A17" s="32" t="s">
        <v>297</v>
      </c>
      <c r="B17" s="33" t="s">
        <v>1419</v>
      </c>
      <c r="C17" s="33" t="s">
        <v>1415</v>
      </c>
      <c r="D17" s="34">
        <f>IF($M17&gt;0,$M17,12.5)</f>
        <v>12.5</v>
      </c>
      <c r="E17" s="34">
        <f>IF($O17&gt;0,$O17,0.2)</f>
        <v>0.2</v>
      </c>
      <c r="F17" s="35">
        <v>2170</v>
      </c>
      <c r="G17" s="33" t="s">
        <v>1379</v>
      </c>
      <c r="H17" s="36" t="str">
        <f>IF($M17&gt;0,IF($L17&lt;&gt;1,$R17,IFERROR(INDEX('JLR Materials'!$D$2:$D$20001,MATCH($K17,'JLR Materials'!$A$2:$A$20001,0)),$R17)),$R17)</f>
        <v>2026-09</v>
      </c>
      <c r="I17" s="36" t="str">
        <f>IF($M17&gt;0,"JLR rate card — material code "&amp;$K17,$Q17)</f>
        <v>Index-anchored 2026-07. Virgin PTFE rod/sheet — seals, insulators, chemical/low-friction parts. | Refresh 2026-09: SPECIALTY — no public market index for this grade; held at the June 2026 price — refresh by supplier quote</v>
      </c>
      <c r="J17" s="33" t="s">
        <v>1393</v>
      </c>
      <c r="K17" s="37" t="str">
        <f>IFERROR(INDEX(Mapping!$C$2:$C$549,MATCH($A17,Mapping!$A$2:$A$549,0)),"")</f>
        <v/>
      </c>
      <c r="L17" s="37">
        <f>IF($K17="",0,COUNTIFS('JLR Materials'!$A$2:$A$20001,$K17,'JLR Materials'!$C$2:$C$20001,IF(Settings!$B$2="","&lt;&gt;",Settings!$B$2),'JLR Materials'!$D$2:$D$20001,IF(Settings!$B$4="","&lt;&gt;",Settings!$B$4)))</f>
        <v>0</v>
      </c>
      <c r="M17" s="38">
        <f>IF($L17&lt;&gt;1,0,SUMIFS('JLR Materials'!$E$2:$E$20001,'JLR Materials'!$A$2:$A$20001,$K17,'JLR Materials'!$C$2:$C$20001,IF(Settings!$B$2="","&lt;&gt;",Settings!$B$2),'JLR Materials'!$D$2:$D$20001,IF(Settings!$B$4="","&lt;&gt;",Settings!$B$4)))</f>
        <v>0</v>
      </c>
      <c r="N17" s="39">
        <f>IF($L17&lt;&gt;1,0,SUMIFS('JLR Materials'!$F$2:$F$20001,'JLR Materials'!$A$2:$A$20001,$K17,'JLR Materials'!$C$2:$C$20001,IF(Settings!$B$2="","&lt;&gt;",Settings!$B$2),'JLR Materials'!$D$2:$D$20001,IF(Settings!$B$4="","&lt;&gt;",Settings!$B$4)))</f>
        <v>0</v>
      </c>
      <c r="O17" s="38">
        <f>IF($N17=0,0,IF(Settings!$B$5="percent",$M17*$N17/100,$N17))</f>
        <v>0</v>
      </c>
      <c r="P17" s="39">
        <f>IF($L17&lt;&gt;1,0,SUMIFS('JLR Materials'!$G$2:$G$20001,'JLR Materials'!$A$2:$A$20001,$K17,'JLR Materials'!$C$2:$C$20001,IF(Settings!$B$2="","&lt;&gt;",Settings!$B$2),'JLR Materials'!$D$2:$D$20001,IF(Settings!$B$4="","&lt;&gt;",Settings!$B$4)))</f>
        <v>0</v>
      </c>
      <c r="Q17" s="40" t="s">
        <v>1420</v>
      </c>
      <c r="R17" s="40" t="s">
        <v>1382</v>
      </c>
    </row>
    <row r="18" spans="1:18" x14ac:dyDescent="0.25">
      <c r="A18" s="32" t="s">
        <v>299</v>
      </c>
      <c r="B18" s="33" t="s">
        <v>1421</v>
      </c>
      <c r="C18" s="33" t="s">
        <v>1415</v>
      </c>
      <c r="D18" s="34">
        <f>IF($M18&gt;0,$M18,95)</f>
        <v>95</v>
      </c>
      <c r="E18" s="34">
        <f>IF($O18&gt;0,$O18,0.5)</f>
        <v>0.5</v>
      </c>
      <c r="F18" s="35">
        <v>1300</v>
      </c>
      <c r="G18" s="33" t="s">
        <v>1379</v>
      </c>
      <c r="H18" s="36" t="str">
        <f>IF($M18&gt;0,IF($L18&lt;&gt;1,$R18,IFERROR(INDEX('JLR Materials'!$D$2:$D$20001,MATCH($K18,'JLR Materials'!$A$2:$A$20001,0)),$R18)),$R18)</f>
        <v>2026-09</v>
      </c>
      <c r="I18" s="36" t="str">
        <f>IF($M18&gt;0,"JLR rate card — material code "&amp;$K18,$Q18)</f>
        <v>Index-anchored 2026-07. Unfilled PEEK rod/plate — high-temp/chemical machined parts, medical, aerospace. | Refresh 2026-09: SPECIALTY — no public market index for this grade; held at the June 2026 price — refresh by supplier quote</v>
      </c>
      <c r="J18" s="33" t="s">
        <v>1393</v>
      </c>
      <c r="K18" s="37" t="str">
        <f>IFERROR(INDEX(Mapping!$C$2:$C$549,MATCH($A18,Mapping!$A$2:$A$549,0)),"")</f>
        <v/>
      </c>
      <c r="L18" s="37">
        <f>IF($K18="",0,COUNTIFS('JLR Materials'!$A$2:$A$20001,$K18,'JLR Materials'!$C$2:$C$20001,IF(Settings!$B$2="","&lt;&gt;",Settings!$B$2),'JLR Materials'!$D$2:$D$20001,IF(Settings!$B$4="","&lt;&gt;",Settings!$B$4)))</f>
        <v>0</v>
      </c>
      <c r="M18" s="38">
        <f>IF($L18&lt;&gt;1,0,SUMIFS('JLR Materials'!$E$2:$E$20001,'JLR Materials'!$A$2:$A$20001,$K18,'JLR Materials'!$C$2:$C$20001,IF(Settings!$B$2="","&lt;&gt;",Settings!$B$2),'JLR Materials'!$D$2:$D$20001,IF(Settings!$B$4="","&lt;&gt;",Settings!$B$4)))</f>
        <v>0</v>
      </c>
      <c r="N18" s="39">
        <f>IF($L18&lt;&gt;1,0,SUMIFS('JLR Materials'!$F$2:$F$20001,'JLR Materials'!$A$2:$A$20001,$K18,'JLR Materials'!$C$2:$C$20001,IF(Settings!$B$2="","&lt;&gt;",Settings!$B$2),'JLR Materials'!$D$2:$D$20001,IF(Settings!$B$4="","&lt;&gt;",Settings!$B$4)))</f>
        <v>0</v>
      </c>
      <c r="O18" s="38">
        <f>IF($N18=0,0,IF(Settings!$B$5="percent",$M18*$N18/100,$N18))</f>
        <v>0</v>
      </c>
      <c r="P18" s="39">
        <f>IF($L18&lt;&gt;1,0,SUMIFS('JLR Materials'!$G$2:$G$20001,'JLR Materials'!$A$2:$A$20001,$K18,'JLR Materials'!$C$2:$C$20001,IF(Settings!$B$2="","&lt;&gt;",Settings!$B$2),'JLR Materials'!$D$2:$D$20001,IF(Settings!$B$4="","&lt;&gt;",Settings!$B$4)))</f>
        <v>0</v>
      </c>
      <c r="Q18" s="40" t="s">
        <v>1422</v>
      </c>
      <c r="R18" s="40" t="s">
        <v>1382</v>
      </c>
    </row>
    <row r="19" spans="1:18" x14ac:dyDescent="0.25">
      <c r="A19" s="32" t="s">
        <v>301</v>
      </c>
      <c r="B19" s="33" t="s">
        <v>1423</v>
      </c>
      <c r="C19" s="33" t="s">
        <v>1415</v>
      </c>
      <c r="D19" s="34">
        <f>IF($M19&gt;0,$M19,4.8)</f>
        <v>4.8</v>
      </c>
      <c r="E19" s="34">
        <f>IF($O19&gt;0,$O19,0.05)</f>
        <v>0.05</v>
      </c>
      <c r="F19" s="35">
        <v>1190</v>
      </c>
      <c r="G19" s="33" t="s">
        <v>1379</v>
      </c>
      <c r="H19" s="36" t="str">
        <f>IF($M19&gt;0,IF($L19&lt;&gt;1,$R19,IFERROR(INDEX('JLR Materials'!$D$2:$D$20001,MATCH($K19,'JLR Materials'!$A$2:$A$20001,0)),$R19)),$R19)</f>
        <v>2026-09</v>
      </c>
      <c r="I19" s="36" t="str">
        <f>IF($M19&gt;0,"JLR rate card — material code "&amp;$K19,$Q19)</f>
        <v>Index-anchored 2026-07. Cast acrylic sheet/rod — optical, signage, machined transparent parts. | Refresh 2026-09: NOT SOURCED — pmma: Not sourced this period: engineering resin prices are paywalled (PIE/ICIS). Direction only: PC rising through Aug 2026, PA6 rebounding, PA66 under pressure, PET declining — no like-for-like June→Sep figures. Held at the June 2026 price.</v>
      </c>
      <c r="J19" s="33" t="s">
        <v>1393</v>
      </c>
      <c r="K19" s="37" t="str">
        <f>IFERROR(INDEX(Mapping!$C$2:$C$549,MATCH($A19,Mapping!$A$2:$A$549,0)),"")</f>
        <v/>
      </c>
      <c r="L19" s="37">
        <f>IF($K19="",0,COUNTIFS('JLR Materials'!$A$2:$A$20001,$K19,'JLR Materials'!$C$2:$C$20001,IF(Settings!$B$2="","&lt;&gt;",Settings!$B$2),'JLR Materials'!$D$2:$D$20001,IF(Settings!$B$4="","&lt;&gt;",Settings!$B$4)))</f>
        <v>0</v>
      </c>
      <c r="M19" s="38">
        <f>IF($L19&lt;&gt;1,0,SUMIFS('JLR Materials'!$E$2:$E$20001,'JLR Materials'!$A$2:$A$20001,$K19,'JLR Materials'!$C$2:$C$20001,IF(Settings!$B$2="","&lt;&gt;",Settings!$B$2),'JLR Materials'!$D$2:$D$20001,IF(Settings!$B$4="","&lt;&gt;",Settings!$B$4)))</f>
        <v>0</v>
      </c>
      <c r="N19" s="39">
        <f>IF($L19&lt;&gt;1,0,SUMIFS('JLR Materials'!$F$2:$F$20001,'JLR Materials'!$A$2:$A$20001,$K19,'JLR Materials'!$C$2:$C$20001,IF(Settings!$B$2="","&lt;&gt;",Settings!$B$2),'JLR Materials'!$D$2:$D$20001,IF(Settings!$B$4="","&lt;&gt;",Settings!$B$4)))</f>
        <v>0</v>
      </c>
      <c r="O19" s="38">
        <f>IF($N19=0,0,IF(Settings!$B$5="percent",$M19*$N19/100,$N19))</f>
        <v>0</v>
      </c>
      <c r="P19" s="39">
        <f>IF($L19&lt;&gt;1,0,SUMIFS('JLR Materials'!$G$2:$G$20001,'JLR Materials'!$A$2:$A$20001,$K19,'JLR Materials'!$C$2:$C$20001,IF(Settings!$B$2="","&lt;&gt;",Settings!$B$2),'JLR Materials'!$D$2:$D$20001,IF(Settings!$B$4="","&lt;&gt;",Settings!$B$4)))</f>
        <v>0</v>
      </c>
      <c r="Q19" s="40" t="s">
        <v>1424</v>
      </c>
      <c r="R19" s="40" t="s">
        <v>1382</v>
      </c>
    </row>
    <row r="20" spans="1:18" x14ac:dyDescent="0.25">
      <c r="A20" s="32" t="s">
        <v>303</v>
      </c>
      <c r="B20" s="33" t="s">
        <v>1425</v>
      </c>
      <c r="C20" s="33" t="s">
        <v>1415</v>
      </c>
      <c r="D20" s="34">
        <f>IF($M20&gt;0,$M20,3.4)</f>
        <v>3.4</v>
      </c>
      <c r="E20" s="34">
        <f>IF($O20&gt;0,$O20,0.08)</f>
        <v>0.08</v>
      </c>
      <c r="F20" s="35">
        <v>940</v>
      </c>
      <c r="G20" s="33" t="s">
        <v>1379</v>
      </c>
      <c r="H20" s="36" t="str">
        <f>IF($M20&gt;0,IF($L20&lt;&gt;1,$R20,IFERROR(INDEX('JLR Materials'!$D$2:$D$20001,MATCH($K20,'JLR Materials'!$A$2:$A$20001,0)),$R20)),$R20)</f>
        <v>2026-09</v>
      </c>
      <c r="I20" s="36" t="str">
        <f>IF($M20&gt;0,"JLR rate card — material code "&amp;$K20,$Q20)</f>
        <v>Index-anchored 2026-07. Ultra-high-molecular-weight PE sheet — wear strips, chute liners, guides. | Refresh 2026-09: SPECIALTY — no public market index for this grade; held at the June 2026 price — refresh by supplier quote</v>
      </c>
      <c r="J20" s="33" t="s">
        <v>1393</v>
      </c>
      <c r="K20" s="37" t="str">
        <f>IFERROR(INDEX(Mapping!$C$2:$C$549,MATCH($A20,Mapping!$A$2:$A$549,0)),"")</f>
        <v/>
      </c>
      <c r="L20" s="37">
        <f>IF($K20="",0,COUNTIFS('JLR Materials'!$A$2:$A$20001,$K20,'JLR Materials'!$C$2:$C$20001,IF(Settings!$B$2="","&lt;&gt;",Settings!$B$2),'JLR Materials'!$D$2:$D$20001,IF(Settings!$B$4="","&lt;&gt;",Settings!$B$4)))</f>
        <v>0</v>
      </c>
      <c r="M20" s="38">
        <f>IF($L20&lt;&gt;1,0,SUMIFS('JLR Materials'!$E$2:$E$20001,'JLR Materials'!$A$2:$A$20001,$K20,'JLR Materials'!$C$2:$C$20001,IF(Settings!$B$2="","&lt;&gt;",Settings!$B$2),'JLR Materials'!$D$2:$D$20001,IF(Settings!$B$4="","&lt;&gt;",Settings!$B$4)))</f>
        <v>0</v>
      </c>
      <c r="N20" s="39">
        <f>IF($L20&lt;&gt;1,0,SUMIFS('JLR Materials'!$F$2:$F$20001,'JLR Materials'!$A$2:$A$20001,$K20,'JLR Materials'!$C$2:$C$20001,IF(Settings!$B$2="","&lt;&gt;",Settings!$B$2),'JLR Materials'!$D$2:$D$20001,IF(Settings!$B$4="","&lt;&gt;",Settings!$B$4)))</f>
        <v>0</v>
      </c>
      <c r="O20" s="38">
        <f>IF($N20=0,0,IF(Settings!$B$5="percent",$M20*$N20/100,$N20))</f>
        <v>0</v>
      </c>
      <c r="P20" s="39">
        <f>IF($L20&lt;&gt;1,0,SUMIFS('JLR Materials'!$G$2:$G$20001,'JLR Materials'!$A$2:$A$20001,$K20,'JLR Materials'!$C$2:$C$20001,IF(Settings!$B$2="","&lt;&gt;",Settings!$B$2),'JLR Materials'!$D$2:$D$20001,IF(Settings!$B$4="","&lt;&gt;",Settings!$B$4)))</f>
        <v>0</v>
      </c>
      <c r="Q20" s="40" t="s">
        <v>1426</v>
      </c>
      <c r="R20" s="40" t="s">
        <v>1382</v>
      </c>
    </row>
    <row r="21" spans="1:18" x14ac:dyDescent="0.25">
      <c r="A21" s="32" t="s">
        <v>305</v>
      </c>
      <c r="B21" s="33" t="s">
        <v>1427</v>
      </c>
      <c r="C21" s="33" t="s">
        <v>1428</v>
      </c>
      <c r="D21" s="34">
        <f>IF($M21&gt;0,$M21,0.91)</f>
        <v>0.91</v>
      </c>
      <c r="E21" s="34">
        <f>IF($O21&gt;0,$O21,0.21)</f>
        <v>0.21</v>
      </c>
      <c r="F21" s="35">
        <v>7850</v>
      </c>
      <c r="G21" s="33" t="s">
        <v>1379</v>
      </c>
      <c r="H21" s="36" t="str">
        <f>IF($M21&gt;0,IF($L21&lt;&gt;1,$R21,IFERROR(INDEX('JLR Materials'!$D$2:$D$20001,MATCH($K21,'JLR Materials'!$A$2:$A$20001,0)),$R21)),$R21)</f>
        <v>2026-09</v>
      </c>
      <c r="I21" s="36" t="str">
        <f>IF($M21&gt;0,"JLR rate card — material code "&amp;$K21,$Q21)</f>
        <v>UK CR mild sheet, delivered small-lot. Index-anchored: CRC €781/t → £0.67/kg mill + £0.19/kg stockholder premium. Basis: Fastmarkets EU HRC €691/t May-26 +€90 CRC, FX 0.855. Yield ~140 MPa. | Refresh 2026-09: +£0.049/kg from 1kg crc £0.668→£0.717/kg; premiums held</v>
      </c>
      <c r="J21" s="33" t="s">
        <v>1380</v>
      </c>
      <c r="K21" s="37" t="str">
        <f>IFERROR(INDEX(Mapping!$C$2:$C$549,MATCH($A21,Mapping!$A$2:$A$549,0)),"")</f>
        <v/>
      </c>
      <c r="L21" s="37">
        <f>IF($K21="",0,COUNTIFS('JLR Materials'!$A$2:$A$20001,$K21,'JLR Materials'!$C$2:$C$20001,IF(Settings!$B$2="","&lt;&gt;",Settings!$B$2),'JLR Materials'!$D$2:$D$20001,IF(Settings!$B$4="","&lt;&gt;",Settings!$B$4)))</f>
        <v>0</v>
      </c>
      <c r="M21" s="38">
        <f>IF($L21&lt;&gt;1,0,SUMIFS('JLR Materials'!$E$2:$E$20001,'JLR Materials'!$A$2:$A$20001,$K21,'JLR Materials'!$C$2:$C$20001,IF(Settings!$B$2="","&lt;&gt;",Settings!$B$2),'JLR Materials'!$D$2:$D$20001,IF(Settings!$B$4="","&lt;&gt;",Settings!$B$4)))</f>
        <v>0</v>
      </c>
      <c r="N21" s="39">
        <f>IF($L21&lt;&gt;1,0,SUMIFS('JLR Materials'!$F$2:$F$20001,'JLR Materials'!$A$2:$A$20001,$K21,'JLR Materials'!$C$2:$C$20001,IF(Settings!$B$2="","&lt;&gt;",Settings!$B$2),'JLR Materials'!$D$2:$D$20001,IF(Settings!$B$4="","&lt;&gt;",Settings!$B$4)))</f>
        <v>0</v>
      </c>
      <c r="O21" s="38">
        <f>IF($N21=0,0,IF(Settings!$B$5="percent",$M21*$N21/100,$N21))</f>
        <v>0</v>
      </c>
      <c r="P21" s="39">
        <f>IF($L21&lt;&gt;1,0,SUMIFS('JLR Materials'!$G$2:$G$20001,'JLR Materials'!$A$2:$A$20001,$K21,'JLR Materials'!$C$2:$C$20001,IF(Settings!$B$2="","&lt;&gt;",Settings!$B$2),'JLR Materials'!$D$2:$D$20001,IF(Settings!$B$4="","&lt;&gt;",Settings!$B$4)))</f>
        <v>0</v>
      </c>
      <c r="Q21" s="40" t="s">
        <v>1429</v>
      </c>
      <c r="R21" s="40" t="s">
        <v>1382</v>
      </c>
    </row>
    <row r="22" spans="1:18" x14ac:dyDescent="0.25">
      <c r="A22" s="32" t="s">
        <v>307</v>
      </c>
      <c r="B22" s="33" t="s">
        <v>1430</v>
      </c>
      <c r="C22" s="33" t="s">
        <v>1431</v>
      </c>
      <c r="D22" s="34">
        <f>IF($M22&gt;0,$M22,1.11)</f>
        <v>1.11</v>
      </c>
      <c r="E22" s="34">
        <f>IF($O22&gt;0,$O22,0.21)</f>
        <v>0.21</v>
      </c>
      <c r="F22" s="35">
        <v>7850</v>
      </c>
      <c r="G22" s="33" t="s">
        <v>1379</v>
      </c>
      <c r="H22" s="36" t="str">
        <f>IF($M22&gt;0,IF($L22&lt;&gt;1,$R22,IFERROR(INDEX('JLR Materials'!$D$2:$D$20001,MATCH($K22,'JLR Materials'!$A$2:$A$20001,0)),$R22)),$R22)</f>
        <v>2026-09</v>
      </c>
      <c r="I22" s="36" t="str">
        <f>IF($M22&gt;0,"JLR rate card — material code "&amp;$K22,$Q22)</f>
        <v>UK galv coil, BIW bodywork standard. Jun 2026 Index-anchored 2026-07 (see PRICING BASIS). | Refresh 2026-09: +£0.049/kg from 1kg hdg £0.668→£0.717/kg; premiums held</v>
      </c>
      <c r="J22" s="33" t="s">
        <v>1380</v>
      </c>
      <c r="K22" s="37" t="str">
        <f>IFERROR(INDEX(Mapping!$C$2:$C$549,MATCH($A22,Mapping!$A$2:$A$549,0)),"")</f>
        <v/>
      </c>
      <c r="L22" s="37">
        <f>IF($K22="",0,COUNTIFS('JLR Materials'!$A$2:$A$20001,$K22,'JLR Materials'!$C$2:$C$20001,IF(Settings!$B$2="","&lt;&gt;",Settings!$B$2),'JLR Materials'!$D$2:$D$20001,IF(Settings!$B$4="","&lt;&gt;",Settings!$B$4)))</f>
        <v>0</v>
      </c>
      <c r="M22" s="38">
        <f>IF($L22&lt;&gt;1,0,SUMIFS('JLR Materials'!$E$2:$E$20001,'JLR Materials'!$A$2:$A$20001,$K22,'JLR Materials'!$C$2:$C$20001,IF(Settings!$B$2="","&lt;&gt;",Settings!$B$2),'JLR Materials'!$D$2:$D$20001,IF(Settings!$B$4="","&lt;&gt;",Settings!$B$4)))</f>
        <v>0</v>
      </c>
      <c r="N22" s="39">
        <f>IF($L22&lt;&gt;1,0,SUMIFS('JLR Materials'!$F$2:$F$20001,'JLR Materials'!$A$2:$A$20001,$K22,'JLR Materials'!$C$2:$C$20001,IF(Settings!$B$2="","&lt;&gt;",Settings!$B$2),'JLR Materials'!$D$2:$D$20001,IF(Settings!$B$4="","&lt;&gt;",Settings!$B$4)))</f>
        <v>0</v>
      </c>
      <c r="O22" s="38">
        <f>IF($N22=0,0,IF(Settings!$B$5="percent",$M22*$N22/100,$N22))</f>
        <v>0</v>
      </c>
      <c r="P22" s="39">
        <f>IF($L22&lt;&gt;1,0,SUMIFS('JLR Materials'!$G$2:$G$20001,'JLR Materials'!$A$2:$A$20001,$K22,'JLR Materials'!$C$2:$C$20001,IF(Settings!$B$2="","&lt;&gt;",Settings!$B$2),'JLR Materials'!$D$2:$D$20001,IF(Settings!$B$4="","&lt;&gt;",Settings!$B$4)))</f>
        <v>0</v>
      </c>
      <c r="Q22" s="40" t="s">
        <v>1432</v>
      </c>
      <c r="R22" s="40" t="s">
        <v>1382</v>
      </c>
    </row>
    <row r="23" spans="1:18" x14ac:dyDescent="0.25">
      <c r="A23" s="32" t="s">
        <v>309</v>
      </c>
      <c r="B23" s="33" t="s">
        <v>1433</v>
      </c>
      <c r="C23" s="33" t="s">
        <v>1431</v>
      </c>
      <c r="D23" s="34">
        <f>IF($M23&gt;0,$M23,1.15)</f>
        <v>1.15</v>
      </c>
      <c r="E23" s="34">
        <f>IF($O23&gt;0,$O23,0.21)</f>
        <v>0.21</v>
      </c>
      <c r="F23" s="35">
        <v>7850</v>
      </c>
      <c r="G23" s="33" t="s">
        <v>1379</v>
      </c>
      <c r="H23" s="36" t="str">
        <f>IF($M23&gt;0,IF($L23&lt;&gt;1,$R23,IFERROR(INDEX('JLR Materials'!$D$2:$D$20001,MATCH($K23,'JLR Materials'!$A$2:$A$20001,0)),$R23)),$R23)</f>
        <v>2026-09</v>
      </c>
      <c r="I23" s="36" t="str">
        <f>IF($M23&gt;0,"JLR rate card — material code "&amp;$K23,$Q23)</f>
        <v>UK galvannealed coil, standard BIW inner panels. Jun 2026 Index-anchored 2026-07 (see PRICING BASIS). | Refresh 2026-09: +£0.049/kg from 1kg hdg £0.668→£0.717/kg; premiums held</v>
      </c>
      <c r="J23" s="33" t="s">
        <v>1380</v>
      </c>
      <c r="K23" s="37" t="str">
        <f>IFERROR(INDEX(Mapping!$C$2:$C$549,MATCH($A23,Mapping!$A$2:$A$549,0)),"")</f>
        <v/>
      </c>
      <c r="L23" s="37">
        <f>IF($K23="",0,COUNTIFS('JLR Materials'!$A$2:$A$20001,$K23,'JLR Materials'!$C$2:$C$20001,IF(Settings!$B$2="","&lt;&gt;",Settings!$B$2),'JLR Materials'!$D$2:$D$20001,IF(Settings!$B$4="","&lt;&gt;",Settings!$B$4)))</f>
        <v>0</v>
      </c>
      <c r="M23" s="38">
        <f>IF($L23&lt;&gt;1,0,SUMIFS('JLR Materials'!$E$2:$E$20001,'JLR Materials'!$A$2:$A$20001,$K23,'JLR Materials'!$C$2:$C$20001,IF(Settings!$B$2="","&lt;&gt;",Settings!$B$2),'JLR Materials'!$D$2:$D$20001,IF(Settings!$B$4="","&lt;&gt;",Settings!$B$4)))</f>
        <v>0</v>
      </c>
      <c r="N23" s="39">
        <f>IF($L23&lt;&gt;1,0,SUMIFS('JLR Materials'!$F$2:$F$20001,'JLR Materials'!$A$2:$A$20001,$K23,'JLR Materials'!$C$2:$C$20001,IF(Settings!$B$2="","&lt;&gt;",Settings!$B$2),'JLR Materials'!$D$2:$D$20001,IF(Settings!$B$4="","&lt;&gt;",Settings!$B$4)))</f>
        <v>0</v>
      </c>
      <c r="O23" s="38">
        <f>IF($N23=0,0,IF(Settings!$B$5="percent",$M23*$N23/100,$N23))</f>
        <v>0</v>
      </c>
      <c r="P23" s="39">
        <f>IF($L23&lt;&gt;1,0,SUMIFS('JLR Materials'!$G$2:$G$20001,'JLR Materials'!$A$2:$A$20001,$K23,'JLR Materials'!$C$2:$C$20001,IF(Settings!$B$2="","&lt;&gt;",Settings!$B$2),'JLR Materials'!$D$2:$D$20001,IF(Settings!$B$4="","&lt;&gt;",Settings!$B$4)))</f>
        <v>0</v>
      </c>
      <c r="Q23" s="40" t="s">
        <v>1434</v>
      </c>
      <c r="R23" s="40" t="s">
        <v>1382</v>
      </c>
    </row>
    <row r="24" spans="1:18" x14ac:dyDescent="0.25">
      <c r="A24" s="32" t="s">
        <v>311</v>
      </c>
      <c r="B24" s="33" t="s">
        <v>1435</v>
      </c>
      <c r="C24" s="33" t="s">
        <v>1436</v>
      </c>
      <c r="D24" s="34">
        <f>IF($M24&gt;0,$M24,1.3)</f>
        <v>1.3</v>
      </c>
      <c r="E24" s="34">
        <f>IF($O24&gt;0,$O24,0.23)</f>
        <v>0.23</v>
      </c>
      <c r="F24" s="35">
        <v>7850</v>
      </c>
      <c r="G24" s="33" t="s">
        <v>1379</v>
      </c>
      <c r="H24" s="36" t="str">
        <f>IF($M24&gt;0,IF($L24&lt;&gt;1,$R24,IFERROR(INDEX('JLR Materials'!$D$2:$D$20001,MATCH($K24,'JLR Materials'!$A$2:$A$20001,0)),$R24)),$R24)</f>
        <v>2026-09</v>
      </c>
      <c r="I24" s="36" t="str">
        <f>IF($M24&gt;0,"JLR rate card — material code "&amp;$K24,$Q24)</f>
        <v>UK AHSS coil, Jun 2026 Index-anchored 2026-07 (see PRICING BASIS). | Refresh 2026-09: +£0.049/kg from 1kg crc £0.668→£0.717/kg; premiums held</v>
      </c>
      <c r="J24" s="33" t="s">
        <v>1380</v>
      </c>
      <c r="K24" s="37" t="str">
        <f>IFERROR(INDEX(Mapping!$C$2:$C$549,MATCH($A24,Mapping!$A$2:$A$549,0)),"")</f>
        <v/>
      </c>
      <c r="L24" s="37">
        <f>IF($K24="",0,COUNTIFS('JLR Materials'!$A$2:$A$20001,$K24,'JLR Materials'!$C$2:$C$20001,IF(Settings!$B$2="","&lt;&gt;",Settings!$B$2),'JLR Materials'!$D$2:$D$20001,IF(Settings!$B$4="","&lt;&gt;",Settings!$B$4)))</f>
        <v>0</v>
      </c>
      <c r="M24" s="38">
        <f>IF($L24&lt;&gt;1,0,SUMIFS('JLR Materials'!$E$2:$E$20001,'JLR Materials'!$A$2:$A$20001,$K24,'JLR Materials'!$C$2:$C$20001,IF(Settings!$B$2="","&lt;&gt;",Settings!$B$2),'JLR Materials'!$D$2:$D$20001,IF(Settings!$B$4="","&lt;&gt;",Settings!$B$4)))</f>
        <v>0</v>
      </c>
      <c r="N24" s="39">
        <f>IF($L24&lt;&gt;1,0,SUMIFS('JLR Materials'!$F$2:$F$20001,'JLR Materials'!$A$2:$A$20001,$K24,'JLR Materials'!$C$2:$C$20001,IF(Settings!$B$2="","&lt;&gt;",Settings!$B$2),'JLR Materials'!$D$2:$D$20001,IF(Settings!$B$4="","&lt;&gt;",Settings!$B$4)))</f>
        <v>0</v>
      </c>
      <c r="O24" s="38">
        <f>IF($N24=0,0,IF(Settings!$B$5="percent",$M24*$N24/100,$N24))</f>
        <v>0</v>
      </c>
      <c r="P24" s="39">
        <f>IF($L24&lt;&gt;1,0,SUMIFS('JLR Materials'!$G$2:$G$20001,'JLR Materials'!$A$2:$A$20001,$K24,'JLR Materials'!$C$2:$C$20001,IF(Settings!$B$2="","&lt;&gt;",Settings!$B$2),'JLR Materials'!$D$2:$D$20001,IF(Settings!$B$4="","&lt;&gt;",Settings!$B$4)))</f>
        <v>0</v>
      </c>
      <c r="Q24" s="40" t="s">
        <v>1437</v>
      </c>
      <c r="R24" s="40" t="s">
        <v>1382</v>
      </c>
    </row>
    <row r="25" spans="1:18" x14ac:dyDescent="0.25">
      <c r="A25" s="32" t="s">
        <v>313</v>
      </c>
      <c r="B25" s="33" t="s">
        <v>1438</v>
      </c>
      <c r="C25" s="33" t="s">
        <v>1439</v>
      </c>
      <c r="D25" s="34">
        <f>IF($M25&gt;0,$M25,1.19)</f>
        <v>1.19</v>
      </c>
      <c r="E25" s="34">
        <f>IF($O25&gt;0,$O25,0.22)</f>
        <v>0.22</v>
      </c>
      <c r="F25" s="35">
        <v>7850</v>
      </c>
      <c r="G25" s="33" t="s">
        <v>1379</v>
      </c>
      <c r="H25" s="36" t="str">
        <f>IF($M25&gt;0,IF($L25&lt;&gt;1,$R25,IFERROR(INDEX('JLR Materials'!$D$2:$D$20001,MATCH($K25,'JLR Materials'!$A$2:$A$20001,0)),$R25)),$R25)</f>
        <v>2026-09</v>
      </c>
      <c r="I25" s="36" t="str">
        <f>IF($M25&gt;0,"JLR rate card — material code "&amp;$K25,$Q25)</f>
        <v>UK HSLA coil, Jun 2026 Index-anchored 2026-07 (see PRICING BASIS). | Refresh 2026-09: +£0.049/kg from 1kg crc £0.668→£0.717/kg; premiums held</v>
      </c>
      <c r="J25" s="33" t="s">
        <v>1380</v>
      </c>
      <c r="K25" s="37" t="str">
        <f>IFERROR(INDEX(Mapping!$C$2:$C$549,MATCH($A25,Mapping!$A$2:$A$549,0)),"")</f>
        <v/>
      </c>
      <c r="L25" s="37">
        <f>IF($K25="",0,COUNTIFS('JLR Materials'!$A$2:$A$20001,$K25,'JLR Materials'!$C$2:$C$20001,IF(Settings!$B$2="","&lt;&gt;",Settings!$B$2),'JLR Materials'!$D$2:$D$20001,IF(Settings!$B$4="","&lt;&gt;",Settings!$B$4)))</f>
        <v>0</v>
      </c>
      <c r="M25" s="38">
        <f>IF($L25&lt;&gt;1,0,SUMIFS('JLR Materials'!$E$2:$E$20001,'JLR Materials'!$A$2:$A$20001,$K25,'JLR Materials'!$C$2:$C$20001,IF(Settings!$B$2="","&lt;&gt;",Settings!$B$2),'JLR Materials'!$D$2:$D$20001,IF(Settings!$B$4="","&lt;&gt;",Settings!$B$4)))</f>
        <v>0</v>
      </c>
      <c r="N25" s="39">
        <f>IF($L25&lt;&gt;1,0,SUMIFS('JLR Materials'!$F$2:$F$20001,'JLR Materials'!$A$2:$A$20001,$K25,'JLR Materials'!$C$2:$C$20001,IF(Settings!$B$2="","&lt;&gt;",Settings!$B$2),'JLR Materials'!$D$2:$D$20001,IF(Settings!$B$4="","&lt;&gt;",Settings!$B$4)))</f>
        <v>0</v>
      </c>
      <c r="O25" s="38">
        <f>IF($N25=0,0,IF(Settings!$B$5="percent",$M25*$N25/100,$N25))</f>
        <v>0</v>
      </c>
      <c r="P25" s="39">
        <f>IF($L25&lt;&gt;1,0,SUMIFS('JLR Materials'!$G$2:$G$20001,'JLR Materials'!$A$2:$A$20001,$K25,'JLR Materials'!$C$2:$C$20001,IF(Settings!$B$2="","&lt;&gt;",Settings!$B$2),'JLR Materials'!$D$2:$D$20001,IF(Settings!$B$4="","&lt;&gt;",Settings!$B$4)))</f>
        <v>0</v>
      </c>
      <c r="Q25" s="40" t="s">
        <v>1440</v>
      </c>
      <c r="R25" s="40" t="s">
        <v>1382</v>
      </c>
    </row>
    <row r="26" spans="1:18" x14ac:dyDescent="0.25">
      <c r="A26" s="32" t="s">
        <v>315</v>
      </c>
      <c r="B26" s="33" t="s">
        <v>1441</v>
      </c>
      <c r="C26" s="33" t="s">
        <v>1442</v>
      </c>
      <c r="D26" s="34">
        <f>IF($M26&gt;0,$M26,1.79)</f>
        <v>1.79</v>
      </c>
      <c r="E26" s="34">
        <f>IF($O26&gt;0,$O26,0.23)</f>
        <v>0.23</v>
      </c>
      <c r="F26" s="35">
        <v>7850</v>
      </c>
      <c r="G26" s="33" t="s">
        <v>1379</v>
      </c>
      <c r="H26" s="36" t="str">
        <f>IF($M26&gt;0,IF($L26&lt;&gt;1,$R26,IFERROR(INDEX('JLR Materials'!$D$2:$D$20001,MATCH($K26,'JLR Materials'!$A$2:$A$20001,0)),$R26)),$R26)</f>
        <v>2026-09</v>
      </c>
      <c r="I26" s="36" t="str">
        <f>IF($M26&gt;0,"JLR rate card — material code "&amp;$K26,$Q26)</f>
        <v>UK PHS coil for hot stamping (A/B-pillar, roof rail). Jun 2026 Index-anchored 2026-07 (see PRICING BASIS). | Refresh 2026-09: +£0.049/kg from 1kg crc £0.668→£0.717/kg; premiums held</v>
      </c>
      <c r="J26" s="33" t="s">
        <v>1393</v>
      </c>
      <c r="K26" s="37" t="str">
        <f>IFERROR(INDEX(Mapping!$C$2:$C$549,MATCH($A26,Mapping!$A$2:$A$549,0)),"")</f>
        <v/>
      </c>
      <c r="L26" s="37">
        <f>IF($K26="",0,COUNTIFS('JLR Materials'!$A$2:$A$20001,$K26,'JLR Materials'!$C$2:$C$20001,IF(Settings!$B$2="","&lt;&gt;",Settings!$B$2),'JLR Materials'!$D$2:$D$20001,IF(Settings!$B$4="","&lt;&gt;",Settings!$B$4)))</f>
        <v>0</v>
      </c>
      <c r="M26" s="38">
        <f>IF($L26&lt;&gt;1,0,SUMIFS('JLR Materials'!$E$2:$E$20001,'JLR Materials'!$A$2:$A$20001,$K26,'JLR Materials'!$C$2:$C$20001,IF(Settings!$B$2="","&lt;&gt;",Settings!$B$2),'JLR Materials'!$D$2:$D$20001,IF(Settings!$B$4="","&lt;&gt;",Settings!$B$4)))</f>
        <v>0</v>
      </c>
      <c r="N26" s="39">
        <f>IF($L26&lt;&gt;1,0,SUMIFS('JLR Materials'!$F$2:$F$20001,'JLR Materials'!$A$2:$A$20001,$K26,'JLR Materials'!$C$2:$C$20001,IF(Settings!$B$2="","&lt;&gt;",Settings!$B$2),'JLR Materials'!$D$2:$D$20001,IF(Settings!$B$4="","&lt;&gt;",Settings!$B$4)))</f>
        <v>0</v>
      </c>
      <c r="O26" s="38">
        <f>IF($N26=0,0,IF(Settings!$B$5="percent",$M26*$N26/100,$N26))</f>
        <v>0</v>
      </c>
      <c r="P26" s="39">
        <f>IF($L26&lt;&gt;1,0,SUMIFS('JLR Materials'!$G$2:$G$20001,'JLR Materials'!$A$2:$A$20001,$K26,'JLR Materials'!$C$2:$C$20001,IF(Settings!$B$2="","&lt;&gt;",Settings!$B$2),'JLR Materials'!$D$2:$D$20001,IF(Settings!$B$4="","&lt;&gt;",Settings!$B$4)))</f>
        <v>0</v>
      </c>
      <c r="Q26" s="40" t="s">
        <v>1443</v>
      </c>
      <c r="R26" s="40" t="s">
        <v>1382</v>
      </c>
    </row>
    <row r="27" spans="1:18" x14ac:dyDescent="0.25">
      <c r="A27" s="32" t="s">
        <v>317</v>
      </c>
      <c r="B27" s="33" t="s">
        <v>1444</v>
      </c>
      <c r="C27" s="33" t="s">
        <v>1445</v>
      </c>
      <c r="D27" s="34">
        <f>IF($M27&gt;0,$M27,3.19)</f>
        <v>3.19</v>
      </c>
      <c r="E27" s="34">
        <f>IF($O27&gt;0,$O27,0.49)</f>
        <v>0.49</v>
      </c>
      <c r="F27" s="35">
        <v>2700</v>
      </c>
      <c r="G27" s="33" t="s">
        <v>1379</v>
      </c>
      <c r="H27" s="36" t="str">
        <f>IF($M27&gt;0,IF($L27&lt;&gt;1,$R27,IFERROR(INDEX('JLR Materials'!$D$2:$D$20001,MATCH($K27,'JLR Materials'!$A$2:$A$20001,0)),$R27)),$R27)</f>
        <v>2026-09</v>
      </c>
      <c r="I27" s="36" t="str">
        <f>IF($M27&gt;0,"JLR rate card — material code "&amp;$K27,$Q27)</f>
        <v>UK Al sheet, Jun 2026 Index-anchored 2026-07 (see PRICING BASIS). | Refresh 2026-09: −£0.060/kg from 0.97kg al £2.910→£2.849/kg; premiums held</v>
      </c>
      <c r="J27" s="33" t="s">
        <v>1380</v>
      </c>
      <c r="K27" s="37" t="str">
        <f>IFERROR(INDEX(Mapping!$C$2:$C$549,MATCH($A27,Mapping!$A$2:$A$549,0)),"")</f>
        <v/>
      </c>
      <c r="L27" s="37">
        <f>IF($K27="",0,COUNTIFS('JLR Materials'!$A$2:$A$20001,$K27,'JLR Materials'!$C$2:$C$20001,IF(Settings!$B$2="","&lt;&gt;",Settings!$B$2),'JLR Materials'!$D$2:$D$20001,IF(Settings!$B$4="","&lt;&gt;",Settings!$B$4)))</f>
        <v>0</v>
      </c>
      <c r="M27" s="38">
        <f>IF($L27&lt;&gt;1,0,SUMIFS('JLR Materials'!$E$2:$E$20001,'JLR Materials'!$A$2:$A$20001,$K27,'JLR Materials'!$C$2:$C$20001,IF(Settings!$B$2="","&lt;&gt;",Settings!$B$2),'JLR Materials'!$D$2:$D$20001,IF(Settings!$B$4="","&lt;&gt;",Settings!$B$4)))</f>
        <v>0</v>
      </c>
      <c r="N27" s="39">
        <f>IF($L27&lt;&gt;1,0,SUMIFS('JLR Materials'!$F$2:$F$20001,'JLR Materials'!$A$2:$A$20001,$K27,'JLR Materials'!$C$2:$C$20001,IF(Settings!$B$2="","&lt;&gt;",Settings!$B$2),'JLR Materials'!$D$2:$D$20001,IF(Settings!$B$4="","&lt;&gt;",Settings!$B$4)))</f>
        <v>0</v>
      </c>
      <c r="O27" s="38">
        <f>IF($N27=0,0,IF(Settings!$B$5="percent",$M27*$N27/100,$N27))</f>
        <v>0</v>
      </c>
      <c r="P27" s="39">
        <f>IF($L27&lt;&gt;1,0,SUMIFS('JLR Materials'!$G$2:$G$20001,'JLR Materials'!$A$2:$A$20001,$K27,'JLR Materials'!$C$2:$C$20001,IF(Settings!$B$2="","&lt;&gt;",Settings!$B$2),'JLR Materials'!$D$2:$D$20001,IF(Settings!$B$4="","&lt;&gt;",Settings!$B$4)))</f>
        <v>0</v>
      </c>
      <c r="Q27" s="40" t="s">
        <v>1446</v>
      </c>
      <c r="R27" s="40" t="s">
        <v>1382</v>
      </c>
    </row>
    <row r="28" spans="1:18" x14ac:dyDescent="0.25">
      <c r="A28" s="32" t="s">
        <v>319</v>
      </c>
      <c r="B28" s="33" t="s">
        <v>1447</v>
      </c>
      <c r="C28" s="33" t="s">
        <v>1448</v>
      </c>
      <c r="D28" s="34">
        <f>IF($M28&gt;0,$M28,3.49)</f>
        <v>3.49</v>
      </c>
      <c r="E28" s="34">
        <f>IF($O28&gt;0,$O28,0.83)</f>
        <v>0.83</v>
      </c>
      <c r="F28" s="35">
        <v>7900</v>
      </c>
      <c r="G28" s="33" t="s">
        <v>1379</v>
      </c>
      <c r="H28" s="36" t="str">
        <f>IF($M28&gt;0,IF($L28&lt;&gt;1,$R28,IFERROR(INDEX('JLR Materials'!$D$2:$D$20001,MATCH($K28,'JLR Materials'!$A$2:$A$20001,0)),$R28)),$R28)</f>
        <v>2026-09</v>
      </c>
      <c r="I28" s="36" t="str">
        <f>IF($M28&gt;0,"JLR rate card — material code "&amp;$K28,$Q28)</f>
        <v>UK stainless coil, food/pharma stampings. Jun 2026 Index-anchored 2026-07 (see PRICING BASIS). | Refresh 2026-09: +£0.127/kg from 1kg ss_sur £2.037→£2.164/kg; premiums held</v>
      </c>
      <c r="J28" s="33" t="s">
        <v>1380</v>
      </c>
      <c r="K28" s="37" t="str">
        <f>IFERROR(INDEX(Mapping!$C$2:$C$549,MATCH($A28,Mapping!$A$2:$A$549,0)),"")</f>
        <v/>
      </c>
      <c r="L28" s="37">
        <f>IF($K28="",0,COUNTIFS('JLR Materials'!$A$2:$A$20001,$K28,'JLR Materials'!$C$2:$C$20001,IF(Settings!$B$2="","&lt;&gt;",Settings!$B$2),'JLR Materials'!$D$2:$D$20001,IF(Settings!$B$4="","&lt;&gt;",Settings!$B$4)))</f>
        <v>0</v>
      </c>
      <c r="M28" s="38">
        <f>IF($L28&lt;&gt;1,0,SUMIFS('JLR Materials'!$E$2:$E$20001,'JLR Materials'!$A$2:$A$20001,$K28,'JLR Materials'!$C$2:$C$20001,IF(Settings!$B$2="","&lt;&gt;",Settings!$B$2),'JLR Materials'!$D$2:$D$20001,IF(Settings!$B$4="","&lt;&gt;",Settings!$B$4)))</f>
        <v>0</v>
      </c>
      <c r="N28" s="39">
        <f>IF($L28&lt;&gt;1,0,SUMIFS('JLR Materials'!$F$2:$F$20001,'JLR Materials'!$A$2:$A$20001,$K28,'JLR Materials'!$C$2:$C$20001,IF(Settings!$B$2="","&lt;&gt;",Settings!$B$2),'JLR Materials'!$D$2:$D$20001,IF(Settings!$B$4="","&lt;&gt;",Settings!$B$4)))</f>
        <v>0</v>
      </c>
      <c r="O28" s="38">
        <f>IF($N28=0,0,IF(Settings!$B$5="percent",$M28*$N28/100,$N28))</f>
        <v>0</v>
      </c>
      <c r="P28" s="39">
        <f>IF($L28&lt;&gt;1,0,SUMIFS('JLR Materials'!$G$2:$G$20001,'JLR Materials'!$A$2:$A$20001,$K28,'JLR Materials'!$C$2:$C$20001,IF(Settings!$B$2="","&lt;&gt;",Settings!$B$2),'JLR Materials'!$D$2:$D$20001,IF(Settings!$B$4="","&lt;&gt;",Settings!$B$4)))</f>
        <v>0</v>
      </c>
      <c r="Q28" s="40" t="s">
        <v>1449</v>
      </c>
      <c r="R28" s="40" t="s">
        <v>1382</v>
      </c>
    </row>
    <row r="29" spans="1:18" x14ac:dyDescent="0.25">
      <c r="A29" s="32" t="s">
        <v>321</v>
      </c>
      <c r="B29" s="33" t="s">
        <v>1450</v>
      </c>
      <c r="C29" s="33" t="s">
        <v>1445</v>
      </c>
      <c r="D29" s="34">
        <f>IF($M29&gt;0,$M29,3.19)</f>
        <v>3.19</v>
      </c>
      <c r="E29" s="34">
        <f>IF($O29&gt;0,$O29,0.49)</f>
        <v>0.49</v>
      </c>
      <c r="F29" s="35">
        <v>2680</v>
      </c>
      <c r="G29" s="33" t="s">
        <v>1379</v>
      </c>
      <c r="H29" s="36" t="str">
        <f>IF($M29&gt;0,IF($L29&lt;&gt;1,$R29,IFERROR(INDEX('JLR Materials'!$D$2:$D$20001,MATCH($K29,'JLR Materials'!$A$2:$A$20001,0)),$R29)),$R29)</f>
        <v>2026-09</v>
      </c>
      <c r="I29" s="36" t="str">
        <f>IF($M29&gt;0,"JLR rate card — material code "&amp;$K29,$Q29)</f>
        <v>UK Al sheet stockholder Jun 2026. 5xxx series — marine/vehicle panels, excellent corrosion resistance. Yield 195 MPa. Index-anchored 2026-07 (see PRICING BASIS). | Refresh 2026-09: −£0.060/kg from 0.97kg al £2.910→£2.849/kg; premiums held</v>
      </c>
      <c r="J29" s="33" t="s">
        <v>1380</v>
      </c>
      <c r="K29" s="37" t="str">
        <f>IFERROR(INDEX(Mapping!$C$2:$C$549,MATCH($A29,Mapping!$A$2:$A$549,0)),"")</f>
        <v/>
      </c>
      <c r="L29" s="37">
        <f>IF($K29="",0,COUNTIFS('JLR Materials'!$A$2:$A$20001,$K29,'JLR Materials'!$C$2:$C$20001,IF(Settings!$B$2="","&lt;&gt;",Settings!$B$2),'JLR Materials'!$D$2:$D$20001,IF(Settings!$B$4="","&lt;&gt;",Settings!$B$4)))</f>
        <v>0</v>
      </c>
      <c r="M29" s="38">
        <f>IF($L29&lt;&gt;1,0,SUMIFS('JLR Materials'!$E$2:$E$20001,'JLR Materials'!$A$2:$A$20001,$K29,'JLR Materials'!$C$2:$C$20001,IF(Settings!$B$2="","&lt;&gt;",Settings!$B$2),'JLR Materials'!$D$2:$D$20001,IF(Settings!$B$4="","&lt;&gt;",Settings!$B$4)))</f>
        <v>0</v>
      </c>
      <c r="N29" s="39">
        <f>IF($L29&lt;&gt;1,0,SUMIFS('JLR Materials'!$F$2:$F$20001,'JLR Materials'!$A$2:$A$20001,$K29,'JLR Materials'!$C$2:$C$20001,IF(Settings!$B$2="","&lt;&gt;",Settings!$B$2),'JLR Materials'!$D$2:$D$20001,IF(Settings!$B$4="","&lt;&gt;",Settings!$B$4)))</f>
        <v>0</v>
      </c>
      <c r="O29" s="38">
        <f>IF($N29=0,0,IF(Settings!$B$5="percent",$M29*$N29/100,$N29))</f>
        <v>0</v>
      </c>
      <c r="P29" s="39">
        <f>IF($L29&lt;&gt;1,0,SUMIFS('JLR Materials'!$G$2:$G$20001,'JLR Materials'!$A$2:$A$20001,$K29,'JLR Materials'!$C$2:$C$20001,IF(Settings!$B$2="","&lt;&gt;",Settings!$B$2),'JLR Materials'!$D$2:$D$20001,IF(Settings!$B$4="","&lt;&gt;",Settings!$B$4)))</f>
        <v>0</v>
      </c>
      <c r="Q29" s="40" t="s">
        <v>1451</v>
      </c>
      <c r="R29" s="40" t="s">
        <v>1382</v>
      </c>
    </row>
    <row r="30" spans="1:18" x14ac:dyDescent="0.25">
      <c r="A30" s="32" t="s">
        <v>323</v>
      </c>
      <c r="B30" s="33" t="s">
        <v>1452</v>
      </c>
      <c r="C30" s="33" t="s">
        <v>1445</v>
      </c>
      <c r="D30" s="34">
        <f>IF($M30&gt;0,$M30,3.4)</f>
        <v>3.4</v>
      </c>
      <c r="E30" s="34">
        <f>IF($O30&gt;0,$O30,0.49)</f>
        <v>0.49</v>
      </c>
      <c r="F30" s="35">
        <v>2660</v>
      </c>
      <c r="G30" s="33" t="s">
        <v>1379</v>
      </c>
      <c r="H30" s="36" t="str">
        <f>IF($M30&gt;0,IF($L30&lt;&gt;1,$R30,IFERROR(INDEX('JLR Materials'!$D$2:$D$20001,MATCH($K30,'JLR Materials'!$A$2:$A$20001,0)),$R30)),$R30)</f>
        <v>2026-09</v>
      </c>
      <c r="I30" s="36" t="str">
        <f>IF($M30&gt;0,"JLR rate card — material code "&amp;$K30,$Q30)</f>
        <v>UK Al sheet stockholder Jun 2026. 5xxx series — marine structures, shipbuilding. Higher strength than 5052. Yield 228 MPa. Index-anchored 2026-07 (see PRICING BASIS). | Refresh 2026-09: −£0.060/kg from 0.97kg al £2.910→£2.849/kg; premiums held</v>
      </c>
      <c r="J30" s="33" t="s">
        <v>1380</v>
      </c>
      <c r="K30" s="37" t="str">
        <f>IFERROR(INDEX(Mapping!$C$2:$C$549,MATCH($A30,Mapping!$A$2:$A$549,0)),"")</f>
        <v/>
      </c>
      <c r="L30" s="37">
        <f>IF($K30="",0,COUNTIFS('JLR Materials'!$A$2:$A$20001,$K30,'JLR Materials'!$C$2:$C$20001,IF(Settings!$B$2="","&lt;&gt;",Settings!$B$2),'JLR Materials'!$D$2:$D$20001,IF(Settings!$B$4="","&lt;&gt;",Settings!$B$4)))</f>
        <v>0</v>
      </c>
      <c r="M30" s="38">
        <f>IF($L30&lt;&gt;1,0,SUMIFS('JLR Materials'!$E$2:$E$20001,'JLR Materials'!$A$2:$A$20001,$K30,'JLR Materials'!$C$2:$C$20001,IF(Settings!$B$2="","&lt;&gt;",Settings!$B$2),'JLR Materials'!$D$2:$D$20001,IF(Settings!$B$4="","&lt;&gt;",Settings!$B$4)))</f>
        <v>0</v>
      </c>
      <c r="N30" s="39">
        <f>IF($L30&lt;&gt;1,0,SUMIFS('JLR Materials'!$F$2:$F$20001,'JLR Materials'!$A$2:$A$20001,$K30,'JLR Materials'!$C$2:$C$20001,IF(Settings!$B$2="","&lt;&gt;",Settings!$B$2),'JLR Materials'!$D$2:$D$20001,IF(Settings!$B$4="","&lt;&gt;",Settings!$B$4)))</f>
        <v>0</v>
      </c>
      <c r="O30" s="38">
        <f>IF($N30=0,0,IF(Settings!$B$5="percent",$M30*$N30/100,$N30))</f>
        <v>0</v>
      </c>
      <c r="P30" s="39">
        <f>IF($L30&lt;&gt;1,0,SUMIFS('JLR Materials'!$G$2:$G$20001,'JLR Materials'!$A$2:$A$20001,$K30,'JLR Materials'!$C$2:$C$20001,IF(Settings!$B$2="","&lt;&gt;",Settings!$B$2),'JLR Materials'!$D$2:$D$20001,IF(Settings!$B$4="","&lt;&gt;",Settings!$B$4)))</f>
        <v>0</v>
      </c>
      <c r="Q30" s="40" t="s">
        <v>1453</v>
      </c>
      <c r="R30" s="40" t="s">
        <v>1382</v>
      </c>
    </row>
    <row r="31" spans="1:18" x14ac:dyDescent="0.25">
      <c r="A31" s="32" t="s">
        <v>325</v>
      </c>
      <c r="B31" s="33" t="s">
        <v>1454</v>
      </c>
      <c r="C31" s="33" t="s">
        <v>1445</v>
      </c>
      <c r="D31" s="34">
        <f>IF($M31&gt;0,$M31,3.56)</f>
        <v>3.56</v>
      </c>
      <c r="E31" s="34">
        <f>IF($O31&gt;0,$O31,0.49)</f>
        <v>0.49</v>
      </c>
      <c r="F31" s="35">
        <v>2700</v>
      </c>
      <c r="G31" s="33" t="s">
        <v>1379</v>
      </c>
      <c r="H31" s="36" t="str">
        <f>IF($M31&gt;0,IF($L31&lt;&gt;1,$R31,IFERROR(INDEX('JLR Materials'!$D$2:$D$20001,MATCH($K31,'JLR Materials'!$A$2:$A$20001,0)),$R31)),$R31)</f>
        <v>2026-09</v>
      </c>
      <c r="I31" s="36" t="str">
        <f>IF($M31&gt;0,"JLR rate card — material code "&amp;$K31,$Q31)</f>
        <v>UK Al sheet/plate stockholder Jun 2026. 6xxx series structural alloy — frames, structural parts. Yield 250 MPa. Index-anchored 2026-07 (see PRICING BASIS). | Refresh 2026-09: −£0.060/kg from 0.97kg al £2.910→£2.849/kg; premiums held</v>
      </c>
      <c r="J31" s="33" t="s">
        <v>1393</v>
      </c>
      <c r="K31" s="37" t="str">
        <f>IFERROR(INDEX(Mapping!$C$2:$C$549,MATCH($A31,Mapping!$A$2:$A$549,0)),"")</f>
        <v/>
      </c>
      <c r="L31" s="37">
        <f>IF($K31="",0,COUNTIFS('JLR Materials'!$A$2:$A$20001,$K31,'JLR Materials'!$C$2:$C$20001,IF(Settings!$B$2="","&lt;&gt;",Settings!$B$2),'JLR Materials'!$D$2:$D$20001,IF(Settings!$B$4="","&lt;&gt;",Settings!$B$4)))</f>
        <v>0</v>
      </c>
      <c r="M31" s="38">
        <f>IF($L31&lt;&gt;1,0,SUMIFS('JLR Materials'!$E$2:$E$20001,'JLR Materials'!$A$2:$A$20001,$K31,'JLR Materials'!$C$2:$C$20001,IF(Settings!$B$2="","&lt;&gt;",Settings!$B$2),'JLR Materials'!$D$2:$D$20001,IF(Settings!$B$4="","&lt;&gt;",Settings!$B$4)))</f>
        <v>0</v>
      </c>
      <c r="N31" s="39">
        <f>IF($L31&lt;&gt;1,0,SUMIFS('JLR Materials'!$F$2:$F$20001,'JLR Materials'!$A$2:$A$20001,$K31,'JLR Materials'!$C$2:$C$20001,IF(Settings!$B$2="","&lt;&gt;",Settings!$B$2),'JLR Materials'!$D$2:$D$20001,IF(Settings!$B$4="","&lt;&gt;",Settings!$B$4)))</f>
        <v>0</v>
      </c>
      <c r="O31" s="38">
        <f>IF($N31=0,0,IF(Settings!$B$5="percent",$M31*$N31/100,$N31))</f>
        <v>0</v>
      </c>
      <c r="P31" s="39">
        <f>IF($L31&lt;&gt;1,0,SUMIFS('JLR Materials'!$G$2:$G$20001,'JLR Materials'!$A$2:$A$20001,$K31,'JLR Materials'!$C$2:$C$20001,IF(Settings!$B$2="","&lt;&gt;",Settings!$B$2),'JLR Materials'!$D$2:$D$20001,IF(Settings!$B$4="","&lt;&gt;",Settings!$B$4)))</f>
        <v>0</v>
      </c>
      <c r="Q31" s="40" t="s">
        <v>1455</v>
      </c>
      <c r="R31" s="40" t="s">
        <v>1382</v>
      </c>
    </row>
    <row r="32" spans="1:18" x14ac:dyDescent="0.25">
      <c r="A32" s="32" t="s">
        <v>327</v>
      </c>
      <c r="B32" s="33" t="s">
        <v>1456</v>
      </c>
      <c r="C32" s="33" t="s">
        <v>1448</v>
      </c>
      <c r="D32" s="34">
        <f>IF($M32&gt;0,$M32,2.97)</f>
        <v>2.97</v>
      </c>
      <c r="E32" s="34">
        <f>IF($O32&gt;0,$O32,0.71)</f>
        <v>0.71</v>
      </c>
      <c r="F32" s="35">
        <v>7700</v>
      </c>
      <c r="G32" s="33" t="s">
        <v>1379</v>
      </c>
      <c r="H32" s="36" t="str">
        <f>IF($M32&gt;0,IF($L32&lt;&gt;1,$R32,IFERROR(INDEX('JLR Materials'!$D$2:$D$20001,MATCH($K32,'JLR Materials'!$A$2:$A$20001,0)),$R32)),$R32)</f>
        <v>2026-09</v>
      </c>
      <c r="I32" s="36" t="str">
        <f>IF($M32&gt;0,"JLR rate card — material code "&amp;$K32,$Q32)</f>
        <v>UK SS stockholder Jun 2026. Ferritic (magnetic) stainless — appliance panels, automotive trim. Moderate corrosion resistance. Yield 250 MPa. Index-anchored 2026-07 (see PRICING BASIS). | Refresh 2026-09: +£0.034/kg from 0.7kg hrc £0.591→£0.639/kg; premiums held</v>
      </c>
      <c r="J32" s="33" t="s">
        <v>1393</v>
      </c>
      <c r="K32" s="37" t="str">
        <f>IFERROR(INDEX(Mapping!$C$2:$C$549,MATCH($A32,Mapping!$A$2:$A$549,0)),"")</f>
        <v/>
      </c>
      <c r="L32" s="37">
        <f>IF($K32="",0,COUNTIFS('JLR Materials'!$A$2:$A$20001,$K32,'JLR Materials'!$C$2:$C$20001,IF(Settings!$B$2="","&lt;&gt;",Settings!$B$2),'JLR Materials'!$D$2:$D$20001,IF(Settings!$B$4="","&lt;&gt;",Settings!$B$4)))</f>
        <v>0</v>
      </c>
      <c r="M32" s="38">
        <f>IF($L32&lt;&gt;1,0,SUMIFS('JLR Materials'!$E$2:$E$20001,'JLR Materials'!$A$2:$A$20001,$K32,'JLR Materials'!$C$2:$C$20001,IF(Settings!$B$2="","&lt;&gt;",Settings!$B$2),'JLR Materials'!$D$2:$D$20001,IF(Settings!$B$4="","&lt;&gt;",Settings!$B$4)))</f>
        <v>0</v>
      </c>
      <c r="N32" s="39">
        <f>IF($L32&lt;&gt;1,0,SUMIFS('JLR Materials'!$F$2:$F$20001,'JLR Materials'!$A$2:$A$20001,$K32,'JLR Materials'!$C$2:$C$20001,IF(Settings!$B$2="","&lt;&gt;",Settings!$B$2),'JLR Materials'!$D$2:$D$20001,IF(Settings!$B$4="","&lt;&gt;",Settings!$B$4)))</f>
        <v>0</v>
      </c>
      <c r="O32" s="38">
        <f>IF($N32=0,0,IF(Settings!$B$5="percent",$M32*$N32/100,$N32))</f>
        <v>0</v>
      </c>
      <c r="P32" s="39">
        <f>IF($L32&lt;&gt;1,0,SUMIFS('JLR Materials'!$G$2:$G$20001,'JLR Materials'!$A$2:$A$20001,$K32,'JLR Materials'!$C$2:$C$20001,IF(Settings!$B$2="","&lt;&gt;",Settings!$B$2),'JLR Materials'!$D$2:$D$20001,IF(Settings!$B$4="","&lt;&gt;",Settings!$B$4)))</f>
        <v>0</v>
      </c>
      <c r="Q32" s="40" t="s">
        <v>1457</v>
      </c>
      <c r="R32" s="40" t="s">
        <v>1382</v>
      </c>
    </row>
    <row r="33" spans="1:18" x14ac:dyDescent="0.25">
      <c r="A33" s="32" t="s">
        <v>329</v>
      </c>
      <c r="B33" s="33" t="s">
        <v>1458</v>
      </c>
      <c r="C33" s="33" t="s">
        <v>1448</v>
      </c>
      <c r="D33" s="34">
        <f>IF($M33&gt;0,$M33,4.54)</f>
        <v>4.54</v>
      </c>
      <c r="E33" s="34">
        <f>IF($O33&gt;0,$O33,0.93)</f>
        <v>0.93</v>
      </c>
      <c r="F33" s="35">
        <v>7990</v>
      </c>
      <c r="G33" s="33" t="s">
        <v>1379</v>
      </c>
      <c r="H33" s="36" t="str">
        <f>IF($M33&gt;0,IF($L33&lt;&gt;1,$R33,IFERROR(INDEX('JLR Materials'!$D$2:$D$20001,MATCH($K33,'JLR Materials'!$A$2:$A$20001,0)),$R33)),$R33)</f>
        <v>2026-09</v>
      </c>
      <c r="I33" s="36" t="str">
        <f>IF($M33&gt;0,"JLR rate card — material code "&amp;$K33,$Q33)</f>
        <v>UK SS stockholder Jun 2026. 316L — food processing, medical, marine (Mo addition gives better chloride resistance than 304). Yield 170 MPa. Index-anchored 2026-07 (see PRICING BASIS). | Refresh 2026-09: +£0.129/kg from 1kg ss_sur £2.037→£2.164/kg, 0.03kg ni £12.302→£12.378/kg; premiums held</v>
      </c>
      <c r="J33" s="33" t="s">
        <v>1380</v>
      </c>
      <c r="K33" s="37" t="str">
        <f>IFERROR(INDEX(Mapping!$C$2:$C$549,MATCH($A33,Mapping!$A$2:$A$549,0)),"")</f>
        <v/>
      </c>
      <c r="L33" s="37">
        <f>IF($K33="",0,COUNTIFS('JLR Materials'!$A$2:$A$20001,$K33,'JLR Materials'!$C$2:$C$20001,IF(Settings!$B$2="","&lt;&gt;",Settings!$B$2),'JLR Materials'!$D$2:$D$20001,IF(Settings!$B$4="","&lt;&gt;",Settings!$B$4)))</f>
        <v>0</v>
      </c>
      <c r="M33" s="38">
        <f>IF($L33&lt;&gt;1,0,SUMIFS('JLR Materials'!$E$2:$E$20001,'JLR Materials'!$A$2:$A$20001,$K33,'JLR Materials'!$C$2:$C$20001,IF(Settings!$B$2="","&lt;&gt;",Settings!$B$2),'JLR Materials'!$D$2:$D$20001,IF(Settings!$B$4="","&lt;&gt;",Settings!$B$4)))</f>
        <v>0</v>
      </c>
      <c r="N33" s="39">
        <f>IF($L33&lt;&gt;1,0,SUMIFS('JLR Materials'!$F$2:$F$20001,'JLR Materials'!$A$2:$A$20001,$K33,'JLR Materials'!$C$2:$C$20001,IF(Settings!$B$2="","&lt;&gt;",Settings!$B$2),'JLR Materials'!$D$2:$D$20001,IF(Settings!$B$4="","&lt;&gt;",Settings!$B$4)))</f>
        <v>0</v>
      </c>
      <c r="O33" s="38">
        <f>IF($N33=0,0,IF(Settings!$B$5="percent",$M33*$N33/100,$N33))</f>
        <v>0</v>
      </c>
      <c r="P33" s="39">
        <f>IF($L33&lt;&gt;1,0,SUMIFS('JLR Materials'!$G$2:$G$20001,'JLR Materials'!$A$2:$A$20001,$K33,'JLR Materials'!$C$2:$C$20001,IF(Settings!$B$2="","&lt;&gt;",Settings!$B$2),'JLR Materials'!$D$2:$D$20001,IF(Settings!$B$4="","&lt;&gt;",Settings!$B$4)))</f>
        <v>0</v>
      </c>
      <c r="Q33" s="40" t="s">
        <v>1459</v>
      </c>
      <c r="R33" s="40" t="s">
        <v>1382</v>
      </c>
    </row>
    <row r="34" spans="1:18" x14ac:dyDescent="0.25">
      <c r="A34" s="32" t="s">
        <v>331</v>
      </c>
      <c r="B34" s="33" t="s">
        <v>1460</v>
      </c>
      <c r="C34" s="33" t="s">
        <v>1461</v>
      </c>
      <c r="D34" s="34">
        <f>IF($M34&gt;0,$M34,0.98)</f>
        <v>0.98</v>
      </c>
      <c r="E34" s="34">
        <f>IF($O34&gt;0,$O34,0.21)</f>
        <v>0.21</v>
      </c>
      <c r="F34" s="35">
        <v>7850</v>
      </c>
      <c r="G34" s="33" t="s">
        <v>1379</v>
      </c>
      <c r="H34" s="36" t="str">
        <f>IF($M34&gt;0,IF($L34&lt;&gt;1,$R34,IFERROR(INDEX('JLR Materials'!$D$2:$D$20001,MATCH($K34,'JLR Materials'!$A$2:$A$20001,0)),$R34)),$R34)</f>
        <v>2026-09</v>
      </c>
      <c r="I34" s="36" t="str">
        <f>IF($M34&gt;0,"JLR rate card — material code "&amp;$K34,$Q34)</f>
        <v>UK steel coil Jun 2026. Thin zinc coating — automotive body, appliance housings. Better paintability than hot-dip. Yield 140 MPa. Index-anchored 2026-07 (see PRICING BASIS). | Refresh 2026-09: +£0.049/kg from 1kg crc £0.668→£0.717/kg; premiums held</v>
      </c>
      <c r="J34" s="33" t="s">
        <v>1380</v>
      </c>
      <c r="K34" s="37" t="str">
        <f>IFERROR(INDEX(Mapping!$C$2:$C$549,MATCH($A34,Mapping!$A$2:$A$549,0)),"")</f>
        <v/>
      </c>
      <c r="L34" s="37">
        <f>IF($K34="",0,COUNTIFS('JLR Materials'!$A$2:$A$20001,$K34,'JLR Materials'!$C$2:$C$20001,IF(Settings!$B$2="","&lt;&gt;",Settings!$B$2),'JLR Materials'!$D$2:$D$20001,IF(Settings!$B$4="","&lt;&gt;",Settings!$B$4)))</f>
        <v>0</v>
      </c>
      <c r="M34" s="38">
        <f>IF($L34&lt;&gt;1,0,SUMIFS('JLR Materials'!$E$2:$E$20001,'JLR Materials'!$A$2:$A$20001,$K34,'JLR Materials'!$C$2:$C$20001,IF(Settings!$B$2="","&lt;&gt;",Settings!$B$2),'JLR Materials'!$D$2:$D$20001,IF(Settings!$B$4="","&lt;&gt;",Settings!$B$4)))</f>
        <v>0</v>
      </c>
      <c r="N34" s="39">
        <f>IF($L34&lt;&gt;1,0,SUMIFS('JLR Materials'!$F$2:$F$20001,'JLR Materials'!$A$2:$A$20001,$K34,'JLR Materials'!$C$2:$C$20001,IF(Settings!$B$2="","&lt;&gt;",Settings!$B$2),'JLR Materials'!$D$2:$D$20001,IF(Settings!$B$4="","&lt;&gt;",Settings!$B$4)))</f>
        <v>0</v>
      </c>
      <c r="O34" s="38">
        <f>IF($N34=0,0,IF(Settings!$B$5="percent",$M34*$N34/100,$N34))</f>
        <v>0</v>
      </c>
      <c r="P34" s="39">
        <f>IF($L34&lt;&gt;1,0,SUMIFS('JLR Materials'!$G$2:$G$20001,'JLR Materials'!$A$2:$A$20001,$K34,'JLR Materials'!$C$2:$C$20001,IF(Settings!$B$2="","&lt;&gt;",Settings!$B$2),'JLR Materials'!$D$2:$D$20001,IF(Settings!$B$4="","&lt;&gt;",Settings!$B$4)))</f>
        <v>0</v>
      </c>
      <c r="Q34" s="40" t="s">
        <v>1462</v>
      </c>
      <c r="R34" s="40" t="s">
        <v>1382</v>
      </c>
    </row>
    <row r="35" spans="1:18" x14ac:dyDescent="0.25">
      <c r="A35" s="32" t="s">
        <v>333</v>
      </c>
      <c r="B35" s="33" t="s">
        <v>1463</v>
      </c>
      <c r="C35" s="33" t="s">
        <v>1439</v>
      </c>
      <c r="D35" s="34">
        <f>IF($M35&gt;0,$M35,1.29)</f>
        <v>1.29</v>
      </c>
      <c r="E35" s="34">
        <f>IF($O35&gt;0,$O35,0.23)</f>
        <v>0.23</v>
      </c>
      <c r="F35" s="35">
        <v>7850</v>
      </c>
      <c r="G35" s="33" t="s">
        <v>1379</v>
      </c>
      <c r="H35" s="36" t="str">
        <f>IF($M35&gt;0,IF($L35&lt;&gt;1,$R35,IFERROR(INDEX('JLR Materials'!$D$2:$D$20001,MATCH($K35,'JLR Materials'!$A$2:$A$20001,0)),$R35)),$R35)</f>
        <v>2026-09</v>
      </c>
      <c r="I35" s="36" t="str">
        <f>IF($M35&gt;0,"JLR rate card — material code "&amp;$K35,$Q35)</f>
        <v>UK HSLA coil Jun 2026. 420 MPa min yield — structural reinforcements, crash components. Higher strength premium over HSLA 340. Index-anchored 2026-07 (see PRICING BASIS). | Refresh 2026-09: +£0.049/kg from 1kg crc £0.668→£0.717/kg; premiums held</v>
      </c>
      <c r="J35" s="33" t="s">
        <v>1393</v>
      </c>
      <c r="K35" s="37" t="str">
        <f>IFERROR(INDEX(Mapping!$C$2:$C$549,MATCH($A35,Mapping!$A$2:$A$549,0)),"")</f>
        <v/>
      </c>
      <c r="L35" s="37">
        <f>IF($K35="",0,COUNTIFS('JLR Materials'!$A$2:$A$20001,$K35,'JLR Materials'!$C$2:$C$20001,IF(Settings!$B$2="","&lt;&gt;",Settings!$B$2),'JLR Materials'!$D$2:$D$20001,IF(Settings!$B$4="","&lt;&gt;",Settings!$B$4)))</f>
        <v>0</v>
      </c>
      <c r="M35" s="38">
        <f>IF($L35&lt;&gt;1,0,SUMIFS('JLR Materials'!$E$2:$E$20001,'JLR Materials'!$A$2:$A$20001,$K35,'JLR Materials'!$C$2:$C$20001,IF(Settings!$B$2="","&lt;&gt;",Settings!$B$2),'JLR Materials'!$D$2:$D$20001,IF(Settings!$B$4="","&lt;&gt;",Settings!$B$4)))</f>
        <v>0</v>
      </c>
      <c r="N35" s="39">
        <f>IF($L35&lt;&gt;1,0,SUMIFS('JLR Materials'!$F$2:$F$20001,'JLR Materials'!$A$2:$A$20001,$K35,'JLR Materials'!$C$2:$C$20001,IF(Settings!$B$2="","&lt;&gt;",Settings!$B$2),'JLR Materials'!$D$2:$D$20001,IF(Settings!$B$4="","&lt;&gt;",Settings!$B$4)))</f>
        <v>0</v>
      </c>
      <c r="O35" s="38">
        <f>IF($N35=0,0,IF(Settings!$B$5="percent",$M35*$N35/100,$N35))</f>
        <v>0</v>
      </c>
      <c r="P35" s="39">
        <f>IF($L35&lt;&gt;1,0,SUMIFS('JLR Materials'!$G$2:$G$20001,'JLR Materials'!$A$2:$A$20001,$K35,'JLR Materials'!$C$2:$C$20001,IF(Settings!$B$2="","&lt;&gt;",Settings!$B$2),'JLR Materials'!$D$2:$D$20001,IF(Settings!$B$4="","&lt;&gt;",Settings!$B$4)))</f>
        <v>0</v>
      </c>
      <c r="Q35" s="40" t="s">
        <v>1464</v>
      </c>
      <c r="R35" s="40" t="s">
        <v>1382</v>
      </c>
    </row>
    <row r="36" spans="1:18" x14ac:dyDescent="0.25">
      <c r="A36" s="32" t="s">
        <v>335</v>
      </c>
      <c r="B36" s="33" t="s">
        <v>1465</v>
      </c>
      <c r="C36" s="33" t="s">
        <v>1428</v>
      </c>
      <c r="D36" s="34">
        <f>IF($M36&gt;0,$M36,0.77)</f>
        <v>0.77</v>
      </c>
      <c r="E36" s="34">
        <f>IF($O36&gt;0,$O36,0.19)</f>
        <v>0.19</v>
      </c>
      <c r="F36" s="35">
        <v>7850</v>
      </c>
      <c r="G36" s="33" t="s">
        <v>1379</v>
      </c>
      <c r="H36" s="36" t="str">
        <f>IF($M36&gt;0,IF($L36&lt;&gt;1,$R36,IFERROR(INDEX('JLR Materials'!$D$2:$D$20001,MATCH($K36,'JLR Materials'!$A$2:$A$20001,0)),$R36)),$R36)</f>
        <v>2026-09</v>
      </c>
      <c r="I36" s="36" t="str">
        <f>IF($M36&gt;0,"JLR rate card — material code "&amp;$K36,$Q36)</f>
        <v>UK steel coil Jun 2026. Hot-rolled, pickled and oiled — structural fabrication, heavy-gauge brackets, lower cost than CR. Yield 250 MPa. Index-anchored 2026-07 (see PRICING BASIS). | Refresh 2026-09: +£0.049/kg from 1kg hrc £0.591→£0.639/kg; premiums held</v>
      </c>
      <c r="J36" s="33" t="s">
        <v>1380</v>
      </c>
      <c r="K36" s="37" t="str">
        <f>IFERROR(INDEX(Mapping!$C$2:$C$549,MATCH($A36,Mapping!$A$2:$A$549,0)),"")</f>
        <v/>
      </c>
      <c r="L36" s="37">
        <f>IF($K36="",0,COUNTIFS('JLR Materials'!$A$2:$A$20001,$K36,'JLR Materials'!$C$2:$C$20001,IF(Settings!$B$2="","&lt;&gt;",Settings!$B$2),'JLR Materials'!$D$2:$D$20001,IF(Settings!$B$4="","&lt;&gt;",Settings!$B$4)))</f>
        <v>0</v>
      </c>
      <c r="M36" s="38">
        <f>IF($L36&lt;&gt;1,0,SUMIFS('JLR Materials'!$E$2:$E$20001,'JLR Materials'!$A$2:$A$20001,$K36,'JLR Materials'!$C$2:$C$20001,IF(Settings!$B$2="","&lt;&gt;",Settings!$B$2),'JLR Materials'!$D$2:$D$20001,IF(Settings!$B$4="","&lt;&gt;",Settings!$B$4)))</f>
        <v>0</v>
      </c>
      <c r="N36" s="39">
        <f>IF($L36&lt;&gt;1,0,SUMIFS('JLR Materials'!$F$2:$F$20001,'JLR Materials'!$A$2:$A$20001,$K36,'JLR Materials'!$C$2:$C$20001,IF(Settings!$B$2="","&lt;&gt;",Settings!$B$2),'JLR Materials'!$D$2:$D$20001,IF(Settings!$B$4="","&lt;&gt;",Settings!$B$4)))</f>
        <v>0</v>
      </c>
      <c r="O36" s="38">
        <f>IF($N36=0,0,IF(Settings!$B$5="percent",$M36*$N36/100,$N36))</f>
        <v>0</v>
      </c>
      <c r="P36" s="39">
        <f>IF($L36&lt;&gt;1,0,SUMIFS('JLR Materials'!$G$2:$G$20001,'JLR Materials'!$A$2:$A$20001,$K36,'JLR Materials'!$C$2:$C$20001,IF(Settings!$B$2="","&lt;&gt;",Settings!$B$2),'JLR Materials'!$D$2:$D$20001,IF(Settings!$B$4="","&lt;&gt;",Settings!$B$4)))</f>
        <v>0</v>
      </c>
      <c r="Q36" s="40" t="s">
        <v>1466</v>
      </c>
      <c r="R36" s="40" t="s">
        <v>1382</v>
      </c>
    </row>
    <row r="37" spans="1:18" x14ac:dyDescent="0.25">
      <c r="A37" s="32" t="s">
        <v>337</v>
      </c>
      <c r="B37" s="33" t="s">
        <v>1467</v>
      </c>
      <c r="C37" s="33" t="s">
        <v>1445</v>
      </c>
      <c r="D37" s="34">
        <f>IF($M37&gt;0,$M37,3.32)</f>
        <v>3.32</v>
      </c>
      <c r="E37" s="34">
        <f>IF($O37&gt;0,$O37,0.49)</f>
        <v>0.49</v>
      </c>
      <c r="F37" s="35">
        <v>2660</v>
      </c>
      <c r="G37" s="33" t="s">
        <v>1379</v>
      </c>
      <c r="H37" s="36" t="str">
        <f>IF($M37&gt;0,IF($L37&lt;&gt;1,$R37,IFERROR(INDEX('JLR Materials'!$D$2:$D$20001,MATCH($K37,'JLR Materials'!$A$2:$A$20001,0)),$R37)),$R37)</f>
        <v>2026-09</v>
      </c>
      <c r="I37" s="36" t="str">
        <f>IF($M37&gt;0,"JLR rate card — material code "&amp;$K37,$Q37)</f>
        <v>UK Al sheet stockholder Jun 2026. 5754 H22 — automotive body closures, truck panels. Excellent formability. Yield 140 MPa. Index-anchored 2026-07 (see PRICING BASIS). | Refresh 2026-09: −£0.060/kg from 0.97kg al £2.910→£2.849/kg; premiums held</v>
      </c>
      <c r="J37" s="33" t="s">
        <v>1380</v>
      </c>
      <c r="K37" s="37" t="str">
        <f>IFERROR(INDEX(Mapping!$C$2:$C$549,MATCH($A37,Mapping!$A$2:$A$549,0)),"")</f>
        <v/>
      </c>
      <c r="L37" s="37">
        <f>IF($K37="",0,COUNTIFS('JLR Materials'!$A$2:$A$20001,$K37,'JLR Materials'!$C$2:$C$20001,IF(Settings!$B$2="","&lt;&gt;",Settings!$B$2),'JLR Materials'!$D$2:$D$20001,IF(Settings!$B$4="","&lt;&gt;",Settings!$B$4)))</f>
        <v>0</v>
      </c>
      <c r="M37" s="38">
        <f>IF($L37&lt;&gt;1,0,SUMIFS('JLR Materials'!$E$2:$E$20001,'JLR Materials'!$A$2:$A$20001,$K37,'JLR Materials'!$C$2:$C$20001,IF(Settings!$B$2="","&lt;&gt;",Settings!$B$2),'JLR Materials'!$D$2:$D$20001,IF(Settings!$B$4="","&lt;&gt;",Settings!$B$4)))</f>
        <v>0</v>
      </c>
      <c r="N37" s="39">
        <f>IF($L37&lt;&gt;1,0,SUMIFS('JLR Materials'!$F$2:$F$20001,'JLR Materials'!$A$2:$A$20001,$K37,'JLR Materials'!$C$2:$C$20001,IF(Settings!$B$2="","&lt;&gt;",Settings!$B$2),'JLR Materials'!$D$2:$D$20001,IF(Settings!$B$4="","&lt;&gt;",Settings!$B$4)))</f>
        <v>0</v>
      </c>
      <c r="O37" s="38">
        <f>IF($N37=0,0,IF(Settings!$B$5="percent",$M37*$N37/100,$N37))</f>
        <v>0</v>
      </c>
      <c r="P37" s="39">
        <f>IF($L37&lt;&gt;1,0,SUMIFS('JLR Materials'!$G$2:$G$20001,'JLR Materials'!$A$2:$A$20001,$K37,'JLR Materials'!$C$2:$C$20001,IF(Settings!$B$2="","&lt;&gt;",Settings!$B$2),'JLR Materials'!$D$2:$D$20001,IF(Settings!$B$4="","&lt;&gt;",Settings!$B$4)))</f>
        <v>0</v>
      </c>
      <c r="Q37" s="40" t="s">
        <v>1468</v>
      </c>
      <c r="R37" s="40" t="s">
        <v>1382</v>
      </c>
    </row>
    <row r="38" spans="1:18" x14ac:dyDescent="0.25">
      <c r="A38" s="32" t="s">
        <v>339</v>
      </c>
      <c r="B38" s="33" t="s">
        <v>1469</v>
      </c>
      <c r="C38" s="33" t="s">
        <v>1445</v>
      </c>
      <c r="D38" s="34">
        <f>IF($M38&gt;0,$M38,3.66)</f>
        <v>3.66</v>
      </c>
      <c r="E38" s="34">
        <f>IF($O38&gt;0,$O38,0.49)</f>
        <v>0.49</v>
      </c>
      <c r="F38" s="35">
        <v>2700</v>
      </c>
      <c r="G38" s="33" t="s">
        <v>1379</v>
      </c>
      <c r="H38" s="36" t="str">
        <f>IF($M38&gt;0,IF($L38&lt;&gt;1,$R38,IFERROR(INDEX('JLR Materials'!$D$2:$D$20001,MATCH($K38,'JLR Materials'!$A$2:$A$20001,0)),$R38)),$R38)</f>
        <v>2026-09</v>
      </c>
      <c r="I38" s="36" t="str">
        <f>IF($M38&gt;0,"JLR rate card — material code "&amp;$K38,$Q38)</f>
        <v>UK Al sheet stockholder Jun 2026. 6061 T6 — general structural, aerospace, vehicle frames. Yield 276 MPa. Good weldability. Index-anchored 2026-07 (see PRICING BASIS). | Refresh 2026-09: −£0.060/kg from 0.97kg al £2.910→£2.849/kg; premiums held</v>
      </c>
      <c r="J38" s="33" t="s">
        <v>1380</v>
      </c>
      <c r="K38" s="37" t="str">
        <f>IFERROR(INDEX(Mapping!$C$2:$C$549,MATCH($A38,Mapping!$A$2:$A$549,0)),"")</f>
        <v/>
      </c>
      <c r="L38" s="37">
        <f>IF($K38="",0,COUNTIFS('JLR Materials'!$A$2:$A$20001,$K38,'JLR Materials'!$C$2:$C$20001,IF(Settings!$B$2="","&lt;&gt;",Settings!$B$2),'JLR Materials'!$D$2:$D$20001,IF(Settings!$B$4="","&lt;&gt;",Settings!$B$4)))</f>
        <v>0</v>
      </c>
      <c r="M38" s="38">
        <f>IF($L38&lt;&gt;1,0,SUMIFS('JLR Materials'!$E$2:$E$20001,'JLR Materials'!$A$2:$A$20001,$K38,'JLR Materials'!$C$2:$C$20001,IF(Settings!$B$2="","&lt;&gt;",Settings!$B$2),'JLR Materials'!$D$2:$D$20001,IF(Settings!$B$4="","&lt;&gt;",Settings!$B$4)))</f>
        <v>0</v>
      </c>
      <c r="N38" s="39">
        <f>IF($L38&lt;&gt;1,0,SUMIFS('JLR Materials'!$F$2:$F$20001,'JLR Materials'!$A$2:$A$20001,$K38,'JLR Materials'!$C$2:$C$20001,IF(Settings!$B$2="","&lt;&gt;",Settings!$B$2),'JLR Materials'!$D$2:$D$20001,IF(Settings!$B$4="","&lt;&gt;",Settings!$B$4)))</f>
        <v>0</v>
      </c>
      <c r="O38" s="38">
        <f>IF($N38=0,0,IF(Settings!$B$5="percent",$M38*$N38/100,$N38))</f>
        <v>0</v>
      </c>
      <c r="P38" s="39">
        <f>IF($L38&lt;&gt;1,0,SUMIFS('JLR Materials'!$G$2:$G$20001,'JLR Materials'!$A$2:$A$20001,$K38,'JLR Materials'!$C$2:$C$20001,IF(Settings!$B$2="","&lt;&gt;",Settings!$B$2),'JLR Materials'!$D$2:$D$20001,IF(Settings!$B$4="","&lt;&gt;",Settings!$B$4)))</f>
        <v>0</v>
      </c>
      <c r="Q38" s="40" t="s">
        <v>1470</v>
      </c>
      <c r="R38" s="40" t="s">
        <v>1382</v>
      </c>
    </row>
    <row r="39" spans="1:18" x14ac:dyDescent="0.25">
      <c r="A39" s="32" t="s">
        <v>341</v>
      </c>
      <c r="B39" s="33" t="s">
        <v>1471</v>
      </c>
      <c r="C39" s="33" t="s">
        <v>1445</v>
      </c>
      <c r="D39" s="34">
        <f>IF($M39&gt;0,$M39,3.49)</f>
        <v>3.49</v>
      </c>
      <c r="E39" s="34">
        <f>IF($O39&gt;0,$O39,0.49)</f>
        <v>0.49</v>
      </c>
      <c r="F39" s="35">
        <v>2690</v>
      </c>
      <c r="G39" s="33" t="s">
        <v>1379</v>
      </c>
      <c r="H39" s="36" t="str">
        <f>IF($M39&gt;0,IF($L39&lt;&gt;1,$R39,IFERROR(INDEX('JLR Materials'!$D$2:$D$20001,MATCH($K39,'JLR Materials'!$A$2:$A$20001,0)),$R39)),$R39)</f>
        <v>2026-09</v>
      </c>
      <c r="I39" s="36" t="str">
        <f>IF($M39&gt;0,"JLR rate card — material code "&amp;$K39,$Q39)</f>
        <v>UK Al sheet stockholder Jun 2026. 6063 T5 — architectural panels, window frames, radiators. Yield 145 MPa. Anodises well. Index-anchored 2026-07 (see PRICING BASIS). | Refresh 2026-09: −£0.060/kg from 0.97kg al £2.910→£2.849/kg; premiums held</v>
      </c>
      <c r="J39" s="33" t="s">
        <v>1393</v>
      </c>
      <c r="K39" s="37" t="str">
        <f>IFERROR(INDEX(Mapping!$C$2:$C$549,MATCH($A39,Mapping!$A$2:$A$549,0)),"")</f>
        <v/>
      </c>
      <c r="L39" s="37">
        <f>IF($K39="",0,COUNTIFS('JLR Materials'!$A$2:$A$20001,$K39,'JLR Materials'!$C$2:$C$20001,IF(Settings!$B$2="","&lt;&gt;",Settings!$B$2),'JLR Materials'!$D$2:$D$20001,IF(Settings!$B$4="","&lt;&gt;",Settings!$B$4)))</f>
        <v>0</v>
      </c>
      <c r="M39" s="38">
        <f>IF($L39&lt;&gt;1,0,SUMIFS('JLR Materials'!$E$2:$E$20001,'JLR Materials'!$A$2:$A$20001,$K39,'JLR Materials'!$C$2:$C$20001,IF(Settings!$B$2="","&lt;&gt;",Settings!$B$2),'JLR Materials'!$D$2:$D$20001,IF(Settings!$B$4="","&lt;&gt;",Settings!$B$4)))</f>
        <v>0</v>
      </c>
      <c r="N39" s="39">
        <f>IF($L39&lt;&gt;1,0,SUMIFS('JLR Materials'!$F$2:$F$20001,'JLR Materials'!$A$2:$A$20001,$K39,'JLR Materials'!$C$2:$C$20001,IF(Settings!$B$2="","&lt;&gt;",Settings!$B$2),'JLR Materials'!$D$2:$D$20001,IF(Settings!$B$4="","&lt;&gt;",Settings!$B$4)))</f>
        <v>0</v>
      </c>
      <c r="O39" s="38">
        <f>IF($N39=0,0,IF(Settings!$B$5="percent",$M39*$N39/100,$N39))</f>
        <v>0</v>
      </c>
      <c r="P39" s="39">
        <f>IF($L39&lt;&gt;1,0,SUMIFS('JLR Materials'!$G$2:$G$20001,'JLR Materials'!$A$2:$A$20001,$K39,'JLR Materials'!$C$2:$C$20001,IF(Settings!$B$2="","&lt;&gt;",Settings!$B$2),'JLR Materials'!$D$2:$D$20001,IF(Settings!$B$4="","&lt;&gt;",Settings!$B$4)))</f>
        <v>0</v>
      </c>
      <c r="Q39" s="40" t="s">
        <v>1472</v>
      </c>
      <c r="R39" s="40" t="s">
        <v>1382</v>
      </c>
    </row>
    <row r="40" spans="1:18" x14ac:dyDescent="0.25">
      <c r="A40" s="32" t="s">
        <v>343</v>
      </c>
      <c r="B40" s="33" t="s">
        <v>1473</v>
      </c>
      <c r="C40" s="33" t="s">
        <v>1445</v>
      </c>
      <c r="D40" s="34">
        <f>IF($M40&gt;0,$M40,2.99)</f>
        <v>2.99</v>
      </c>
      <c r="E40" s="34">
        <f>IF($O40&gt;0,$O40,0.47)</f>
        <v>0.47</v>
      </c>
      <c r="F40" s="35">
        <v>2730</v>
      </c>
      <c r="G40" s="33" t="s">
        <v>1379</v>
      </c>
      <c r="H40" s="36" t="str">
        <f>IF($M40&gt;0,IF($L40&lt;&gt;1,$R40,IFERROR(INDEX('JLR Materials'!$D$2:$D$20001,MATCH($K40,'JLR Materials'!$A$2:$A$20001,0)),$R40)),$R40)</f>
        <v>2026-09</v>
      </c>
      <c r="I40" s="36" t="str">
        <f>IF($M40&gt;0,"JLR rate card — material code "&amp;$K40,$Q40)</f>
        <v>UK Al sheet stockholder Jun 2026. 3003 H14 — heat exchangers, chemical equipment, fuel tanks, cookware. Best formability of common Al alloys. Yield 145 MPa. Index-anchored 2026-07 (see PRICING BASIS). | Refresh 2026-09: −£0.060/kg from 0.97kg al £2.910→£2.849/kg; premiums held</v>
      </c>
      <c r="J40" s="33" t="s">
        <v>1393</v>
      </c>
      <c r="K40" s="37" t="str">
        <f>IFERROR(INDEX(Mapping!$C$2:$C$549,MATCH($A40,Mapping!$A$2:$A$549,0)),"")</f>
        <v/>
      </c>
      <c r="L40" s="37">
        <f>IF($K40="",0,COUNTIFS('JLR Materials'!$A$2:$A$20001,$K40,'JLR Materials'!$C$2:$C$20001,IF(Settings!$B$2="","&lt;&gt;",Settings!$B$2),'JLR Materials'!$D$2:$D$20001,IF(Settings!$B$4="","&lt;&gt;",Settings!$B$4)))</f>
        <v>0</v>
      </c>
      <c r="M40" s="38">
        <f>IF($L40&lt;&gt;1,0,SUMIFS('JLR Materials'!$E$2:$E$20001,'JLR Materials'!$A$2:$A$20001,$K40,'JLR Materials'!$C$2:$C$20001,IF(Settings!$B$2="","&lt;&gt;",Settings!$B$2),'JLR Materials'!$D$2:$D$20001,IF(Settings!$B$4="","&lt;&gt;",Settings!$B$4)))</f>
        <v>0</v>
      </c>
      <c r="N40" s="39">
        <f>IF($L40&lt;&gt;1,0,SUMIFS('JLR Materials'!$F$2:$F$20001,'JLR Materials'!$A$2:$A$20001,$K40,'JLR Materials'!$C$2:$C$20001,IF(Settings!$B$2="","&lt;&gt;",Settings!$B$2),'JLR Materials'!$D$2:$D$20001,IF(Settings!$B$4="","&lt;&gt;",Settings!$B$4)))</f>
        <v>0</v>
      </c>
      <c r="O40" s="38">
        <f>IF($N40=0,0,IF(Settings!$B$5="percent",$M40*$N40/100,$N40))</f>
        <v>0</v>
      </c>
      <c r="P40" s="39">
        <f>IF($L40&lt;&gt;1,0,SUMIFS('JLR Materials'!$G$2:$G$20001,'JLR Materials'!$A$2:$A$20001,$K40,'JLR Materials'!$C$2:$C$20001,IF(Settings!$B$2="","&lt;&gt;",Settings!$B$2),'JLR Materials'!$D$2:$D$20001,IF(Settings!$B$4="","&lt;&gt;",Settings!$B$4)))</f>
        <v>0</v>
      </c>
      <c r="Q40" s="40" t="s">
        <v>1474</v>
      </c>
      <c r="R40" s="40" t="s">
        <v>1382</v>
      </c>
    </row>
    <row r="41" spans="1:18" x14ac:dyDescent="0.25">
      <c r="A41" s="32" t="s">
        <v>345</v>
      </c>
      <c r="B41" s="33" t="s">
        <v>1475</v>
      </c>
      <c r="C41" s="33" t="s">
        <v>1476</v>
      </c>
      <c r="D41" s="34">
        <f>IF($M41&gt;0,$M41,10.77)</f>
        <v>10.77</v>
      </c>
      <c r="E41" s="34">
        <f>IF($O41&gt;0,$O41,6.01)</f>
        <v>6.01</v>
      </c>
      <c r="F41" s="35">
        <v>8940</v>
      </c>
      <c r="G41" s="33" t="s">
        <v>1379</v>
      </c>
      <c r="H41" s="36" t="str">
        <f>IF($M41&gt;0,IF($L41&lt;&gt;1,$R41,IFERROR(INDEX('JLR Materials'!$D$2:$D$20001,MATCH($K41,'JLR Materials'!$A$2:$A$20001,0)),$R41)),$R41)</f>
        <v>2026-09</v>
      </c>
      <c r="I41" s="36" t="str">
        <f>IF($M41&gt;0,"JLR rate card — material code "&amp;$K41,$Q41)</f>
        <v>UK copper stockholder Jun 2026. C110 ETP copper — busbars, electrical contacts, heat sinks, roofing. 99.9% Cu, 100% IACS. Yield 70 MPa. Index-anchored 2026-07 (see PRICING BASIS). | Refresh 2026-09: +£0.920/kg from 1kg cu £10.070→£10.768/kg, floored at commodity content £10.77/kg (previous level was below the metal it contains); premiums held</v>
      </c>
      <c r="J41" s="33" t="s">
        <v>1380</v>
      </c>
      <c r="K41" s="37" t="str">
        <f>IFERROR(INDEX(Mapping!$C$2:$C$549,MATCH($A41,Mapping!$A$2:$A$549,0)),"")</f>
        <v/>
      </c>
      <c r="L41" s="37">
        <f>IF($K41="",0,COUNTIFS('JLR Materials'!$A$2:$A$20001,$K41,'JLR Materials'!$C$2:$C$20001,IF(Settings!$B$2="","&lt;&gt;",Settings!$B$2),'JLR Materials'!$D$2:$D$20001,IF(Settings!$B$4="","&lt;&gt;",Settings!$B$4)))</f>
        <v>0</v>
      </c>
      <c r="M41" s="38">
        <f>IF($L41&lt;&gt;1,0,SUMIFS('JLR Materials'!$E$2:$E$20001,'JLR Materials'!$A$2:$A$20001,$K41,'JLR Materials'!$C$2:$C$20001,IF(Settings!$B$2="","&lt;&gt;",Settings!$B$2),'JLR Materials'!$D$2:$D$20001,IF(Settings!$B$4="","&lt;&gt;",Settings!$B$4)))</f>
        <v>0</v>
      </c>
      <c r="N41" s="39">
        <f>IF($L41&lt;&gt;1,0,SUMIFS('JLR Materials'!$F$2:$F$20001,'JLR Materials'!$A$2:$A$20001,$K41,'JLR Materials'!$C$2:$C$20001,IF(Settings!$B$2="","&lt;&gt;",Settings!$B$2),'JLR Materials'!$D$2:$D$20001,IF(Settings!$B$4="","&lt;&gt;",Settings!$B$4)))</f>
        <v>0</v>
      </c>
      <c r="O41" s="38">
        <f>IF($N41=0,0,IF(Settings!$B$5="percent",$M41*$N41/100,$N41))</f>
        <v>0</v>
      </c>
      <c r="P41" s="39">
        <f>IF($L41&lt;&gt;1,0,SUMIFS('JLR Materials'!$G$2:$G$20001,'JLR Materials'!$A$2:$A$20001,$K41,'JLR Materials'!$C$2:$C$20001,IF(Settings!$B$2="","&lt;&gt;",Settings!$B$2),'JLR Materials'!$D$2:$D$20001,IF(Settings!$B$4="","&lt;&gt;",Settings!$B$4)))</f>
        <v>0</v>
      </c>
      <c r="Q41" s="40" t="s">
        <v>1477</v>
      </c>
      <c r="R41" s="40" t="s">
        <v>1382</v>
      </c>
    </row>
    <row r="42" spans="1:18" x14ac:dyDescent="0.25">
      <c r="A42" s="32" t="s">
        <v>347</v>
      </c>
      <c r="B42" s="33" t="s">
        <v>1478</v>
      </c>
      <c r="C42" s="33" t="s">
        <v>1476</v>
      </c>
      <c r="D42" s="34">
        <f>IF($M42&gt;0,$M42,8.42)</f>
        <v>8.42</v>
      </c>
      <c r="E42" s="34">
        <f>IF($O42&gt;0,$O42,4.77)</f>
        <v>4.77</v>
      </c>
      <c r="F42" s="35">
        <v>8530</v>
      </c>
      <c r="G42" s="33" t="s">
        <v>1379</v>
      </c>
      <c r="H42" s="36" t="str">
        <f>IF($M42&gt;0,IF($L42&lt;&gt;1,$R42,IFERROR(INDEX('JLR Materials'!$D$2:$D$20001,MATCH($K42,'JLR Materials'!$A$2:$A$20001,0)),$R42)),$R42)</f>
        <v>2026-09</v>
      </c>
      <c r="I42" s="36" t="str">
        <f>IF($M42&gt;0,"JLR rate card — material code "&amp;$K42,$Q42)</f>
        <v>UK brass stockholder Jun 2026. CZ108 70/30 cartridge brass — decorative panels, heat exchangers, plumbing fittings. Excellent cold formability. Yield 105 MPa. Index-anchored 2026-07 (see PRICING BASIS). | Refresh 2026-09: +£1.000/kg from 0.7kg cu £10.070→£10.768/kg, 0.3kg zn £2.164→£2.913/kg, floored at commodity content £8.41/kg (previous level was below the metal it contains); premiums held</v>
      </c>
      <c r="J42" s="33" t="s">
        <v>1380</v>
      </c>
      <c r="K42" s="37" t="str">
        <f>IFERROR(INDEX(Mapping!$C$2:$C$549,MATCH($A42,Mapping!$A$2:$A$549,0)),"")</f>
        <v/>
      </c>
      <c r="L42" s="37">
        <f>IF($K42="",0,COUNTIFS('JLR Materials'!$A$2:$A$20001,$K42,'JLR Materials'!$C$2:$C$20001,IF(Settings!$B$2="","&lt;&gt;",Settings!$B$2),'JLR Materials'!$D$2:$D$20001,IF(Settings!$B$4="","&lt;&gt;",Settings!$B$4)))</f>
        <v>0</v>
      </c>
      <c r="M42" s="38">
        <f>IF($L42&lt;&gt;1,0,SUMIFS('JLR Materials'!$E$2:$E$20001,'JLR Materials'!$A$2:$A$20001,$K42,'JLR Materials'!$C$2:$C$20001,IF(Settings!$B$2="","&lt;&gt;",Settings!$B$2),'JLR Materials'!$D$2:$D$20001,IF(Settings!$B$4="","&lt;&gt;",Settings!$B$4)))</f>
        <v>0</v>
      </c>
      <c r="N42" s="39">
        <f>IF($L42&lt;&gt;1,0,SUMIFS('JLR Materials'!$F$2:$F$20001,'JLR Materials'!$A$2:$A$20001,$K42,'JLR Materials'!$C$2:$C$20001,IF(Settings!$B$2="","&lt;&gt;",Settings!$B$2),'JLR Materials'!$D$2:$D$20001,IF(Settings!$B$4="","&lt;&gt;",Settings!$B$4)))</f>
        <v>0</v>
      </c>
      <c r="O42" s="38">
        <f>IF($N42=0,0,IF(Settings!$B$5="percent",$M42*$N42/100,$N42))</f>
        <v>0</v>
      </c>
      <c r="P42" s="39">
        <f>IF($L42&lt;&gt;1,0,SUMIFS('JLR Materials'!$G$2:$G$20001,'JLR Materials'!$A$2:$A$20001,$K42,'JLR Materials'!$C$2:$C$20001,IF(Settings!$B$2="","&lt;&gt;",Settings!$B$2),'JLR Materials'!$D$2:$D$20001,IF(Settings!$B$4="","&lt;&gt;",Settings!$B$4)))</f>
        <v>0</v>
      </c>
      <c r="Q42" s="40" t="s">
        <v>1479</v>
      </c>
      <c r="R42" s="40" t="s">
        <v>1382</v>
      </c>
    </row>
    <row r="43" spans="1:18" x14ac:dyDescent="0.25">
      <c r="A43" s="32" t="s">
        <v>349</v>
      </c>
      <c r="B43" s="33" t="s">
        <v>1480</v>
      </c>
      <c r="C43" s="33" t="s">
        <v>1436</v>
      </c>
      <c r="D43" s="34">
        <f>IF($M43&gt;0,$M43,1.37)</f>
        <v>1.37</v>
      </c>
      <c r="E43" s="34">
        <f>IF($O43&gt;0,$O43,0.23)</f>
        <v>0.23</v>
      </c>
      <c r="F43" s="35">
        <v>7850</v>
      </c>
      <c r="G43" s="33" t="s">
        <v>1379</v>
      </c>
      <c r="H43" s="36" t="str">
        <f>IF($M43&gt;0,IF($L43&lt;&gt;1,$R43,IFERROR(INDEX('JLR Materials'!$D$2:$D$20001,MATCH($K43,'JLR Materials'!$A$2:$A$20001,0)),$R43)),$R43)</f>
        <v>2026-09</v>
      </c>
      <c r="I43" s="36" t="str">
        <f>IF($M43&gt;0,"JLR rate card — material code "&amp;$K43,$Q43)</f>
        <v>UK AHSS coil Jul 2026. Dual-phase 780 MPa UTS — crash rails, seat structures. Needs ~1.6× press tonnage &amp; extra restrike vs DP600; springback compensation in die. Yield ~450 MPa. | Refresh 2026-09: +£0.049/kg from 1kg crc £0.668→£0.717/kg; premiums held</v>
      </c>
      <c r="J43" s="33" t="s">
        <v>1393</v>
      </c>
      <c r="K43" s="37" t="str">
        <f>IFERROR(INDEX(Mapping!$C$2:$C$549,MATCH($A43,Mapping!$A$2:$A$549,0)),"")</f>
        <v/>
      </c>
      <c r="L43" s="37">
        <f>IF($K43="",0,COUNTIFS('JLR Materials'!$A$2:$A$20001,$K43,'JLR Materials'!$C$2:$C$20001,IF(Settings!$B$2="","&lt;&gt;",Settings!$B$2),'JLR Materials'!$D$2:$D$20001,IF(Settings!$B$4="","&lt;&gt;",Settings!$B$4)))</f>
        <v>0</v>
      </c>
      <c r="M43" s="38">
        <f>IF($L43&lt;&gt;1,0,SUMIFS('JLR Materials'!$E$2:$E$20001,'JLR Materials'!$A$2:$A$20001,$K43,'JLR Materials'!$C$2:$C$20001,IF(Settings!$B$2="","&lt;&gt;",Settings!$B$2),'JLR Materials'!$D$2:$D$20001,IF(Settings!$B$4="","&lt;&gt;",Settings!$B$4)))</f>
        <v>0</v>
      </c>
      <c r="N43" s="39">
        <f>IF($L43&lt;&gt;1,0,SUMIFS('JLR Materials'!$F$2:$F$20001,'JLR Materials'!$A$2:$A$20001,$K43,'JLR Materials'!$C$2:$C$20001,IF(Settings!$B$2="","&lt;&gt;",Settings!$B$2),'JLR Materials'!$D$2:$D$20001,IF(Settings!$B$4="","&lt;&gt;",Settings!$B$4)))</f>
        <v>0</v>
      </c>
      <c r="O43" s="38">
        <f>IF($N43=0,0,IF(Settings!$B$5="percent",$M43*$N43/100,$N43))</f>
        <v>0</v>
      </c>
      <c r="P43" s="39">
        <f>IF($L43&lt;&gt;1,0,SUMIFS('JLR Materials'!$G$2:$G$20001,'JLR Materials'!$A$2:$A$20001,$K43,'JLR Materials'!$C$2:$C$20001,IF(Settings!$B$2="","&lt;&gt;",Settings!$B$2),'JLR Materials'!$D$2:$D$20001,IF(Settings!$B$4="","&lt;&gt;",Settings!$B$4)))</f>
        <v>0</v>
      </c>
      <c r="Q43" s="40" t="s">
        <v>1481</v>
      </c>
      <c r="R43" s="40" t="s">
        <v>1382</v>
      </c>
    </row>
    <row r="44" spans="1:18" x14ac:dyDescent="0.25">
      <c r="A44" s="32" t="s">
        <v>351</v>
      </c>
      <c r="B44" s="33" t="s">
        <v>1482</v>
      </c>
      <c r="C44" s="33" t="s">
        <v>1436</v>
      </c>
      <c r="D44" s="34">
        <f>IF($M44&gt;0,$M44,1.5)</f>
        <v>1.5</v>
      </c>
      <c r="E44" s="34">
        <f>IF($O44&gt;0,$O44,0.23)</f>
        <v>0.23</v>
      </c>
      <c r="F44" s="35">
        <v>7850</v>
      </c>
      <c r="G44" s="33" t="s">
        <v>1379</v>
      </c>
      <c r="H44" s="36" t="str">
        <f>IF($M44&gt;0,IF($L44&lt;&gt;1,$R44,IFERROR(INDEX('JLR Materials'!$D$2:$D$20001,MATCH($K44,'JLR Materials'!$A$2:$A$20001,0)),$R44)),$R44)</f>
        <v>2026-09</v>
      </c>
      <c r="I44" s="36" t="str">
        <f>IF($M44&gt;0,"JLR rate card — material code "&amp;$K44,$Q44)</f>
        <v>UK AHSS coil Jul 2026. Dual-phase 980 MPa UTS — B-pillar reinforcements, longitudinals. High die wear, significant springback, limited formability. Yield ~600 MPa. | Refresh 2026-09: +£0.049/kg from 1kg crc £0.668→£0.717/kg; premiums held</v>
      </c>
      <c r="J44" s="33" t="s">
        <v>1393</v>
      </c>
      <c r="K44" s="37" t="str">
        <f>IFERROR(INDEX(Mapping!$C$2:$C$549,MATCH($A44,Mapping!$A$2:$A$549,0)),"")</f>
        <v/>
      </c>
      <c r="L44" s="37">
        <f>IF($K44="",0,COUNTIFS('JLR Materials'!$A$2:$A$20001,$K44,'JLR Materials'!$C$2:$C$20001,IF(Settings!$B$2="","&lt;&gt;",Settings!$B$2),'JLR Materials'!$D$2:$D$20001,IF(Settings!$B$4="","&lt;&gt;",Settings!$B$4)))</f>
        <v>0</v>
      </c>
      <c r="M44" s="38">
        <f>IF($L44&lt;&gt;1,0,SUMIFS('JLR Materials'!$E$2:$E$20001,'JLR Materials'!$A$2:$A$20001,$K44,'JLR Materials'!$C$2:$C$20001,IF(Settings!$B$2="","&lt;&gt;",Settings!$B$2),'JLR Materials'!$D$2:$D$20001,IF(Settings!$B$4="","&lt;&gt;",Settings!$B$4)))</f>
        <v>0</v>
      </c>
      <c r="N44" s="39">
        <f>IF($L44&lt;&gt;1,0,SUMIFS('JLR Materials'!$F$2:$F$20001,'JLR Materials'!$A$2:$A$20001,$K44,'JLR Materials'!$C$2:$C$20001,IF(Settings!$B$2="","&lt;&gt;",Settings!$B$2),'JLR Materials'!$D$2:$D$20001,IF(Settings!$B$4="","&lt;&gt;",Settings!$B$4)))</f>
        <v>0</v>
      </c>
      <c r="O44" s="38">
        <f>IF($N44=0,0,IF(Settings!$B$5="percent",$M44*$N44/100,$N44))</f>
        <v>0</v>
      </c>
      <c r="P44" s="39">
        <f>IF($L44&lt;&gt;1,0,SUMIFS('JLR Materials'!$G$2:$G$20001,'JLR Materials'!$A$2:$A$20001,$K44,'JLR Materials'!$C$2:$C$20001,IF(Settings!$B$2="","&lt;&gt;",Settings!$B$2),'JLR Materials'!$D$2:$D$20001,IF(Settings!$B$4="","&lt;&gt;",Settings!$B$4)))</f>
        <v>0</v>
      </c>
      <c r="Q44" s="40" t="s">
        <v>1483</v>
      </c>
      <c r="R44" s="40" t="s">
        <v>1382</v>
      </c>
    </row>
    <row r="45" spans="1:18" x14ac:dyDescent="0.25">
      <c r="A45" s="32" t="s">
        <v>353</v>
      </c>
      <c r="B45" s="33" t="s">
        <v>1484</v>
      </c>
      <c r="C45" s="33" t="s">
        <v>1436</v>
      </c>
      <c r="D45" s="34">
        <f>IF($M45&gt;0,$M45,1.57)</f>
        <v>1.57</v>
      </c>
      <c r="E45" s="34">
        <f>IF($O45&gt;0,$O45,0.23)</f>
        <v>0.23</v>
      </c>
      <c r="F45" s="35">
        <v>7850</v>
      </c>
      <c r="G45" s="33" t="s">
        <v>1379</v>
      </c>
      <c r="H45" s="36" t="str">
        <f>IF($M45&gt;0,IF($L45&lt;&gt;1,$R45,IFERROR(INDEX('JLR Materials'!$D$2:$D$20001,MATCH($K45,'JLR Materials'!$A$2:$A$20001,0)),$R45)),$R45)</f>
        <v>2026-09</v>
      </c>
      <c r="I45" s="36" t="str">
        <f>IF($M45&gt;0,"JLR rate card — material code "&amp;$K45,$Q45)</f>
        <v>UK AHSS coil Jul 2026. Dual-phase 1000 MPa UTS — cold-formed crash structures. Yield ~700 MPa. | Refresh 2026-09: +£0.049/kg from 1kg crc £0.668→£0.717/kg; premiums held</v>
      </c>
      <c r="J45" s="33" t="s">
        <v>1393</v>
      </c>
      <c r="K45" s="37" t="str">
        <f>IFERROR(INDEX(Mapping!$C$2:$C$549,MATCH($A45,Mapping!$A$2:$A$549,0)),"")</f>
        <v/>
      </c>
      <c r="L45" s="37">
        <f>IF($K45="",0,COUNTIFS('JLR Materials'!$A$2:$A$20001,$K45,'JLR Materials'!$C$2:$C$20001,IF(Settings!$B$2="","&lt;&gt;",Settings!$B$2),'JLR Materials'!$D$2:$D$20001,IF(Settings!$B$4="","&lt;&gt;",Settings!$B$4)))</f>
        <v>0</v>
      </c>
      <c r="M45" s="38">
        <f>IF($L45&lt;&gt;1,0,SUMIFS('JLR Materials'!$E$2:$E$20001,'JLR Materials'!$A$2:$A$20001,$K45,'JLR Materials'!$C$2:$C$20001,IF(Settings!$B$2="","&lt;&gt;",Settings!$B$2),'JLR Materials'!$D$2:$D$20001,IF(Settings!$B$4="","&lt;&gt;",Settings!$B$4)))</f>
        <v>0</v>
      </c>
      <c r="N45" s="39">
        <f>IF($L45&lt;&gt;1,0,SUMIFS('JLR Materials'!$F$2:$F$20001,'JLR Materials'!$A$2:$A$20001,$K45,'JLR Materials'!$C$2:$C$20001,IF(Settings!$B$2="","&lt;&gt;",Settings!$B$2),'JLR Materials'!$D$2:$D$20001,IF(Settings!$B$4="","&lt;&gt;",Settings!$B$4)))</f>
        <v>0</v>
      </c>
      <c r="O45" s="38">
        <f>IF($N45=0,0,IF(Settings!$B$5="percent",$M45*$N45/100,$N45))</f>
        <v>0</v>
      </c>
      <c r="P45" s="39">
        <f>IF($L45&lt;&gt;1,0,SUMIFS('JLR Materials'!$G$2:$G$20001,'JLR Materials'!$A$2:$A$20001,$K45,'JLR Materials'!$C$2:$C$20001,IF(Settings!$B$2="","&lt;&gt;",Settings!$B$2),'JLR Materials'!$D$2:$D$20001,IF(Settings!$B$4="","&lt;&gt;",Settings!$B$4)))</f>
        <v>0</v>
      </c>
      <c r="Q45" s="40" t="s">
        <v>1485</v>
      </c>
      <c r="R45" s="40" t="s">
        <v>1382</v>
      </c>
    </row>
    <row r="46" spans="1:18" x14ac:dyDescent="0.25">
      <c r="A46" s="32" t="s">
        <v>355</v>
      </c>
      <c r="B46" s="33" t="s">
        <v>1486</v>
      </c>
      <c r="C46" s="33" t="s">
        <v>1436</v>
      </c>
      <c r="D46" s="34">
        <f>IF($M46&gt;0,$M46,1.45)</f>
        <v>1.45</v>
      </c>
      <c r="E46" s="34">
        <f>IF($O46&gt;0,$O46,0.23)</f>
        <v>0.23</v>
      </c>
      <c r="F46" s="35">
        <v>7850</v>
      </c>
      <c r="G46" s="33" t="s">
        <v>1379</v>
      </c>
      <c r="H46" s="36" t="str">
        <f>IF($M46&gt;0,IF($L46&lt;&gt;1,$R46,IFERROR(INDEX('JLR Materials'!$D$2:$D$20001,MATCH($K46,'JLR Materials'!$A$2:$A$20001,0)),$R46)),$R46)</f>
        <v>2026-09</v>
      </c>
      <c r="I46" s="36" t="str">
        <f>IF($M46&gt;0,"JLR rate card — material code "&amp;$K46,$Q46)</f>
        <v>UK AHSS coil Jul 2026. Transformation-induced plasticity 780 — best strength/formability balance, energy-absorbing members. Retained austenite. Yield ~440 MPa. | Refresh 2026-09: +£0.049/kg from 1kg crc £0.668→£0.717/kg; premiums held</v>
      </c>
      <c r="J46" s="33" t="s">
        <v>1393</v>
      </c>
      <c r="K46" s="37" t="str">
        <f>IFERROR(INDEX(Mapping!$C$2:$C$549,MATCH($A46,Mapping!$A$2:$A$549,0)),"")</f>
        <v/>
      </c>
      <c r="L46" s="37">
        <f>IF($K46="",0,COUNTIFS('JLR Materials'!$A$2:$A$20001,$K46,'JLR Materials'!$C$2:$C$20001,IF(Settings!$B$2="","&lt;&gt;",Settings!$B$2),'JLR Materials'!$D$2:$D$20001,IF(Settings!$B$4="","&lt;&gt;",Settings!$B$4)))</f>
        <v>0</v>
      </c>
      <c r="M46" s="38">
        <f>IF($L46&lt;&gt;1,0,SUMIFS('JLR Materials'!$E$2:$E$20001,'JLR Materials'!$A$2:$A$20001,$K46,'JLR Materials'!$C$2:$C$20001,IF(Settings!$B$2="","&lt;&gt;",Settings!$B$2),'JLR Materials'!$D$2:$D$20001,IF(Settings!$B$4="","&lt;&gt;",Settings!$B$4)))</f>
        <v>0</v>
      </c>
      <c r="N46" s="39">
        <f>IF($L46&lt;&gt;1,0,SUMIFS('JLR Materials'!$F$2:$F$20001,'JLR Materials'!$A$2:$A$20001,$K46,'JLR Materials'!$C$2:$C$20001,IF(Settings!$B$2="","&lt;&gt;",Settings!$B$2),'JLR Materials'!$D$2:$D$20001,IF(Settings!$B$4="","&lt;&gt;",Settings!$B$4)))</f>
        <v>0</v>
      </c>
      <c r="O46" s="38">
        <f>IF($N46=0,0,IF(Settings!$B$5="percent",$M46*$N46/100,$N46))</f>
        <v>0</v>
      </c>
      <c r="P46" s="39">
        <f>IF($L46&lt;&gt;1,0,SUMIFS('JLR Materials'!$G$2:$G$20001,'JLR Materials'!$A$2:$A$20001,$K46,'JLR Materials'!$C$2:$C$20001,IF(Settings!$B$2="","&lt;&gt;",Settings!$B$2),'JLR Materials'!$D$2:$D$20001,IF(Settings!$B$4="","&lt;&gt;",Settings!$B$4)))</f>
        <v>0</v>
      </c>
      <c r="Q46" s="40" t="s">
        <v>1487</v>
      </c>
      <c r="R46" s="40" t="s">
        <v>1382</v>
      </c>
    </row>
    <row r="47" spans="1:18" x14ac:dyDescent="0.25">
      <c r="A47" s="32" t="s">
        <v>357</v>
      </c>
      <c r="B47" s="33" t="s">
        <v>1488</v>
      </c>
      <c r="C47" s="33" t="s">
        <v>1436</v>
      </c>
      <c r="D47" s="34">
        <f>IF($M47&gt;0,$M47,1.43)</f>
        <v>1.43</v>
      </c>
      <c r="E47" s="34">
        <f>IF($O47&gt;0,$O47,0.23)</f>
        <v>0.23</v>
      </c>
      <c r="F47" s="35">
        <v>7850</v>
      </c>
      <c r="G47" s="33" t="s">
        <v>1379</v>
      </c>
      <c r="H47" s="36" t="str">
        <f>IF($M47&gt;0,IF($L47&lt;&gt;1,$R47,IFERROR(INDEX('JLR Materials'!$D$2:$D$20001,MATCH($K47,'JLR Materials'!$A$2:$A$20001,0)),$R47)),$R47)</f>
        <v>2026-09</v>
      </c>
      <c r="I47" s="36" t="str">
        <f>IF($M47&gt;0,"JLR rate card — material code "&amp;$K47,$Q47)</f>
        <v>UK AHSS coil Jul 2026. Complex-phase 800 — high yield, good edge-stretch/hole expansion for chassis &amp; suspension parts. Yield ~680 MPa. | Refresh 2026-09: +£0.049/kg from 1kg crc £0.668→£0.717/kg; premiums held</v>
      </c>
      <c r="J47" s="33" t="s">
        <v>1393</v>
      </c>
      <c r="K47" s="37" t="str">
        <f>IFERROR(INDEX(Mapping!$C$2:$C$549,MATCH($A47,Mapping!$A$2:$A$549,0)),"")</f>
        <v/>
      </c>
      <c r="L47" s="37">
        <f>IF($K47="",0,COUNTIFS('JLR Materials'!$A$2:$A$20001,$K47,'JLR Materials'!$C$2:$C$20001,IF(Settings!$B$2="","&lt;&gt;",Settings!$B$2),'JLR Materials'!$D$2:$D$20001,IF(Settings!$B$4="","&lt;&gt;",Settings!$B$4)))</f>
        <v>0</v>
      </c>
      <c r="M47" s="38">
        <f>IF($L47&lt;&gt;1,0,SUMIFS('JLR Materials'!$E$2:$E$20001,'JLR Materials'!$A$2:$A$20001,$K47,'JLR Materials'!$C$2:$C$20001,IF(Settings!$B$2="","&lt;&gt;",Settings!$B$2),'JLR Materials'!$D$2:$D$20001,IF(Settings!$B$4="","&lt;&gt;",Settings!$B$4)))</f>
        <v>0</v>
      </c>
      <c r="N47" s="39">
        <f>IF($L47&lt;&gt;1,0,SUMIFS('JLR Materials'!$F$2:$F$20001,'JLR Materials'!$A$2:$A$20001,$K47,'JLR Materials'!$C$2:$C$20001,IF(Settings!$B$2="","&lt;&gt;",Settings!$B$2),'JLR Materials'!$D$2:$D$20001,IF(Settings!$B$4="","&lt;&gt;",Settings!$B$4)))</f>
        <v>0</v>
      </c>
      <c r="O47" s="38">
        <f>IF($N47=0,0,IF(Settings!$B$5="percent",$M47*$N47/100,$N47))</f>
        <v>0</v>
      </c>
      <c r="P47" s="39">
        <f>IF($L47&lt;&gt;1,0,SUMIFS('JLR Materials'!$G$2:$G$20001,'JLR Materials'!$A$2:$A$20001,$K47,'JLR Materials'!$C$2:$C$20001,IF(Settings!$B$2="","&lt;&gt;",Settings!$B$2),'JLR Materials'!$D$2:$D$20001,IF(Settings!$B$4="","&lt;&gt;",Settings!$B$4)))</f>
        <v>0</v>
      </c>
      <c r="Q47" s="40" t="s">
        <v>1489</v>
      </c>
      <c r="R47" s="40" t="s">
        <v>1382</v>
      </c>
    </row>
    <row r="48" spans="1:18" x14ac:dyDescent="0.25">
      <c r="A48" s="32" t="s">
        <v>359</v>
      </c>
      <c r="B48" s="33" t="s">
        <v>1490</v>
      </c>
      <c r="C48" s="33" t="s">
        <v>1442</v>
      </c>
      <c r="D48" s="34">
        <f>IF($M48&gt;0,$M48,1.6)</f>
        <v>1.6</v>
      </c>
      <c r="E48" s="34">
        <f>IF($O48&gt;0,$O48,0.23)</f>
        <v>0.23</v>
      </c>
      <c r="F48" s="35">
        <v>7850</v>
      </c>
      <c r="G48" s="33" t="s">
        <v>1379</v>
      </c>
      <c r="H48" s="36" t="str">
        <f>IF($M48&gt;0,IF($L48&lt;&gt;1,$R48,IFERROR(INDEX('JLR Materials'!$D$2:$D$20001,MATCH($K48,'JLR Materials'!$A$2:$A$20001,0)),$R48)),$R48)</f>
        <v>2026-09</v>
      </c>
      <c r="I48" s="36" t="str">
        <f>IF($M48&gt;0,"JLR rate card — material code "&amp;$K48,$Q48)</f>
        <v>UK UHSS coil Jul 2026. Martensitic 1200 MPa — roll-formed bumper beams, door beams. Very low formability, roll-form only. Yield ~950 MPa. | Refresh 2026-09: +£0.049/kg from 1kg crc £0.668→£0.717/kg; premiums held</v>
      </c>
      <c r="J48" s="33" t="s">
        <v>1393</v>
      </c>
      <c r="K48" s="37" t="str">
        <f>IFERROR(INDEX(Mapping!$C$2:$C$549,MATCH($A48,Mapping!$A$2:$A$549,0)),"")</f>
        <v/>
      </c>
      <c r="L48" s="37">
        <f>IF($K48="",0,COUNTIFS('JLR Materials'!$A$2:$A$20001,$K48,'JLR Materials'!$C$2:$C$20001,IF(Settings!$B$2="","&lt;&gt;",Settings!$B$2),'JLR Materials'!$D$2:$D$20001,IF(Settings!$B$4="","&lt;&gt;",Settings!$B$4)))</f>
        <v>0</v>
      </c>
      <c r="M48" s="38">
        <f>IF($L48&lt;&gt;1,0,SUMIFS('JLR Materials'!$E$2:$E$20001,'JLR Materials'!$A$2:$A$20001,$K48,'JLR Materials'!$C$2:$C$20001,IF(Settings!$B$2="","&lt;&gt;",Settings!$B$2),'JLR Materials'!$D$2:$D$20001,IF(Settings!$B$4="","&lt;&gt;",Settings!$B$4)))</f>
        <v>0</v>
      </c>
      <c r="N48" s="39">
        <f>IF($L48&lt;&gt;1,0,SUMIFS('JLR Materials'!$F$2:$F$20001,'JLR Materials'!$A$2:$A$20001,$K48,'JLR Materials'!$C$2:$C$20001,IF(Settings!$B$2="","&lt;&gt;",Settings!$B$2),'JLR Materials'!$D$2:$D$20001,IF(Settings!$B$4="","&lt;&gt;",Settings!$B$4)))</f>
        <v>0</v>
      </c>
      <c r="O48" s="38">
        <f>IF($N48=0,0,IF(Settings!$B$5="percent",$M48*$N48/100,$N48))</f>
        <v>0</v>
      </c>
      <c r="P48" s="39">
        <f>IF($L48&lt;&gt;1,0,SUMIFS('JLR Materials'!$G$2:$G$20001,'JLR Materials'!$A$2:$A$20001,$K48,'JLR Materials'!$C$2:$C$20001,IF(Settings!$B$2="","&lt;&gt;",Settings!$B$2),'JLR Materials'!$D$2:$D$20001,IF(Settings!$B$4="","&lt;&gt;",Settings!$B$4)))</f>
        <v>0</v>
      </c>
      <c r="Q48" s="40" t="s">
        <v>1491</v>
      </c>
      <c r="R48" s="40" t="s">
        <v>1382</v>
      </c>
    </row>
    <row r="49" spans="1:18" x14ac:dyDescent="0.25">
      <c r="A49" s="32" t="s">
        <v>361</v>
      </c>
      <c r="B49" s="33" t="s">
        <v>1492</v>
      </c>
      <c r="C49" s="33" t="s">
        <v>1442</v>
      </c>
      <c r="D49" s="34">
        <f>IF($M49&gt;0,$M49,1.77)</f>
        <v>1.77</v>
      </c>
      <c r="E49" s="34">
        <f>IF($O49&gt;0,$O49,0.23)</f>
        <v>0.23</v>
      </c>
      <c r="F49" s="35">
        <v>7850</v>
      </c>
      <c r="G49" s="33" t="s">
        <v>1379</v>
      </c>
      <c r="H49" s="36" t="str">
        <f>IF($M49&gt;0,IF($L49&lt;&gt;1,$R49,IFERROR(INDEX('JLR Materials'!$D$2:$D$20001,MATCH($K49,'JLR Materials'!$A$2:$A$20001,0)),$R49)),$R49)</f>
        <v>2026-09</v>
      </c>
      <c r="I49" s="36" t="str">
        <f>IF($M49&gt;0,"JLR rate card — material code "&amp;$K49,$Q49)</f>
        <v>UK UHSS coil Jul 2026. Martensitic 1500 MPa — bumper beams, intrusion beams. Roll-forming or hot forming only. Yield ~1200 MPa. | Refresh 2026-09: +£0.049/kg from 1kg crc £0.668→£0.717/kg; premiums held</v>
      </c>
      <c r="J49" s="33" t="s">
        <v>1393</v>
      </c>
      <c r="K49" s="37" t="str">
        <f>IFERROR(INDEX(Mapping!$C$2:$C$549,MATCH($A49,Mapping!$A$2:$A$549,0)),"")</f>
        <v/>
      </c>
      <c r="L49" s="37">
        <f>IF($K49="",0,COUNTIFS('JLR Materials'!$A$2:$A$20001,$K49,'JLR Materials'!$C$2:$C$20001,IF(Settings!$B$2="","&lt;&gt;",Settings!$B$2),'JLR Materials'!$D$2:$D$20001,IF(Settings!$B$4="","&lt;&gt;",Settings!$B$4)))</f>
        <v>0</v>
      </c>
      <c r="M49" s="38">
        <f>IF($L49&lt;&gt;1,0,SUMIFS('JLR Materials'!$E$2:$E$20001,'JLR Materials'!$A$2:$A$20001,$K49,'JLR Materials'!$C$2:$C$20001,IF(Settings!$B$2="","&lt;&gt;",Settings!$B$2),'JLR Materials'!$D$2:$D$20001,IF(Settings!$B$4="","&lt;&gt;",Settings!$B$4)))</f>
        <v>0</v>
      </c>
      <c r="N49" s="39">
        <f>IF($L49&lt;&gt;1,0,SUMIFS('JLR Materials'!$F$2:$F$20001,'JLR Materials'!$A$2:$A$20001,$K49,'JLR Materials'!$C$2:$C$20001,IF(Settings!$B$2="","&lt;&gt;",Settings!$B$2),'JLR Materials'!$D$2:$D$20001,IF(Settings!$B$4="","&lt;&gt;",Settings!$B$4)))</f>
        <v>0</v>
      </c>
      <c r="O49" s="38">
        <f>IF($N49=0,0,IF(Settings!$B$5="percent",$M49*$N49/100,$N49))</f>
        <v>0</v>
      </c>
      <c r="P49" s="39">
        <f>IF($L49&lt;&gt;1,0,SUMIFS('JLR Materials'!$G$2:$G$20001,'JLR Materials'!$A$2:$A$20001,$K49,'JLR Materials'!$C$2:$C$20001,IF(Settings!$B$2="","&lt;&gt;",Settings!$B$2),'JLR Materials'!$D$2:$D$20001,IF(Settings!$B$4="","&lt;&gt;",Settings!$B$4)))</f>
        <v>0</v>
      </c>
      <c r="Q49" s="40" t="s">
        <v>1493</v>
      </c>
      <c r="R49" s="40" t="s">
        <v>1382</v>
      </c>
    </row>
    <row r="50" spans="1:18" x14ac:dyDescent="0.25">
      <c r="A50" s="32" t="s">
        <v>363</v>
      </c>
      <c r="B50" s="33" t="s">
        <v>1494</v>
      </c>
      <c r="C50" s="33" t="s">
        <v>1495</v>
      </c>
      <c r="D50" s="34">
        <f>IF($M50&gt;0,$M50,2)</f>
        <v>2</v>
      </c>
      <c r="E50" s="34">
        <f>IF($O50&gt;0,$O50,0.23)</f>
        <v>0.23</v>
      </c>
      <c r="F50" s="35">
        <v>7850</v>
      </c>
      <c r="G50" s="33" t="s">
        <v>1379</v>
      </c>
      <c r="H50" s="36" t="str">
        <f>IF($M50&gt;0,IF($L50&lt;&gt;1,$R50,IFERROR(INDEX('JLR Materials'!$D$2:$D$20001,MATCH($K50,'JLR Materials'!$A$2:$A$20001,0)),$R50)),$R50)</f>
        <v>2026-09</v>
      </c>
      <c r="I50" s="36" t="str">
        <f>IF($M50&gt;0,"JLR rate card — material code "&amp;$K50,$Q50)</f>
        <v>UK PHS coil Jul 2026. AlSi-coated boron for hot stamping — A/B-pillar, rocker, roof rail. ~1500 MPa after press-hardening quench. Requires ~900°C furnace + water-cooled dies. Yield ~1100 MPa. | Refresh 2026-09: +£0.049/kg from 1kg crc £0.668→£0.717/kg; premiums held</v>
      </c>
      <c r="J50" s="33" t="s">
        <v>1393</v>
      </c>
      <c r="K50" s="37" t="str">
        <f>IFERROR(INDEX(Mapping!$C$2:$C$549,MATCH($A50,Mapping!$A$2:$A$549,0)),"")</f>
        <v/>
      </c>
      <c r="L50" s="37">
        <f>IF($K50="",0,COUNTIFS('JLR Materials'!$A$2:$A$20001,$K50,'JLR Materials'!$C$2:$C$20001,IF(Settings!$B$2="","&lt;&gt;",Settings!$B$2),'JLR Materials'!$D$2:$D$20001,IF(Settings!$B$4="","&lt;&gt;",Settings!$B$4)))</f>
        <v>0</v>
      </c>
      <c r="M50" s="38">
        <f>IF($L50&lt;&gt;1,0,SUMIFS('JLR Materials'!$E$2:$E$20001,'JLR Materials'!$A$2:$A$20001,$K50,'JLR Materials'!$C$2:$C$20001,IF(Settings!$B$2="","&lt;&gt;",Settings!$B$2),'JLR Materials'!$D$2:$D$20001,IF(Settings!$B$4="","&lt;&gt;",Settings!$B$4)))</f>
        <v>0</v>
      </c>
      <c r="N50" s="39">
        <f>IF($L50&lt;&gt;1,0,SUMIFS('JLR Materials'!$F$2:$F$20001,'JLR Materials'!$A$2:$A$20001,$K50,'JLR Materials'!$C$2:$C$20001,IF(Settings!$B$2="","&lt;&gt;",Settings!$B$2),'JLR Materials'!$D$2:$D$20001,IF(Settings!$B$4="","&lt;&gt;",Settings!$B$4)))</f>
        <v>0</v>
      </c>
      <c r="O50" s="38">
        <f>IF($N50=0,0,IF(Settings!$B$5="percent",$M50*$N50/100,$N50))</f>
        <v>0</v>
      </c>
      <c r="P50" s="39">
        <f>IF($L50&lt;&gt;1,0,SUMIFS('JLR Materials'!$G$2:$G$20001,'JLR Materials'!$A$2:$A$20001,$K50,'JLR Materials'!$C$2:$C$20001,IF(Settings!$B$2="","&lt;&gt;",Settings!$B$2),'JLR Materials'!$D$2:$D$20001,IF(Settings!$B$4="","&lt;&gt;",Settings!$B$4)))</f>
        <v>0</v>
      </c>
      <c r="Q50" s="40" t="s">
        <v>1496</v>
      </c>
      <c r="R50" s="40" t="s">
        <v>1382</v>
      </c>
    </row>
    <row r="51" spans="1:18" x14ac:dyDescent="0.25">
      <c r="A51" s="32" t="s">
        <v>365</v>
      </c>
      <c r="B51" s="33" t="s">
        <v>1497</v>
      </c>
      <c r="C51" s="33" t="s">
        <v>1495</v>
      </c>
      <c r="D51" s="34">
        <f>IF($M51&gt;0,$M51,2.4)</f>
        <v>2.4</v>
      </c>
      <c r="E51" s="34">
        <f>IF($O51&gt;0,$O51,0.22)</f>
        <v>0.22</v>
      </c>
      <c r="F51" s="35">
        <v>7850</v>
      </c>
      <c r="G51" s="33" t="s">
        <v>1379</v>
      </c>
      <c r="H51" s="36" t="str">
        <f>IF($M51&gt;0,IF($L51&lt;&gt;1,$R51,IFERROR(INDEX('JLR Materials'!$D$2:$D$20001,MATCH($K51,'JLR Materials'!$A$2:$A$20001,0)),$R51)),$R51)</f>
        <v>2026-09</v>
      </c>
      <c r="I51" s="36" t="str">
        <f>IF($M51&gt;0,"JLR rate card — material code "&amp;$K51,$Q51)</f>
        <v>UK PHS coil Jul 2026. Next-gen ~2000 MPa press-hardening steel for lightweight safety cage. Highest strength hot-stamping grade. Yield ~1400 MPa. | Refresh 2026-09: +£0.049/kg from 1kg crc £0.668→£0.717/kg; premiums held</v>
      </c>
      <c r="J51" s="33" t="s">
        <v>1393</v>
      </c>
      <c r="K51" s="37" t="str">
        <f>IFERROR(INDEX(Mapping!$C$2:$C$549,MATCH($A51,Mapping!$A$2:$A$549,0)),"")</f>
        <v/>
      </c>
      <c r="L51" s="37">
        <f>IF($K51="",0,COUNTIFS('JLR Materials'!$A$2:$A$20001,$K51,'JLR Materials'!$C$2:$C$20001,IF(Settings!$B$2="","&lt;&gt;",Settings!$B$2),'JLR Materials'!$D$2:$D$20001,IF(Settings!$B$4="","&lt;&gt;",Settings!$B$4)))</f>
        <v>0</v>
      </c>
      <c r="M51" s="38">
        <f>IF($L51&lt;&gt;1,0,SUMIFS('JLR Materials'!$E$2:$E$20001,'JLR Materials'!$A$2:$A$20001,$K51,'JLR Materials'!$C$2:$C$20001,IF(Settings!$B$2="","&lt;&gt;",Settings!$B$2),'JLR Materials'!$D$2:$D$20001,IF(Settings!$B$4="","&lt;&gt;",Settings!$B$4)))</f>
        <v>0</v>
      </c>
      <c r="N51" s="39">
        <f>IF($L51&lt;&gt;1,0,SUMIFS('JLR Materials'!$F$2:$F$20001,'JLR Materials'!$A$2:$A$20001,$K51,'JLR Materials'!$C$2:$C$20001,IF(Settings!$B$2="","&lt;&gt;",Settings!$B$2),'JLR Materials'!$D$2:$D$20001,IF(Settings!$B$4="","&lt;&gt;",Settings!$B$4)))</f>
        <v>0</v>
      </c>
      <c r="O51" s="38">
        <f>IF($N51=0,0,IF(Settings!$B$5="percent",$M51*$N51/100,$N51))</f>
        <v>0</v>
      </c>
      <c r="P51" s="39">
        <f>IF($L51&lt;&gt;1,0,SUMIFS('JLR Materials'!$G$2:$G$20001,'JLR Materials'!$A$2:$A$20001,$K51,'JLR Materials'!$C$2:$C$20001,IF(Settings!$B$2="","&lt;&gt;",Settings!$B$2),'JLR Materials'!$D$2:$D$20001,IF(Settings!$B$4="","&lt;&gt;",Settings!$B$4)))</f>
        <v>0</v>
      </c>
      <c r="Q51" s="40" t="s">
        <v>1498</v>
      </c>
      <c r="R51" s="40" t="s">
        <v>1382</v>
      </c>
    </row>
    <row r="52" spans="1:18" x14ac:dyDescent="0.25">
      <c r="A52" s="32" t="s">
        <v>367</v>
      </c>
      <c r="B52" s="33" t="s">
        <v>1499</v>
      </c>
      <c r="C52" s="33" t="s">
        <v>1442</v>
      </c>
      <c r="D52" s="34">
        <f>IF($M52&gt;0,$M52,1.67)</f>
        <v>1.67</v>
      </c>
      <c r="E52" s="34">
        <f>IF($O52&gt;0,$O52,0.23)</f>
        <v>0.23</v>
      </c>
      <c r="F52" s="35">
        <v>7850</v>
      </c>
      <c r="G52" s="33" t="s">
        <v>1379</v>
      </c>
      <c r="H52" s="36" t="str">
        <f>IF($M52&gt;0,IF($L52&lt;&gt;1,$R52,IFERROR(INDEX('JLR Materials'!$D$2:$D$20001,MATCH($K52,'JLR Materials'!$A$2:$A$20001,0)),$R52)),$R52)</f>
        <v>2026-09</v>
      </c>
      <c r="I52" s="36" t="str">
        <f>IF($M52&gt;0,"JLR rate card — material code "&amp;$K52,$Q52)</f>
        <v>UK UHSS coil Jul 2026. Martensitic 1300 MPa — roll-formed reinforcements. Yield ~1050 MPa. | Refresh 2026-09: +£0.049/kg from 1kg crc £0.668→£0.717/kg; premiums held</v>
      </c>
      <c r="J52" s="33" t="s">
        <v>1393</v>
      </c>
      <c r="K52" s="37" t="str">
        <f>IFERROR(INDEX(Mapping!$C$2:$C$549,MATCH($A52,Mapping!$A$2:$A$549,0)),"")</f>
        <v/>
      </c>
      <c r="L52" s="37">
        <f>IF($K52="",0,COUNTIFS('JLR Materials'!$A$2:$A$20001,$K52,'JLR Materials'!$C$2:$C$20001,IF(Settings!$B$2="","&lt;&gt;",Settings!$B$2),'JLR Materials'!$D$2:$D$20001,IF(Settings!$B$4="","&lt;&gt;",Settings!$B$4)))</f>
        <v>0</v>
      </c>
      <c r="M52" s="38">
        <f>IF($L52&lt;&gt;1,0,SUMIFS('JLR Materials'!$E$2:$E$20001,'JLR Materials'!$A$2:$A$20001,$K52,'JLR Materials'!$C$2:$C$20001,IF(Settings!$B$2="","&lt;&gt;",Settings!$B$2),'JLR Materials'!$D$2:$D$20001,IF(Settings!$B$4="","&lt;&gt;",Settings!$B$4)))</f>
        <v>0</v>
      </c>
      <c r="N52" s="39">
        <f>IF($L52&lt;&gt;1,0,SUMIFS('JLR Materials'!$F$2:$F$20001,'JLR Materials'!$A$2:$A$20001,$K52,'JLR Materials'!$C$2:$C$20001,IF(Settings!$B$2="","&lt;&gt;",Settings!$B$2),'JLR Materials'!$D$2:$D$20001,IF(Settings!$B$4="","&lt;&gt;",Settings!$B$4)))</f>
        <v>0</v>
      </c>
      <c r="O52" s="38">
        <f>IF($N52=0,0,IF(Settings!$B$5="percent",$M52*$N52/100,$N52))</f>
        <v>0</v>
      </c>
      <c r="P52" s="39">
        <f>IF($L52&lt;&gt;1,0,SUMIFS('JLR Materials'!$G$2:$G$20001,'JLR Materials'!$A$2:$A$20001,$K52,'JLR Materials'!$C$2:$C$20001,IF(Settings!$B$2="","&lt;&gt;",Settings!$B$2),'JLR Materials'!$D$2:$D$20001,IF(Settings!$B$4="","&lt;&gt;",Settings!$B$4)))</f>
        <v>0</v>
      </c>
      <c r="Q52" s="40" t="s">
        <v>1500</v>
      </c>
      <c r="R52" s="40" t="s">
        <v>1382</v>
      </c>
    </row>
    <row r="53" spans="1:18" x14ac:dyDescent="0.25">
      <c r="A53" s="32" t="s">
        <v>369</v>
      </c>
      <c r="B53" s="33" t="s">
        <v>1501</v>
      </c>
      <c r="C53" s="33" t="s">
        <v>1502</v>
      </c>
      <c r="D53" s="34">
        <f>IF($M53&gt;0,$M53,1.73)</f>
        <v>1.73</v>
      </c>
      <c r="E53" s="34">
        <f>IF($O53&gt;0,$O53,0.23)</f>
        <v>0.23</v>
      </c>
      <c r="F53" s="35">
        <v>7850</v>
      </c>
      <c r="G53" s="33" t="s">
        <v>1379</v>
      </c>
      <c r="H53" s="36" t="str">
        <f>IF($M53&gt;0,IF($L53&lt;&gt;1,$R53,IFERROR(INDEX('JLR Materials'!$D$2:$D$20001,MATCH($K53,'JLR Materials'!$A$2:$A$20001,0)),$R53)),$R53)</f>
        <v>2026-09</v>
      </c>
      <c r="I53" s="36" t="str">
        <f>IF($M53&gt;0,"JLR rate card — material code "&amp;$K53,$Q53)</f>
        <v>UK AHSS coil Jul 2026. 3rd-gen quench-and-partition 980 — cold-formable at 980 MPa, high elongation. Structural + formable geometry. Yield ~700 MPa. | Refresh 2026-09: +£0.049/kg from 1kg crc £0.668→£0.717/kg; premiums held</v>
      </c>
      <c r="J53" s="33" t="s">
        <v>1393</v>
      </c>
      <c r="K53" s="37" t="str">
        <f>IFERROR(INDEX(Mapping!$C$2:$C$549,MATCH($A53,Mapping!$A$2:$A$549,0)),"")</f>
        <v/>
      </c>
      <c r="L53" s="37">
        <f>IF($K53="",0,COUNTIFS('JLR Materials'!$A$2:$A$20001,$K53,'JLR Materials'!$C$2:$C$20001,IF(Settings!$B$2="","&lt;&gt;",Settings!$B$2),'JLR Materials'!$D$2:$D$20001,IF(Settings!$B$4="","&lt;&gt;",Settings!$B$4)))</f>
        <v>0</v>
      </c>
      <c r="M53" s="38">
        <f>IF($L53&lt;&gt;1,0,SUMIFS('JLR Materials'!$E$2:$E$20001,'JLR Materials'!$A$2:$A$20001,$K53,'JLR Materials'!$C$2:$C$20001,IF(Settings!$B$2="","&lt;&gt;",Settings!$B$2),'JLR Materials'!$D$2:$D$20001,IF(Settings!$B$4="","&lt;&gt;",Settings!$B$4)))</f>
        <v>0</v>
      </c>
      <c r="N53" s="39">
        <f>IF($L53&lt;&gt;1,0,SUMIFS('JLR Materials'!$F$2:$F$20001,'JLR Materials'!$A$2:$A$20001,$K53,'JLR Materials'!$C$2:$C$20001,IF(Settings!$B$2="","&lt;&gt;",Settings!$B$2),'JLR Materials'!$D$2:$D$20001,IF(Settings!$B$4="","&lt;&gt;",Settings!$B$4)))</f>
        <v>0</v>
      </c>
      <c r="O53" s="38">
        <f>IF($N53=0,0,IF(Settings!$B$5="percent",$M53*$N53/100,$N53))</f>
        <v>0</v>
      </c>
      <c r="P53" s="39">
        <f>IF($L53&lt;&gt;1,0,SUMIFS('JLR Materials'!$G$2:$G$20001,'JLR Materials'!$A$2:$A$20001,$K53,'JLR Materials'!$C$2:$C$20001,IF(Settings!$B$2="","&lt;&gt;",Settings!$B$2),'JLR Materials'!$D$2:$D$20001,IF(Settings!$B$4="","&lt;&gt;",Settings!$B$4)))</f>
        <v>0</v>
      </c>
      <c r="Q53" s="40" t="s">
        <v>1503</v>
      </c>
      <c r="R53" s="40" t="s">
        <v>1382</v>
      </c>
    </row>
    <row r="54" spans="1:18" x14ac:dyDescent="0.25">
      <c r="A54" s="32" t="s">
        <v>371</v>
      </c>
      <c r="B54" s="33" t="s">
        <v>1504</v>
      </c>
      <c r="C54" s="33" t="s">
        <v>1502</v>
      </c>
      <c r="D54" s="34">
        <f>IF($M54&gt;0,$M54,1.8)</f>
        <v>1.8</v>
      </c>
      <c r="E54" s="34">
        <f>IF($O54&gt;0,$O54,0.23)</f>
        <v>0.23</v>
      </c>
      <c r="F54" s="35">
        <v>7850</v>
      </c>
      <c r="G54" s="33" t="s">
        <v>1379</v>
      </c>
      <c r="H54" s="36" t="str">
        <f>IF($M54&gt;0,IF($L54&lt;&gt;1,$R54,IFERROR(INDEX('JLR Materials'!$D$2:$D$20001,MATCH($K54,'JLR Materials'!$A$2:$A$20001,0)),$R54)),$R54)</f>
        <v>2026-09</v>
      </c>
      <c r="I54" s="36" t="str">
        <f>IF($M54&gt;0,"JLR rate card — material code "&amp;$K54,$Q54)</f>
        <v>UK AHSS coil Jul 2026. 3rd-gen medium-manganese 1180 — high strength + ductility for cold-formed safety parts. Yield ~850 MPa. | Refresh 2026-09: +£0.049/kg from 1kg crc £0.668→£0.717/kg; premiums held</v>
      </c>
      <c r="J54" s="33" t="s">
        <v>1393</v>
      </c>
      <c r="K54" s="37" t="str">
        <f>IFERROR(INDEX(Mapping!$C$2:$C$549,MATCH($A54,Mapping!$A$2:$A$549,0)),"")</f>
        <v/>
      </c>
      <c r="L54" s="37">
        <f>IF($K54="",0,COUNTIFS('JLR Materials'!$A$2:$A$20001,$K54,'JLR Materials'!$C$2:$C$20001,IF(Settings!$B$2="","&lt;&gt;",Settings!$B$2),'JLR Materials'!$D$2:$D$20001,IF(Settings!$B$4="","&lt;&gt;",Settings!$B$4)))</f>
        <v>0</v>
      </c>
      <c r="M54" s="38">
        <f>IF($L54&lt;&gt;1,0,SUMIFS('JLR Materials'!$E$2:$E$20001,'JLR Materials'!$A$2:$A$20001,$K54,'JLR Materials'!$C$2:$C$20001,IF(Settings!$B$2="","&lt;&gt;",Settings!$B$2),'JLR Materials'!$D$2:$D$20001,IF(Settings!$B$4="","&lt;&gt;",Settings!$B$4)))</f>
        <v>0</v>
      </c>
      <c r="N54" s="39">
        <f>IF($L54&lt;&gt;1,0,SUMIFS('JLR Materials'!$F$2:$F$20001,'JLR Materials'!$A$2:$A$20001,$K54,'JLR Materials'!$C$2:$C$20001,IF(Settings!$B$2="","&lt;&gt;",Settings!$B$2),'JLR Materials'!$D$2:$D$20001,IF(Settings!$B$4="","&lt;&gt;",Settings!$B$4)))</f>
        <v>0</v>
      </c>
      <c r="O54" s="38">
        <f>IF($N54=0,0,IF(Settings!$B$5="percent",$M54*$N54/100,$N54))</f>
        <v>0</v>
      </c>
      <c r="P54" s="39">
        <f>IF($L54&lt;&gt;1,0,SUMIFS('JLR Materials'!$G$2:$G$20001,'JLR Materials'!$A$2:$A$20001,$K54,'JLR Materials'!$C$2:$C$20001,IF(Settings!$B$2="","&lt;&gt;",Settings!$B$2),'JLR Materials'!$D$2:$D$20001,IF(Settings!$B$4="","&lt;&gt;",Settings!$B$4)))</f>
        <v>0</v>
      </c>
      <c r="Q54" s="40" t="s">
        <v>1505</v>
      </c>
      <c r="R54" s="40" t="s">
        <v>1382</v>
      </c>
    </row>
    <row r="55" spans="1:18" x14ac:dyDescent="0.25">
      <c r="A55" s="32" t="s">
        <v>373</v>
      </c>
      <c r="B55" s="33" t="s">
        <v>1506</v>
      </c>
      <c r="C55" s="33" t="s">
        <v>1439</v>
      </c>
      <c r="D55" s="34">
        <f>IF($M55&gt;0,$M55,1.39)</f>
        <v>1.39</v>
      </c>
      <c r="E55" s="34">
        <f>IF($O55&gt;0,$O55,0.23)</f>
        <v>0.23</v>
      </c>
      <c r="F55" s="35">
        <v>7850</v>
      </c>
      <c r="G55" s="33" t="s">
        <v>1379</v>
      </c>
      <c r="H55" s="36" t="str">
        <f>IF($M55&gt;0,IF($L55&lt;&gt;1,$R55,IFERROR(INDEX('JLR Materials'!$D$2:$D$20001,MATCH($K55,'JLR Materials'!$A$2:$A$20001,0)),$R55)),$R55)</f>
        <v>2026-09</v>
      </c>
      <c r="I55" s="36" t="str">
        <f>IF($M55&gt;0,"JLR rate card — material code "&amp;$K55,$Q55)</f>
        <v>UK HSLA coil Jul 2026. 550 MPa min yield — chassis brackets, cross members, heavy reinforcements. Yield 550 MPa. | Refresh 2026-09: +£0.049/kg from 1kg crc £0.668→£0.717/kg; premiums held</v>
      </c>
      <c r="J55" s="33" t="s">
        <v>1393</v>
      </c>
      <c r="K55" s="37" t="str">
        <f>IFERROR(INDEX(Mapping!$C$2:$C$549,MATCH($A55,Mapping!$A$2:$A$549,0)),"")</f>
        <v/>
      </c>
      <c r="L55" s="37">
        <f>IF($K55="",0,COUNTIFS('JLR Materials'!$A$2:$A$20001,$K55,'JLR Materials'!$C$2:$C$20001,IF(Settings!$B$2="","&lt;&gt;",Settings!$B$2),'JLR Materials'!$D$2:$D$20001,IF(Settings!$B$4="","&lt;&gt;",Settings!$B$4)))</f>
        <v>0</v>
      </c>
      <c r="M55" s="38">
        <f>IF($L55&lt;&gt;1,0,SUMIFS('JLR Materials'!$E$2:$E$20001,'JLR Materials'!$A$2:$A$20001,$K55,'JLR Materials'!$C$2:$C$20001,IF(Settings!$B$2="","&lt;&gt;",Settings!$B$2),'JLR Materials'!$D$2:$D$20001,IF(Settings!$B$4="","&lt;&gt;",Settings!$B$4)))</f>
        <v>0</v>
      </c>
      <c r="N55" s="39">
        <f>IF($L55&lt;&gt;1,0,SUMIFS('JLR Materials'!$F$2:$F$20001,'JLR Materials'!$A$2:$A$20001,$K55,'JLR Materials'!$C$2:$C$20001,IF(Settings!$B$2="","&lt;&gt;",Settings!$B$2),'JLR Materials'!$D$2:$D$20001,IF(Settings!$B$4="","&lt;&gt;",Settings!$B$4)))</f>
        <v>0</v>
      </c>
      <c r="O55" s="38">
        <f>IF($N55=0,0,IF(Settings!$B$5="percent",$M55*$N55/100,$N55))</f>
        <v>0</v>
      </c>
      <c r="P55" s="39">
        <f>IF($L55&lt;&gt;1,0,SUMIFS('JLR Materials'!$G$2:$G$20001,'JLR Materials'!$A$2:$A$20001,$K55,'JLR Materials'!$C$2:$C$20001,IF(Settings!$B$2="","&lt;&gt;",Settings!$B$2),'JLR Materials'!$D$2:$D$20001,IF(Settings!$B$4="","&lt;&gt;",Settings!$B$4)))</f>
        <v>0</v>
      </c>
      <c r="Q55" s="40" t="s">
        <v>1507</v>
      </c>
      <c r="R55" s="40" t="s">
        <v>1382</v>
      </c>
    </row>
    <row r="56" spans="1:18" x14ac:dyDescent="0.25">
      <c r="A56" s="32" t="s">
        <v>375</v>
      </c>
      <c r="B56" s="33" t="s">
        <v>1508</v>
      </c>
      <c r="C56" s="33" t="s">
        <v>1509</v>
      </c>
      <c r="D56" s="34">
        <f>IF($M56&gt;0,$M56,1.1)</f>
        <v>1.1</v>
      </c>
      <c r="E56" s="34">
        <f>IF($O56&gt;0,$O56,0.22)</f>
        <v>0.22</v>
      </c>
      <c r="F56" s="35">
        <v>7850</v>
      </c>
      <c r="G56" s="33" t="s">
        <v>1379</v>
      </c>
      <c r="H56" s="36" t="str">
        <f>IF($M56&gt;0,IF($L56&lt;&gt;1,$R56,IFERROR(INDEX('JLR Materials'!$D$2:$D$20001,MATCH($K56,'JLR Materials'!$A$2:$A$20001,0)),$R56)),$R56)</f>
        <v>2026-09</v>
      </c>
      <c r="I56" s="36" t="str">
        <f>IF($M56&gt;0,"JLR rate card — material code "&amp;$K56,$Q56)</f>
        <v>UK BH coil Jul 2026. Bake-hardening +260 — outer body panels; formable when stamped, gains strength &amp; dent resistance after paint-bake. Yield ~180 MPa (pre-bake). | Refresh 2026-09: +£0.049/kg from 1kg crc £0.668→£0.717/kg; premiums held</v>
      </c>
      <c r="J56" s="33" t="s">
        <v>1393</v>
      </c>
      <c r="K56" s="37" t="str">
        <f>IFERROR(INDEX(Mapping!$C$2:$C$549,MATCH($A56,Mapping!$A$2:$A$549,0)),"")</f>
        <v/>
      </c>
      <c r="L56" s="37">
        <f>IF($K56="",0,COUNTIFS('JLR Materials'!$A$2:$A$20001,$K56,'JLR Materials'!$C$2:$C$20001,IF(Settings!$B$2="","&lt;&gt;",Settings!$B$2),'JLR Materials'!$D$2:$D$20001,IF(Settings!$B$4="","&lt;&gt;",Settings!$B$4)))</f>
        <v>0</v>
      </c>
      <c r="M56" s="38">
        <f>IF($L56&lt;&gt;1,0,SUMIFS('JLR Materials'!$E$2:$E$20001,'JLR Materials'!$A$2:$A$20001,$K56,'JLR Materials'!$C$2:$C$20001,IF(Settings!$B$2="","&lt;&gt;",Settings!$B$2),'JLR Materials'!$D$2:$D$20001,IF(Settings!$B$4="","&lt;&gt;",Settings!$B$4)))</f>
        <v>0</v>
      </c>
      <c r="N56" s="39">
        <f>IF($L56&lt;&gt;1,0,SUMIFS('JLR Materials'!$F$2:$F$20001,'JLR Materials'!$A$2:$A$20001,$K56,'JLR Materials'!$C$2:$C$20001,IF(Settings!$B$2="","&lt;&gt;",Settings!$B$2),'JLR Materials'!$D$2:$D$20001,IF(Settings!$B$4="","&lt;&gt;",Settings!$B$4)))</f>
        <v>0</v>
      </c>
      <c r="O56" s="38">
        <f>IF($N56=0,0,IF(Settings!$B$5="percent",$M56*$N56/100,$N56))</f>
        <v>0</v>
      </c>
      <c r="P56" s="39">
        <f>IF($L56&lt;&gt;1,0,SUMIFS('JLR Materials'!$G$2:$G$20001,'JLR Materials'!$A$2:$A$20001,$K56,'JLR Materials'!$C$2:$C$20001,IF(Settings!$B$2="","&lt;&gt;",Settings!$B$2),'JLR Materials'!$D$2:$D$20001,IF(Settings!$B$4="","&lt;&gt;",Settings!$B$4)))</f>
        <v>0</v>
      </c>
      <c r="Q56" s="40" t="s">
        <v>1510</v>
      </c>
      <c r="R56" s="40" t="s">
        <v>1382</v>
      </c>
    </row>
    <row r="57" spans="1:18" x14ac:dyDescent="0.25">
      <c r="A57" s="32" t="s">
        <v>377</v>
      </c>
      <c r="B57" s="33" t="s">
        <v>1511</v>
      </c>
      <c r="C57" s="33" t="s">
        <v>1512</v>
      </c>
      <c r="D57" s="34">
        <f>IF($M57&gt;0,$M57,1)</f>
        <v>1</v>
      </c>
      <c r="E57" s="34">
        <f>IF($O57&gt;0,$O57,0.21)</f>
        <v>0.21</v>
      </c>
      <c r="F57" s="35">
        <v>7850</v>
      </c>
      <c r="G57" s="33" t="s">
        <v>1379</v>
      </c>
      <c r="H57" s="36" t="str">
        <f>IF($M57&gt;0,IF($L57&lt;&gt;1,$R57,IFERROR(INDEX('JLR Materials'!$D$2:$D$20001,MATCH($K57,'JLR Materials'!$A$2:$A$20001,0)),$R57)),$R57)</f>
        <v>2026-09</v>
      </c>
      <c r="I57" s="36" t="str">
        <f>IF($M57&gt;0,"JLR rate card — material code "&amp;$K57,$Q57)</f>
        <v>UK IF coil Jul 2026. Ultra-formable interstitial-free — deep-drawn complex outer/inner panels (fenders, doors). Highest r-value/drawability. Yield ~140 MPa. | Refresh 2026-09: +£0.049/kg from 1kg crc £0.668→£0.717/kg; premiums held</v>
      </c>
      <c r="J57" s="33" t="s">
        <v>1393</v>
      </c>
      <c r="K57" s="37" t="str">
        <f>IFERROR(INDEX(Mapping!$C$2:$C$549,MATCH($A57,Mapping!$A$2:$A$549,0)),"")</f>
        <v/>
      </c>
      <c r="L57" s="37">
        <f>IF($K57="",0,COUNTIFS('JLR Materials'!$A$2:$A$20001,$K57,'JLR Materials'!$C$2:$C$20001,IF(Settings!$B$2="","&lt;&gt;",Settings!$B$2),'JLR Materials'!$D$2:$D$20001,IF(Settings!$B$4="","&lt;&gt;",Settings!$B$4)))</f>
        <v>0</v>
      </c>
      <c r="M57" s="38">
        <f>IF($L57&lt;&gt;1,0,SUMIFS('JLR Materials'!$E$2:$E$20001,'JLR Materials'!$A$2:$A$20001,$K57,'JLR Materials'!$C$2:$C$20001,IF(Settings!$B$2="","&lt;&gt;",Settings!$B$2),'JLR Materials'!$D$2:$D$20001,IF(Settings!$B$4="","&lt;&gt;",Settings!$B$4)))</f>
        <v>0</v>
      </c>
      <c r="N57" s="39">
        <f>IF($L57&lt;&gt;1,0,SUMIFS('JLR Materials'!$F$2:$F$20001,'JLR Materials'!$A$2:$A$20001,$K57,'JLR Materials'!$C$2:$C$20001,IF(Settings!$B$2="","&lt;&gt;",Settings!$B$2),'JLR Materials'!$D$2:$D$20001,IF(Settings!$B$4="","&lt;&gt;",Settings!$B$4)))</f>
        <v>0</v>
      </c>
      <c r="O57" s="38">
        <f>IF($N57=0,0,IF(Settings!$B$5="percent",$M57*$N57/100,$N57))</f>
        <v>0</v>
      </c>
      <c r="P57" s="39">
        <f>IF($L57&lt;&gt;1,0,SUMIFS('JLR Materials'!$G$2:$G$20001,'JLR Materials'!$A$2:$A$20001,$K57,'JLR Materials'!$C$2:$C$20001,IF(Settings!$B$2="","&lt;&gt;",Settings!$B$2),'JLR Materials'!$D$2:$D$20001,IF(Settings!$B$4="","&lt;&gt;",Settings!$B$4)))</f>
        <v>0</v>
      </c>
      <c r="Q57" s="40" t="s">
        <v>1513</v>
      </c>
      <c r="R57" s="40" t="s">
        <v>1382</v>
      </c>
    </row>
    <row r="58" spans="1:18" x14ac:dyDescent="0.25">
      <c r="A58" s="32" t="s">
        <v>379</v>
      </c>
      <c r="B58" s="33" t="s">
        <v>1514</v>
      </c>
      <c r="C58" s="33" t="s">
        <v>1512</v>
      </c>
      <c r="D58" s="34">
        <f>IF($M58&gt;0,$M58,1.13)</f>
        <v>1.13</v>
      </c>
      <c r="E58" s="34">
        <f>IF($O58&gt;0,$O58,0.22)</f>
        <v>0.22</v>
      </c>
      <c r="F58" s="35">
        <v>7850</v>
      </c>
      <c r="G58" s="33" t="s">
        <v>1379</v>
      </c>
      <c r="H58" s="36" t="str">
        <f>IF($M58&gt;0,IF($L58&lt;&gt;1,$R58,IFERROR(INDEX('JLR Materials'!$D$2:$D$20001,MATCH($K58,'JLR Materials'!$A$2:$A$20001,0)),$R58)),$R58)</f>
        <v>2026-09</v>
      </c>
      <c r="I58" s="36" t="str">
        <f>IF($M58&gt;0,"JLR rate card — material code "&amp;$K58,$Q58)</f>
        <v>UK IF-HS coil Jul 2026. High-strength interstitial-free 260 — formable structural panels needing more strength than plain IF. Yield 260 MPa. | Refresh 2026-09: +£0.049/kg from 1kg crc £0.668→£0.717/kg; premiums held</v>
      </c>
      <c r="J58" s="33" t="s">
        <v>1393</v>
      </c>
      <c r="K58" s="37" t="str">
        <f>IFERROR(INDEX(Mapping!$C$2:$C$549,MATCH($A58,Mapping!$A$2:$A$549,0)),"")</f>
        <v/>
      </c>
      <c r="L58" s="37">
        <f>IF($K58="",0,COUNTIFS('JLR Materials'!$A$2:$A$20001,$K58,'JLR Materials'!$C$2:$C$20001,IF(Settings!$B$2="","&lt;&gt;",Settings!$B$2),'JLR Materials'!$D$2:$D$20001,IF(Settings!$B$4="","&lt;&gt;",Settings!$B$4)))</f>
        <v>0</v>
      </c>
      <c r="M58" s="38">
        <f>IF($L58&lt;&gt;1,0,SUMIFS('JLR Materials'!$E$2:$E$20001,'JLR Materials'!$A$2:$A$20001,$K58,'JLR Materials'!$C$2:$C$20001,IF(Settings!$B$2="","&lt;&gt;",Settings!$B$2),'JLR Materials'!$D$2:$D$20001,IF(Settings!$B$4="","&lt;&gt;",Settings!$B$4)))</f>
        <v>0</v>
      </c>
      <c r="N58" s="39">
        <f>IF($L58&lt;&gt;1,0,SUMIFS('JLR Materials'!$F$2:$F$20001,'JLR Materials'!$A$2:$A$20001,$K58,'JLR Materials'!$C$2:$C$20001,IF(Settings!$B$2="","&lt;&gt;",Settings!$B$2),'JLR Materials'!$D$2:$D$20001,IF(Settings!$B$4="","&lt;&gt;",Settings!$B$4)))</f>
        <v>0</v>
      </c>
      <c r="O58" s="38">
        <f>IF($N58=0,0,IF(Settings!$B$5="percent",$M58*$N58/100,$N58))</f>
        <v>0</v>
      </c>
      <c r="P58" s="39">
        <f>IF($L58&lt;&gt;1,0,SUMIFS('JLR Materials'!$G$2:$G$20001,'JLR Materials'!$A$2:$A$20001,$K58,'JLR Materials'!$C$2:$C$20001,IF(Settings!$B$2="","&lt;&gt;",Settings!$B$2),'JLR Materials'!$D$2:$D$20001,IF(Settings!$B$4="","&lt;&gt;",Settings!$B$4)))</f>
        <v>0</v>
      </c>
      <c r="Q58" s="40" t="s">
        <v>1515</v>
      </c>
      <c r="R58" s="40" t="s">
        <v>1382</v>
      </c>
    </row>
    <row r="59" spans="1:18" x14ac:dyDescent="0.25">
      <c r="A59" s="32" t="s">
        <v>381</v>
      </c>
      <c r="B59" s="33" t="s">
        <v>1516</v>
      </c>
      <c r="C59" s="33" t="s">
        <v>1428</v>
      </c>
      <c r="D59" s="34">
        <f>IF($M59&gt;0,$M59,0.77)</f>
        <v>0.77</v>
      </c>
      <c r="E59" s="34">
        <f>IF($O59&gt;0,$O59,0.2)</f>
        <v>0.2</v>
      </c>
      <c r="F59" s="35">
        <v>7850</v>
      </c>
      <c r="G59" s="33" t="s">
        <v>1379</v>
      </c>
      <c r="H59" s="36" t="str">
        <f>IF($M59&gt;0,IF($L59&lt;&gt;1,$R59,IFERROR(INDEX('JLR Materials'!$D$2:$D$20001,MATCH($K59,'JLR Materials'!$A$2:$A$20001,0)),$R59)),$R59)</f>
        <v>2026-09</v>
      </c>
      <c r="I59" s="36" t="str">
        <f>IF($M59&gt;0,"JLR rate card — material code "&amp;$K59,$Q59)</f>
        <v>UK CR coil Jul 2026. Deep-drawing quality — enclosures, brackets, moderate draws. Better r-value than DC01. | Refresh 2026-09: +£0.049/kg from 1kg crc £0.668→£0.717/kg; premiums held</v>
      </c>
      <c r="J59" s="33" t="s">
        <v>1380</v>
      </c>
      <c r="K59" s="37" t="str">
        <f>IFERROR(INDEX(Mapping!$C$2:$C$549,MATCH($A59,Mapping!$A$2:$A$549,0)),"")</f>
        <v/>
      </c>
      <c r="L59" s="37">
        <f>IF($K59="",0,COUNTIFS('JLR Materials'!$A$2:$A$20001,$K59,'JLR Materials'!$C$2:$C$20001,IF(Settings!$B$2="","&lt;&gt;",Settings!$B$2),'JLR Materials'!$D$2:$D$20001,IF(Settings!$B$4="","&lt;&gt;",Settings!$B$4)))</f>
        <v>0</v>
      </c>
      <c r="M59" s="38">
        <f>IF($L59&lt;&gt;1,0,SUMIFS('JLR Materials'!$E$2:$E$20001,'JLR Materials'!$A$2:$A$20001,$K59,'JLR Materials'!$C$2:$C$20001,IF(Settings!$B$2="","&lt;&gt;",Settings!$B$2),'JLR Materials'!$D$2:$D$20001,IF(Settings!$B$4="","&lt;&gt;",Settings!$B$4)))</f>
        <v>0</v>
      </c>
      <c r="N59" s="39">
        <f>IF($L59&lt;&gt;1,0,SUMIFS('JLR Materials'!$F$2:$F$20001,'JLR Materials'!$A$2:$A$20001,$K59,'JLR Materials'!$C$2:$C$20001,IF(Settings!$B$2="","&lt;&gt;",Settings!$B$2),'JLR Materials'!$D$2:$D$20001,IF(Settings!$B$4="","&lt;&gt;",Settings!$B$4)))</f>
        <v>0</v>
      </c>
      <c r="O59" s="38">
        <f>IF($N59=0,0,IF(Settings!$B$5="percent",$M59*$N59/100,$N59))</f>
        <v>0</v>
      </c>
      <c r="P59" s="39">
        <f>IF($L59&lt;&gt;1,0,SUMIFS('JLR Materials'!$G$2:$G$20001,'JLR Materials'!$A$2:$A$20001,$K59,'JLR Materials'!$C$2:$C$20001,IF(Settings!$B$2="","&lt;&gt;",Settings!$B$2),'JLR Materials'!$D$2:$D$20001,IF(Settings!$B$4="","&lt;&gt;",Settings!$B$4)))</f>
        <v>0</v>
      </c>
      <c r="Q59" s="40" t="s">
        <v>1517</v>
      </c>
      <c r="R59" s="40" t="s">
        <v>1382</v>
      </c>
    </row>
    <row r="60" spans="1:18" x14ac:dyDescent="0.25">
      <c r="A60" s="32" t="s">
        <v>383</v>
      </c>
      <c r="B60" s="33" t="s">
        <v>1518</v>
      </c>
      <c r="C60" s="33" t="s">
        <v>1428</v>
      </c>
      <c r="D60" s="34">
        <f>IF($M60&gt;0,$M60,0.8)</f>
        <v>0.8</v>
      </c>
      <c r="E60" s="34">
        <f>IF($O60&gt;0,$O60,0.2)</f>
        <v>0.2</v>
      </c>
      <c r="F60" s="35">
        <v>7850</v>
      </c>
      <c r="G60" s="33" t="s">
        <v>1379</v>
      </c>
      <c r="H60" s="36" t="str">
        <f>IF($M60&gt;0,IF($L60&lt;&gt;1,$R60,IFERROR(INDEX('JLR Materials'!$D$2:$D$20001,MATCH($K60,'JLR Materials'!$A$2:$A$20001,0)),$R60)),$R60)</f>
        <v>2026-09</v>
      </c>
      <c r="I60" s="36" t="str">
        <f>IF($M60&gt;0,"JLR rate card — material code "&amp;$K60,$Q60)</f>
        <v>UK CR coil Jul 2026. Extra-deep-drawing — sinks, housings, deeper draws without splits. | Refresh 2026-09: +£0.049/kg from 1kg crc £0.668→£0.717/kg; premiums held</v>
      </c>
      <c r="J60" s="33" t="s">
        <v>1393</v>
      </c>
      <c r="K60" s="37" t="str">
        <f>IFERROR(INDEX(Mapping!$C$2:$C$549,MATCH($A60,Mapping!$A$2:$A$549,0)),"")</f>
        <v/>
      </c>
      <c r="L60" s="37">
        <f>IF($K60="",0,COUNTIFS('JLR Materials'!$A$2:$A$20001,$K60,'JLR Materials'!$C$2:$C$20001,IF(Settings!$B$2="","&lt;&gt;",Settings!$B$2),'JLR Materials'!$D$2:$D$20001,IF(Settings!$B$4="","&lt;&gt;",Settings!$B$4)))</f>
        <v>0</v>
      </c>
      <c r="M60" s="38">
        <f>IF($L60&lt;&gt;1,0,SUMIFS('JLR Materials'!$E$2:$E$20001,'JLR Materials'!$A$2:$A$20001,$K60,'JLR Materials'!$C$2:$C$20001,IF(Settings!$B$2="","&lt;&gt;",Settings!$B$2),'JLR Materials'!$D$2:$D$20001,IF(Settings!$B$4="","&lt;&gt;",Settings!$B$4)))</f>
        <v>0</v>
      </c>
      <c r="N60" s="39">
        <f>IF($L60&lt;&gt;1,0,SUMIFS('JLR Materials'!$F$2:$F$20001,'JLR Materials'!$A$2:$A$20001,$K60,'JLR Materials'!$C$2:$C$20001,IF(Settings!$B$2="","&lt;&gt;",Settings!$B$2),'JLR Materials'!$D$2:$D$20001,IF(Settings!$B$4="","&lt;&gt;",Settings!$B$4)))</f>
        <v>0</v>
      </c>
      <c r="O60" s="38">
        <f>IF($N60=0,0,IF(Settings!$B$5="percent",$M60*$N60/100,$N60))</f>
        <v>0</v>
      </c>
      <c r="P60" s="39">
        <f>IF($L60&lt;&gt;1,0,SUMIFS('JLR Materials'!$G$2:$G$20001,'JLR Materials'!$A$2:$A$20001,$K60,'JLR Materials'!$C$2:$C$20001,IF(Settings!$B$2="","&lt;&gt;",Settings!$B$2),'JLR Materials'!$D$2:$D$20001,IF(Settings!$B$4="","&lt;&gt;",Settings!$B$4)))</f>
        <v>0</v>
      </c>
      <c r="Q60" s="40" t="s">
        <v>1519</v>
      </c>
      <c r="R60" s="40" t="s">
        <v>1382</v>
      </c>
    </row>
    <row r="61" spans="1:18" x14ac:dyDescent="0.25">
      <c r="A61" s="32" t="s">
        <v>385</v>
      </c>
      <c r="B61" s="33" t="s">
        <v>1520</v>
      </c>
      <c r="C61" s="33" t="s">
        <v>1428</v>
      </c>
      <c r="D61" s="34">
        <f>IF($M61&gt;0,$M61,0.85)</f>
        <v>0.85</v>
      </c>
      <c r="E61" s="34">
        <f>IF($O61&gt;0,$O61,0.2)</f>
        <v>0.2</v>
      </c>
      <c r="F61" s="35">
        <v>7850</v>
      </c>
      <c r="G61" s="33" t="s">
        <v>1379</v>
      </c>
      <c r="H61" s="36" t="str">
        <f>IF($M61&gt;0,IF($L61&lt;&gt;1,$R61,IFERROR(INDEX('JLR Materials'!$D$2:$D$20001,MATCH($K61,'JLR Materials'!$A$2:$A$20001,0)),$R61)),$R61)</f>
        <v>2026-09</v>
      </c>
      <c r="I61" s="36" t="str">
        <f>IF($M61&gt;0,"JLR rate card — material code "&amp;$K61,$Q61)</f>
        <v>UK CR/IF coil Jul 2026. Super-deep-drawing IF grade — complex deep pressings, fuel-filler pockets, tanks. Highest formability CR grade. | Refresh 2026-09: +£0.049/kg from 1kg crc £0.668→£0.717/kg; premiums held</v>
      </c>
      <c r="J61" s="33" t="s">
        <v>1393</v>
      </c>
      <c r="K61" s="37" t="str">
        <f>IFERROR(INDEX(Mapping!$C$2:$C$549,MATCH($A61,Mapping!$A$2:$A$549,0)),"")</f>
        <v/>
      </c>
      <c r="L61" s="37">
        <f>IF($K61="",0,COUNTIFS('JLR Materials'!$A$2:$A$20001,$K61,'JLR Materials'!$C$2:$C$20001,IF(Settings!$B$2="","&lt;&gt;",Settings!$B$2),'JLR Materials'!$D$2:$D$20001,IF(Settings!$B$4="","&lt;&gt;",Settings!$B$4)))</f>
        <v>0</v>
      </c>
      <c r="M61" s="38">
        <f>IF($L61&lt;&gt;1,0,SUMIFS('JLR Materials'!$E$2:$E$20001,'JLR Materials'!$A$2:$A$20001,$K61,'JLR Materials'!$C$2:$C$20001,IF(Settings!$B$2="","&lt;&gt;",Settings!$B$2),'JLR Materials'!$D$2:$D$20001,IF(Settings!$B$4="","&lt;&gt;",Settings!$B$4)))</f>
        <v>0</v>
      </c>
      <c r="N61" s="39">
        <f>IF($L61&lt;&gt;1,0,SUMIFS('JLR Materials'!$F$2:$F$20001,'JLR Materials'!$A$2:$A$20001,$K61,'JLR Materials'!$C$2:$C$20001,IF(Settings!$B$2="","&lt;&gt;",Settings!$B$2),'JLR Materials'!$D$2:$D$20001,IF(Settings!$B$4="","&lt;&gt;",Settings!$B$4)))</f>
        <v>0</v>
      </c>
      <c r="O61" s="38">
        <f>IF($N61=0,0,IF(Settings!$B$5="percent",$M61*$N61/100,$N61))</f>
        <v>0</v>
      </c>
      <c r="P61" s="39">
        <f>IF($L61&lt;&gt;1,0,SUMIFS('JLR Materials'!$G$2:$G$20001,'JLR Materials'!$A$2:$A$20001,$K61,'JLR Materials'!$C$2:$C$20001,IF(Settings!$B$2="","&lt;&gt;",Settings!$B$2),'JLR Materials'!$D$2:$D$20001,IF(Settings!$B$4="","&lt;&gt;",Settings!$B$4)))</f>
        <v>0</v>
      </c>
      <c r="Q61" s="40" t="s">
        <v>1521</v>
      </c>
      <c r="R61" s="40" t="s">
        <v>1382</v>
      </c>
    </row>
    <row r="62" spans="1:18" x14ac:dyDescent="0.25">
      <c r="A62" s="32" t="s">
        <v>387</v>
      </c>
      <c r="B62" s="33" t="s">
        <v>1522</v>
      </c>
      <c r="C62" s="33" t="s">
        <v>1523</v>
      </c>
      <c r="D62" s="34">
        <f>IF($M62&gt;0,$M62,1.59)</f>
        <v>1.59</v>
      </c>
      <c r="E62" s="34">
        <f>IF($O62&gt;0,$O62,0.26)</f>
        <v>0.26</v>
      </c>
      <c r="F62" s="35">
        <v>7650</v>
      </c>
      <c r="G62" s="33" t="s">
        <v>1379</v>
      </c>
      <c r="H62" s="36" t="str">
        <f>IF($M62&gt;0,IF($L62&lt;&gt;1,$R62,IFERROR(INDEX('JLR Materials'!$D$2:$D$20001,MATCH($K62,'JLR Materials'!$A$2:$A$20001,0)),$R62)),$R62)</f>
        <v>2026-09</v>
      </c>
      <c r="I62" s="36" t="str">
        <f>IF($M62&gt;0,"JLR rate card — material code "&amp;$K62,$Q62)</f>
        <v>UK electrical steel Jul 2026. Low-loss non-oriented Si-steel — EV/industrial motor + generator laminations; thin gauge, low core loss (~2.7 W/kg @1.5T/50Hz). Blanked/notched at high SPM. | Refresh 2026-09: +£0.041/kg from 1kg crno £0.612→£0.653/kg; premiums held</v>
      </c>
      <c r="J62" s="33" t="s">
        <v>1393</v>
      </c>
      <c r="K62" s="37" t="str">
        <f>IFERROR(INDEX(Mapping!$C$2:$C$549,MATCH($A62,Mapping!$A$2:$A$549,0)),"")</f>
        <v/>
      </c>
      <c r="L62" s="37">
        <f>IF($K62="",0,COUNTIFS('JLR Materials'!$A$2:$A$20001,$K62,'JLR Materials'!$C$2:$C$20001,IF(Settings!$B$2="","&lt;&gt;",Settings!$B$2),'JLR Materials'!$D$2:$D$20001,IF(Settings!$B$4="","&lt;&gt;",Settings!$B$4)))</f>
        <v>0</v>
      </c>
      <c r="M62" s="38">
        <f>IF($L62&lt;&gt;1,0,SUMIFS('JLR Materials'!$E$2:$E$20001,'JLR Materials'!$A$2:$A$20001,$K62,'JLR Materials'!$C$2:$C$20001,IF(Settings!$B$2="","&lt;&gt;",Settings!$B$2),'JLR Materials'!$D$2:$D$20001,IF(Settings!$B$4="","&lt;&gt;",Settings!$B$4)))</f>
        <v>0</v>
      </c>
      <c r="N62" s="39">
        <f>IF($L62&lt;&gt;1,0,SUMIFS('JLR Materials'!$F$2:$F$20001,'JLR Materials'!$A$2:$A$20001,$K62,'JLR Materials'!$C$2:$C$20001,IF(Settings!$B$2="","&lt;&gt;",Settings!$B$2),'JLR Materials'!$D$2:$D$20001,IF(Settings!$B$4="","&lt;&gt;",Settings!$B$4)))</f>
        <v>0</v>
      </c>
      <c r="O62" s="38">
        <f>IF($N62=0,0,IF(Settings!$B$5="percent",$M62*$N62/100,$N62))</f>
        <v>0</v>
      </c>
      <c r="P62" s="39">
        <f>IF($L62&lt;&gt;1,0,SUMIFS('JLR Materials'!$G$2:$G$20001,'JLR Materials'!$A$2:$A$20001,$K62,'JLR Materials'!$C$2:$C$20001,IF(Settings!$B$2="","&lt;&gt;",Settings!$B$2),'JLR Materials'!$D$2:$D$20001,IF(Settings!$B$4="","&lt;&gt;",Settings!$B$4)))</f>
        <v>0</v>
      </c>
      <c r="Q62" s="40" t="s">
        <v>1524</v>
      </c>
      <c r="R62" s="40" t="s">
        <v>1382</v>
      </c>
    </row>
    <row r="63" spans="1:18" x14ac:dyDescent="0.25">
      <c r="A63" s="32" t="s">
        <v>389</v>
      </c>
      <c r="B63" s="33" t="s">
        <v>1525</v>
      </c>
      <c r="C63" s="33" t="s">
        <v>1523</v>
      </c>
      <c r="D63" s="34">
        <f>IF($M63&gt;0,$M63,1.29)</f>
        <v>1.29</v>
      </c>
      <c r="E63" s="34">
        <f>IF($O63&gt;0,$O63,0.26)</f>
        <v>0.26</v>
      </c>
      <c r="F63" s="35">
        <v>7700</v>
      </c>
      <c r="G63" s="33" t="s">
        <v>1379</v>
      </c>
      <c r="H63" s="36" t="str">
        <f>IF($M63&gt;0,IF($L63&lt;&gt;1,$R63,IFERROR(INDEX('JLR Materials'!$D$2:$D$20001,MATCH($K63,'JLR Materials'!$A$2:$A$20001,0)),$R63)),$R63)</f>
        <v>2026-09</v>
      </c>
      <c r="I63" s="36" t="str">
        <f>IF($M63&gt;0,"JLR rate card — material code "&amp;$K63,$Q63)</f>
        <v>UK electrical steel Jul 2026. General non-oriented Si-steel — appliance/industrial motors, pumps; 0.50mm, moderate loss. Cost-effective lamination grade. | Refresh 2026-09: +£0.041/kg from 1kg crno £0.612→£0.653/kg; premiums held</v>
      </c>
      <c r="J63" s="33" t="s">
        <v>1393</v>
      </c>
      <c r="K63" s="37" t="str">
        <f>IFERROR(INDEX(Mapping!$C$2:$C$549,MATCH($A63,Mapping!$A$2:$A$549,0)),"")</f>
        <v/>
      </c>
      <c r="L63" s="37">
        <f>IF($K63="",0,COUNTIFS('JLR Materials'!$A$2:$A$20001,$K63,'JLR Materials'!$C$2:$C$20001,IF(Settings!$B$2="","&lt;&gt;",Settings!$B$2),'JLR Materials'!$D$2:$D$20001,IF(Settings!$B$4="","&lt;&gt;",Settings!$B$4)))</f>
        <v>0</v>
      </c>
      <c r="M63" s="38">
        <f>IF($L63&lt;&gt;1,0,SUMIFS('JLR Materials'!$E$2:$E$20001,'JLR Materials'!$A$2:$A$20001,$K63,'JLR Materials'!$C$2:$C$20001,IF(Settings!$B$2="","&lt;&gt;",Settings!$B$2),'JLR Materials'!$D$2:$D$20001,IF(Settings!$B$4="","&lt;&gt;",Settings!$B$4)))</f>
        <v>0</v>
      </c>
      <c r="N63" s="39">
        <f>IF($L63&lt;&gt;1,0,SUMIFS('JLR Materials'!$F$2:$F$20001,'JLR Materials'!$A$2:$A$20001,$K63,'JLR Materials'!$C$2:$C$20001,IF(Settings!$B$2="","&lt;&gt;",Settings!$B$2),'JLR Materials'!$D$2:$D$20001,IF(Settings!$B$4="","&lt;&gt;",Settings!$B$4)))</f>
        <v>0</v>
      </c>
      <c r="O63" s="38">
        <f>IF($N63=0,0,IF(Settings!$B$5="percent",$M63*$N63/100,$N63))</f>
        <v>0</v>
      </c>
      <c r="P63" s="39">
        <f>IF($L63&lt;&gt;1,0,SUMIFS('JLR Materials'!$G$2:$G$20001,'JLR Materials'!$A$2:$A$20001,$K63,'JLR Materials'!$C$2:$C$20001,IF(Settings!$B$2="","&lt;&gt;",Settings!$B$2),'JLR Materials'!$D$2:$D$20001,IF(Settings!$B$4="","&lt;&gt;",Settings!$B$4)))</f>
        <v>0</v>
      </c>
      <c r="Q63" s="40" t="s">
        <v>1526</v>
      </c>
      <c r="R63" s="40" t="s">
        <v>1382</v>
      </c>
    </row>
    <row r="64" spans="1:18" x14ac:dyDescent="0.25">
      <c r="A64" s="32" t="s">
        <v>391</v>
      </c>
      <c r="B64" s="33" t="s">
        <v>1527</v>
      </c>
      <c r="C64" s="33" t="s">
        <v>1523</v>
      </c>
      <c r="D64" s="34">
        <f>IF($M64&gt;0,$M64,2.9)</f>
        <v>2.9</v>
      </c>
      <c r="E64" s="34">
        <f>IF($O64&gt;0,$O64,0.3)</f>
        <v>0.3</v>
      </c>
      <c r="F64" s="35">
        <v>7650</v>
      </c>
      <c r="G64" s="33" t="s">
        <v>1379</v>
      </c>
      <c r="H64" s="36" t="str">
        <f>IF($M64&gt;0,IF($L64&lt;&gt;1,$R64,IFERROR(INDEX('JLR Materials'!$D$2:$D$20001,MATCH($K64,'JLR Materials'!$A$2:$A$20001,0)),$R64)),$R64)</f>
        <v>2026-09</v>
      </c>
      <c r="I64" s="36" t="str">
        <f>IF($M64&gt;0,"JLR rate card — material code "&amp;$K64,$Q64)</f>
        <v>UK electrical steel Jul 2026. High-permeability grain-oriented Si-steel — transformer cores (E/I laminations, wound cores); very low loss along rolling direction. Premium over NO. | Refresh 2026-09: SPECIALTY — no public market index for this grade; held at the June 2026 price — refresh by supplier quote</v>
      </c>
      <c r="J64" s="33" t="s">
        <v>1393</v>
      </c>
      <c r="K64" s="37" t="str">
        <f>IFERROR(INDEX(Mapping!$C$2:$C$549,MATCH($A64,Mapping!$A$2:$A$549,0)),"")</f>
        <v/>
      </c>
      <c r="L64" s="37">
        <f>IF($K64="",0,COUNTIFS('JLR Materials'!$A$2:$A$20001,$K64,'JLR Materials'!$C$2:$C$20001,IF(Settings!$B$2="","&lt;&gt;",Settings!$B$2),'JLR Materials'!$D$2:$D$20001,IF(Settings!$B$4="","&lt;&gt;",Settings!$B$4)))</f>
        <v>0</v>
      </c>
      <c r="M64" s="38">
        <f>IF($L64&lt;&gt;1,0,SUMIFS('JLR Materials'!$E$2:$E$20001,'JLR Materials'!$A$2:$A$20001,$K64,'JLR Materials'!$C$2:$C$20001,IF(Settings!$B$2="","&lt;&gt;",Settings!$B$2),'JLR Materials'!$D$2:$D$20001,IF(Settings!$B$4="","&lt;&gt;",Settings!$B$4)))</f>
        <v>0</v>
      </c>
      <c r="N64" s="39">
        <f>IF($L64&lt;&gt;1,0,SUMIFS('JLR Materials'!$F$2:$F$20001,'JLR Materials'!$A$2:$A$20001,$K64,'JLR Materials'!$C$2:$C$20001,IF(Settings!$B$2="","&lt;&gt;",Settings!$B$2),'JLR Materials'!$D$2:$D$20001,IF(Settings!$B$4="","&lt;&gt;",Settings!$B$4)))</f>
        <v>0</v>
      </c>
      <c r="O64" s="38">
        <f>IF($N64=0,0,IF(Settings!$B$5="percent",$M64*$N64/100,$N64))</f>
        <v>0</v>
      </c>
      <c r="P64" s="39">
        <f>IF($L64&lt;&gt;1,0,SUMIFS('JLR Materials'!$G$2:$G$20001,'JLR Materials'!$A$2:$A$20001,$K64,'JLR Materials'!$C$2:$C$20001,IF(Settings!$B$2="","&lt;&gt;",Settings!$B$2),'JLR Materials'!$D$2:$D$20001,IF(Settings!$B$4="","&lt;&gt;",Settings!$B$4)))</f>
        <v>0</v>
      </c>
      <c r="Q64" s="40" t="s">
        <v>1528</v>
      </c>
      <c r="R64" s="40" t="s">
        <v>1382</v>
      </c>
    </row>
    <row r="65" spans="1:18" x14ac:dyDescent="0.25">
      <c r="A65" s="32" t="s">
        <v>393</v>
      </c>
      <c r="B65" s="33" t="s">
        <v>1529</v>
      </c>
      <c r="C65" s="33" t="s">
        <v>1523</v>
      </c>
      <c r="D65" s="34">
        <f>IF($M65&gt;0,$M65,1.99)</f>
        <v>1.99</v>
      </c>
      <c r="E65" s="34">
        <f>IF($O65&gt;0,$O65,0.26)</f>
        <v>0.26</v>
      </c>
      <c r="F65" s="35">
        <v>7650</v>
      </c>
      <c r="G65" s="33" t="s">
        <v>1379</v>
      </c>
      <c r="H65" s="36" t="str">
        <f>IF($M65&gt;0,IF($L65&lt;&gt;1,$R65,IFERROR(INDEX('JLR Materials'!$D$2:$D$20001,MATCH($K65,'JLR Materials'!$A$2:$A$20001,0)),$R65)),$R65)</f>
        <v>2026-09</v>
      </c>
      <c r="I65" s="36" t="str">
        <f>IF($M65&gt;0,"JLR rate card — material code "&amp;$K65,$Q65)</f>
        <v>UK electrical steel Jul 2026. Premium low-loss NO — high-efficiency EV/industrial traction motors; ~2.35 W/kg @1.5T/50Hz. High-Si, thin gauge. | Refresh 2026-09: +£0.041/kg from 1kg crno £0.612→£0.653/kg; premiums held</v>
      </c>
      <c r="J65" s="33" t="s">
        <v>1393</v>
      </c>
      <c r="K65" s="37" t="str">
        <f>IFERROR(INDEX(Mapping!$C$2:$C$549,MATCH($A65,Mapping!$A$2:$A$549,0)),"")</f>
        <v/>
      </c>
      <c r="L65" s="37">
        <f>IF($K65="",0,COUNTIFS('JLR Materials'!$A$2:$A$20001,$K65,'JLR Materials'!$C$2:$C$20001,IF(Settings!$B$2="","&lt;&gt;",Settings!$B$2),'JLR Materials'!$D$2:$D$20001,IF(Settings!$B$4="","&lt;&gt;",Settings!$B$4)))</f>
        <v>0</v>
      </c>
      <c r="M65" s="38">
        <f>IF($L65&lt;&gt;1,0,SUMIFS('JLR Materials'!$E$2:$E$20001,'JLR Materials'!$A$2:$A$20001,$K65,'JLR Materials'!$C$2:$C$20001,IF(Settings!$B$2="","&lt;&gt;",Settings!$B$2),'JLR Materials'!$D$2:$D$20001,IF(Settings!$B$4="","&lt;&gt;",Settings!$B$4)))</f>
        <v>0</v>
      </c>
      <c r="N65" s="39">
        <f>IF($L65&lt;&gt;1,0,SUMIFS('JLR Materials'!$F$2:$F$20001,'JLR Materials'!$A$2:$A$20001,$K65,'JLR Materials'!$C$2:$C$20001,IF(Settings!$B$2="","&lt;&gt;",Settings!$B$2),'JLR Materials'!$D$2:$D$20001,IF(Settings!$B$4="","&lt;&gt;",Settings!$B$4)))</f>
        <v>0</v>
      </c>
      <c r="O65" s="38">
        <f>IF($N65=0,0,IF(Settings!$B$5="percent",$M65*$N65/100,$N65))</f>
        <v>0</v>
      </c>
      <c r="P65" s="39">
        <f>IF($L65&lt;&gt;1,0,SUMIFS('JLR Materials'!$G$2:$G$20001,'JLR Materials'!$A$2:$A$20001,$K65,'JLR Materials'!$C$2:$C$20001,IF(Settings!$B$2="","&lt;&gt;",Settings!$B$2),'JLR Materials'!$D$2:$D$20001,IF(Settings!$B$4="","&lt;&gt;",Settings!$B$4)))</f>
        <v>0</v>
      </c>
      <c r="Q65" s="40" t="s">
        <v>1530</v>
      </c>
      <c r="R65" s="40" t="s">
        <v>1382</v>
      </c>
    </row>
    <row r="66" spans="1:18" x14ac:dyDescent="0.25">
      <c r="A66" s="32" t="s">
        <v>395</v>
      </c>
      <c r="B66" s="33" t="s">
        <v>1531</v>
      </c>
      <c r="C66" s="33" t="s">
        <v>1523</v>
      </c>
      <c r="D66" s="34">
        <f>IF($M66&gt;0,$M66,1.74)</f>
        <v>1.74</v>
      </c>
      <c r="E66" s="34">
        <f>IF($O66&gt;0,$O66,0.26)</f>
        <v>0.26</v>
      </c>
      <c r="F66" s="35">
        <v>7650</v>
      </c>
      <c r="G66" s="33" t="s">
        <v>1379</v>
      </c>
      <c r="H66" s="36" t="str">
        <f>IF($M66&gt;0,IF($L66&lt;&gt;1,$R66,IFERROR(INDEX('JLR Materials'!$D$2:$D$20001,MATCH($K66,'JLR Materials'!$A$2:$A$20001,0)),$R66)),$R66)</f>
        <v>2026-09</v>
      </c>
      <c r="I66" s="36" t="str">
        <f>IF($M66&gt;0,"JLR rate card — material code "&amp;$K66,$Q66)</f>
        <v>UK electrical steel Jul 2026. Mid-grade 0.35mm NO — general traction/servo motors; good loss/cost balance. | Refresh 2026-09: +£0.041/kg from 1kg crno £0.612→£0.653/kg; premiums held</v>
      </c>
      <c r="J66" s="33" t="s">
        <v>1393</v>
      </c>
      <c r="K66" s="37" t="str">
        <f>IFERROR(INDEX(Mapping!$C$2:$C$549,MATCH($A66,Mapping!$A$2:$A$549,0)),"")</f>
        <v/>
      </c>
      <c r="L66" s="37">
        <f>IF($K66="",0,COUNTIFS('JLR Materials'!$A$2:$A$20001,$K66,'JLR Materials'!$C$2:$C$20001,IF(Settings!$B$2="","&lt;&gt;",Settings!$B$2),'JLR Materials'!$D$2:$D$20001,IF(Settings!$B$4="","&lt;&gt;",Settings!$B$4)))</f>
        <v>0</v>
      </c>
      <c r="M66" s="38">
        <f>IF($L66&lt;&gt;1,0,SUMIFS('JLR Materials'!$E$2:$E$20001,'JLR Materials'!$A$2:$A$20001,$K66,'JLR Materials'!$C$2:$C$20001,IF(Settings!$B$2="","&lt;&gt;",Settings!$B$2),'JLR Materials'!$D$2:$D$20001,IF(Settings!$B$4="","&lt;&gt;",Settings!$B$4)))</f>
        <v>0</v>
      </c>
      <c r="N66" s="39">
        <f>IF($L66&lt;&gt;1,0,SUMIFS('JLR Materials'!$F$2:$F$20001,'JLR Materials'!$A$2:$A$20001,$K66,'JLR Materials'!$C$2:$C$20001,IF(Settings!$B$2="","&lt;&gt;",Settings!$B$2),'JLR Materials'!$D$2:$D$20001,IF(Settings!$B$4="","&lt;&gt;",Settings!$B$4)))</f>
        <v>0</v>
      </c>
      <c r="O66" s="38">
        <f>IF($N66=0,0,IF(Settings!$B$5="percent",$M66*$N66/100,$N66))</f>
        <v>0</v>
      </c>
      <c r="P66" s="39">
        <f>IF($L66&lt;&gt;1,0,SUMIFS('JLR Materials'!$G$2:$G$20001,'JLR Materials'!$A$2:$A$20001,$K66,'JLR Materials'!$C$2:$C$20001,IF(Settings!$B$2="","&lt;&gt;",Settings!$B$2),'JLR Materials'!$D$2:$D$20001,IF(Settings!$B$4="","&lt;&gt;",Settings!$B$4)))</f>
        <v>0</v>
      </c>
      <c r="Q66" s="40" t="s">
        <v>1532</v>
      </c>
      <c r="R66" s="40" t="s">
        <v>1382</v>
      </c>
    </row>
    <row r="67" spans="1:18" x14ac:dyDescent="0.25">
      <c r="A67" s="32" t="s">
        <v>397</v>
      </c>
      <c r="B67" s="33" t="s">
        <v>1533</v>
      </c>
      <c r="C67" s="33" t="s">
        <v>1523</v>
      </c>
      <c r="D67" s="34">
        <f>IF($M67&gt;0,$M67,1.46)</f>
        <v>1.46</v>
      </c>
      <c r="E67" s="34">
        <f>IF($O67&gt;0,$O67,0.26)</f>
        <v>0.26</v>
      </c>
      <c r="F67" s="35">
        <v>7650</v>
      </c>
      <c r="G67" s="33" t="s">
        <v>1379</v>
      </c>
      <c r="H67" s="36" t="str">
        <f>IF($M67&gt;0,IF($L67&lt;&gt;1,$R67,IFERROR(INDEX('JLR Materials'!$D$2:$D$20001,MATCH($K67,'JLR Materials'!$A$2:$A$20001,0)),$R67)),$R67)</f>
        <v>2026-09</v>
      </c>
      <c r="I67" s="36" t="str">
        <f>IF($M67&gt;0,"JLR rate card — material code "&amp;$K67,$Q67)</f>
        <v>UK electrical steel Jul 2026. Low-loss 0.50mm NO — efficient industrial motors, generators. | Refresh 2026-09: +£0.041/kg from 1kg crno £0.612→£0.653/kg; premiums held</v>
      </c>
      <c r="J67" s="33" t="s">
        <v>1393</v>
      </c>
      <c r="K67" s="37" t="str">
        <f>IFERROR(INDEX(Mapping!$C$2:$C$549,MATCH($A67,Mapping!$A$2:$A$549,0)),"")</f>
        <v/>
      </c>
      <c r="L67" s="37">
        <f>IF($K67="",0,COUNTIFS('JLR Materials'!$A$2:$A$20001,$K67,'JLR Materials'!$C$2:$C$20001,IF(Settings!$B$2="","&lt;&gt;",Settings!$B$2),'JLR Materials'!$D$2:$D$20001,IF(Settings!$B$4="","&lt;&gt;",Settings!$B$4)))</f>
        <v>0</v>
      </c>
      <c r="M67" s="38">
        <f>IF($L67&lt;&gt;1,0,SUMIFS('JLR Materials'!$E$2:$E$20001,'JLR Materials'!$A$2:$A$20001,$K67,'JLR Materials'!$C$2:$C$20001,IF(Settings!$B$2="","&lt;&gt;",Settings!$B$2),'JLR Materials'!$D$2:$D$20001,IF(Settings!$B$4="","&lt;&gt;",Settings!$B$4)))</f>
        <v>0</v>
      </c>
      <c r="N67" s="39">
        <f>IF($L67&lt;&gt;1,0,SUMIFS('JLR Materials'!$F$2:$F$20001,'JLR Materials'!$A$2:$A$20001,$K67,'JLR Materials'!$C$2:$C$20001,IF(Settings!$B$2="","&lt;&gt;",Settings!$B$2),'JLR Materials'!$D$2:$D$20001,IF(Settings!$B$4="","&lt;&gt;",Settings!$B$4)))</f>
        <v>0</v>
      </c>
      <c r="O67" s="38">
        <f>IF($N67=0,0,IF(Settings!$B$5="percent",$M67*$N67/100,$N67))</f>
        <v>0</v>
      </c>
      <c r="P67" s="39">
        <f>IF($L67&lt;&gt;1,0,SUMIFS('JLR Materials'!$G$2:$G$20001,'JLR Materials'!$A$2:$A$20001,$K67,'JLR Materials'!$C$2:$C$20001,IF(Settings!$B$2="","&lt;&gt;",Settings!$B$2),'JLR Materials'!$D$2:$D$20001,IF(Settings!$B$4="","&lt;&gt;",Settings!$B$4)))</f>
        <v>0</v>
      </c>
      <c r="Q67" s="40" t="s">
        <v>1534</v>
      </c>
      <c r="R67" s="40" t="s">
        <v>1382</v>
      </c>
    </row>
    <row r="68" spans="1:18" x14ac:dyDescent="0.25">
      <c r="A68" s="32" t="s">
        <v>399</v>
      </c>
      <c r="B68" s="33" t="s">
        <v>1535</v>
      </c>
      <c r="C68" s="33" t="s">
        <v>1523</v>
      </c>
      <c r="D68" s="34">
        <f>IF($M68&gt;0,$M68,1.24)</f>
        <v>1.24</v>
      </c>
      <c r="E68" s="34">
        <f>IF($O68&gt;0,$O68,0.26)</f>
        <v>0.26</v>
      </c>
      <c r="F68" s="35">
        <v>7700</v>
      </c>
      <c r="G68" s="33" t="s">
        <v>1379</v>
      </c>
      <c r="H68" s="36" t="str">
        <f>IF($M68&gt;0,IF($L68&lt;&gt;1,$R68,IFERROR(INDEX('JLR Materials'!$D$2:$D$20001,MATCH($K68,'JLR Materials'!$A$2:$A$20001,0)),$R68)),$R68)</f>
        <v>2026-09</v>
      </c>
      <c r="I68" s="36" t="str">
        <f>IF($M68&gt;0,"JLR rate card — material code "&amp;$K68,$Q68)</f>
        <v>UK electrical steel Jul 2026. Standard 0.50mm NO — mains-frequency industrial motors, pumps. Workhorse economy grade. | Refresh 2026-09: +£0.041/kg from 1kg crno £0.612→£0.653/kg; premiums held</v>
      </c>
      <c r="J68" s="33" t="s">
        <v>1380</v>
      </c>
      <c r="K68" s="37" t="str">
        <f>IFERROR(INDEX(Mapping!$C$2:$C$549,MATCH($A68,Mapping!$A$2:$A$549,0)),"")</f>
        <v/>
      </c>
      <c r="L68" s="37">
        <f>IF($K68="",0,COUNTIFS('JLR Materials'!$A$2:$A$20001,$K68,'JLR Materials'!$C$2:$C$20001,IF(Settings!$B$2="","&lt;&gt;",Settings!$B$2),'JLR Materials'!$D$2:$D$20001,IF(Settings!$B$4="","&lt;&gt;",Settings!$B$4)))</f>
        <v>0</v>
      </c>
      <c r="M68" s="38">
        <f>IF($L68&lt;&gt;1,0,SUMIFS('JLR Materials'!$E$2:$E$20001,'JLR Materials'!$A$2:$A$20001,$K68,'JLR Materials'!$C$2:$C$20001,IF(Settings!$B$2="","&lt;&gt;",Settings!$B$2),'JLR Materials'!$D$2:$D$20001,IF(Settings!$B$4="","&lt;&gt;",Settings!$B$4)))</f>
        <v>0</v>
      </c>
      <c r="N68" s="39">
        <f>IF($L68&lt;&gt;1,0,SUMIFS('JLR Materials'!$F$2:$F$20001,'JLR Materials'!$A$2:$A$20001,$K68,'JLR Materials'!$C$2:$C$20001,IF(Settings!$B$2="","&lt;&gt;",Settings!$B$2),'JLR Materials'!$D$2:$D$20001,IF(Settings!$B$4="","&lt;&gt;",Settings!$B$4)))</f>
        <v>0</v>
      </c>
      <c r="O68" s="38">
        <f>IF($N68=0,0,IF(Settings!$B$5="percent",$M68*$N68/100,$N68))</f>
        <v>0</v>
      </c>
      <c r="P68" s="39">
        <f>IF($L68&lt;&gt;1,0,SUMIFS('JLR Materials'!$G$2:$G$20001,'JLR Materials'!$A$2:$A$20001,$K68,'JLR Materials'!$C$2:$C$20001,IF(Settings!$B$2="","&lt;&gt;",Settings!$B$2),'JLR Materials'!$D$2:$D$20001,IF(Settings!$B$4="","&lt;&gt;",Settings!$B$4)))</f>
        <v>0</v>
      </c>
      <c r="Q68" s="40" t="s">
        <v>1536</v>
      </c>
      <c r="R68" s="40" t="s">
        <v>1382</v>
      </c>
    </row>
    <row r="69" spans="1:18" x14ac:dyDescent="0.25">
      <c r="A69" s="32" t="s">
        <v>401</v>
      </c>
      <c r="B69" s="33" t="s">
        <v>1537</v>
      </c>
      <c r="C69" s="33" t="s">
        <v>1523</v>
      </c>
      <c r="D69" s="34">
        <f>IF($M69&gt;0,$M69,1.19)</f>
        <v>1.19</v>
      </c>
      <c r="E69" s="34">
        <f>IF($O69&gt;0,$O69,0.26)</f>
        <v>0.26</v>
      </c>
      <c r="F69" s="35">
        <v>7750</v>
      </c>
      <c r="G69" s="33" t="s">
        <v>1379</v>
      </c>
      <c r="H69" s="36" t="str">
        <f>IF($M69&gt;0,IF($L69&lt;&gt;1,$R69,IFERROR(INDEX('JLR Materials'!$D$2:$D$20001,MATCH($K69,'JLR Materials'!$A$2:$A$20001,0)),$R69)),$R69)</f>
        <v>2026-09</v>
      </c>
      <c r="I69" s="36" t="str">
        <f>IF($M69&gt;0,"JLR rate card — material code "&amp;$K69,$Q69)</f>
        <v>UK electrical steel Jul 2026. Economy 0.50mm NO — small appliance/fan motors, low duty cycle. | Refresh 2026-09: +£0.041/kg from 1kg crno £0.612→£0.653/kg; premiums held</v>
      </c>
      <c r="J69" s="33" t="s">
        <v>1380</v>
      </c>
      <c r="K69" s="37" t="str">
        <f>IFERROR(INDEX(Mapping!$C$2:$C$549,MATCH($A69,Mapping!$A$2:$A$549,0)),"")</f>
        <v/>
      </c>
      <c r="L69" s="37">
        <f>IF($K69="",0,COUNTIFS('JLR Materials'!$A$2:$A$20001,$K69,'JLR Materials'!$C$2:$C$20001,IF(Settings!$B$2="","&lt;&gt;",Settings!$B$2),'JLR Materials'!$D$2:$D$20001,IF(Settings!$B$4="","&lt;&gt;",Settings!$B$4)))</f>
        <v>0</v>
      </c>
      <c r="M69" s="38">
        <f>IF($L69&lt;&gt;1,0,SUMIFS('JLR Materials'!$E$2:$E$20001,'JLR Materials'!$A$2:$A$20001,$K69,'JLR Materials'!$C$2:$C$20001,IF(Settings!$B$2="","&lt;&gt;",Settings!$B$2),'JLR Materials'!$D$2:$D$20001,IF(Settings!$B$4="","&lt;&gt;",Settings!$B$4)))</f>
        <v>0</v>
      </c>
      <c r="N69" s="39">
        <f>IF($L69&lt;&gt;1,0,SUMIFS('JLR Materials'!$F$2:$F$20001,'JLR Materials'!$A$2:$A$20001,$K69,'JLR Materials'!$C$2:$C$20001,IF(Settings!$B$2="","&lt;&gt;",Settings!$B$2),'JLR Materials'!$D$2:$D$20001,IF(Settings!$B$4="","&lt;&gt;",Settings!$B$4)))</f>
        <v>0</v>
      </c>
      <c r="O69" s="38">
        <f>IF($N69=0,0,IF(Settings!$B$5="percent",$M69*$N69/100,$N69))</f>
        <v>0</v>
      </c>
      <c r="P69" s="39">
        <f>IF($L69&lt;&gt;1,0,SUMIFS('JLR Materials'!$G$2:$G$20001,'JLR Materials'!$A$2:$A$20001,$K69,'JLR Materials'!$C$2:$C$20001,IF(Settings!$B$2="","&lt;&gt;",Settings!$B$2),'JLR Materials'!$D$2:$D$20001,IF(Settings!$B$4="","&lt;&gt;",Settings!$B$4)))</f>
        <v>0</v>
      </c>
      <c r="Q69" s="40" t="s">
        <v>1538</v>
      </c>
      <c r="R69" s="40" t="s">
        <v>1382</v>
      </c>
    </row>
    <row r="70" spans="1:18" x14ac:dyDescent="0.25">
      <c r="A70" s="32" t="s">
        <v>403</v>
      </c>
      <c r="B70" s="33" t="s">
        <v>1539</v>
      </c>
      <c r="C70" s="33" t="s">
        <v>1523</v>
      </c>
      <c r="D70" s="34">
        <f>IF($M70&gt;0,$M70,1.14)</f>
        <v>1.14</v>
      </c>
      <c r="E70" s="34">
        <f>IF($O70&gt;0,$O70,0.26)</f>
        <v>0.26</v>
      </c>
      <c r="F70" s="35">
        <v>7800</v>
      </c>
      <c r="G70" s="33" t="s">
        <v>1379</v>
      </c>
      <c r="H70" s="36" t="str">
        <f>IF($M70&gt;0,IF($L70&lt;&gt;1,$R70,IFERROR(INDEX('JLR Materials'!$D$2:$D$20001,MATCH($K70,'JLR Materials'!$A$2:$A$20001,0)),$R70)),$R70)</f>
        <v>2026-09</v>
      </c>
      <c r="I70" s="36" t="str">
        <f>IF($M70&gt;0,"JLR rate card — material code "&amp;$K70,$Q70)</f>
        <v>UK electrical steel Jul 2026. Thick 0.65mm NO — low-cost mains motors, ballasts; higher loss, cheapest lamination grade. | Refresh 2026-09: +£0.041/kg from 1kg crno £0.612→£0.653/kg; premiums held</v>
      </c>
      <c r="J70" s="33" t="s">
        <v>1393</v>
      </c>
      <c r="K70" s="37" t="str">
        <f>IFERROR(INDEX(Mapping!$C$2:$C$549,MATCH($A70,Mapping!$A$2:$A$549,0)),"")</f>
        <v/>
      </c>
      <c r="L70" s="37">
        <f>IF($K70="",0,COUNTIFS('JLR Materials'!$A$2:$A$20001,$K70,'JLR Materials'!$C$2:$C$20001,IF(Settings!$B$2="","&lt;&gt;",Settings!$B$2),'JLR Materials'!$D$2:$D$20001,IF(Settings!$B$4="","&lt;&gt;",Settings!$B$4)))</f>
        <v>0</v>
      </c>
      <c r="M70" s="38">
        <f>IF($L70&lt;&gt;1,0,SUMIFS('JLR Materials'!$E$2:$E$20001,'JLR Materials'!$A$2:$A$20001,$K70,'JLR Materials'!$C$2:$C$20001,IF(Settings!$B$2="","&lt;&gt;",Settings!$B$2),'JLR Materials'!$D$2:$D$20001,IF(Settings!$B$4="","&lt;&gt;",Settings!$B$4)))</f>
        <v>0</v>
      </c>
      <c r="N70" s="39">
        <f>IF($L70&lt;&gt;1,0,SUMIFS('JLR Materials'!$F$2:$F$20001,'JLR Materials'!$A$2:$A$20001,$K70,'JLR Materials'!$C$2:$C$20001,IF(Settings!$B$2="","&lt;&gt;",Settings!$B$2),'JLR Materials'!$D$2:$D$20001,IF(Settings!$B$4="","&lt;&gt;",Settings!$B$4)))</f>
        <v>0</v>
      </c>
      <c r="O70" s="38">
        <f>IF($N70=0,0,IF(Settings!$B$5="percent",$M70*$N70/100,$N70))</f>
        <v>0</v>
      </c>
      <c r="P70" s="39">
        <f>IF($L70&lt;&gt;1,0,SUMIFS('JLR Materials'!$G$2:$G$20001,'JLR Materials'!$A$2:$A$20001,$K70,'JLR Materials'!$C$2:$C$20001,IF(Settings!$B$2="","&lt;&gt;",Settings!$B$2),'JLR Materials'!$D$2:$D$20001,IF(Settings!$B$4="","&lt;&gt;",Settings!$B$4)))</f>
        <v>0</v>
      </c>
      <c r="Q70" s="40" t="s">
        <v>1540</v>
      </c>
      <c r="R70" s="40" t="s">
        <v>1382</v>
      </c>
    </row>
    <row r="71" spans="1:18" x14ac:dyDescent="0.25">
      <c r="A71" s="32" t="s">
        <v>405</v>
      </c>
      <c r="B71" s="33" t="s">
        <v>1541</v>
      </c>
      <c r="C71" s="33" t="s">
        <v>1523</v>
      </c>
      <c r="D71" s="34">
        <f>IF($M71&gt;0,$M71,2.44)</f>
        <v>2.44</v>
      </c>
      <c r="E71" s="34">
        <f>IF($O71&gt;0,$O71,0.28)</f>
        <v>0.28</v>
      </c>
      <c r="F71" s="35">
        <v>7600</v>
      </c>
      <c r="G71" s="33" t="s">
        <v>1379</v>
      </c>
      <c r="H71" s="36" t="str">
        <f>IF($M71&gt;0,IF($L71&lt;&gt;1,$R71,IFERROR(INDEX('JLR Materials'!$D$2:$D$20001,MATCH($K71,'JLR Materials'!$A$2:$A$20001,0)),$R71)),$R71)</f>
        <v>2026-09</v>
      </c>
      <c r="I71" s="36" t="str">
        <f>IF($M71&gt;0,"JLR rate card — material code "&amp;$K71,$Q71)</f>
        <v>UK electrical steel Jul 2026. 0.27mm thin-gauge NO — high-speed EV traction (200–400 Hz), low iron loss. Notch-tool-wear intensive. | Refresh 2026-09: +£0.041/kg from 1kg crno £0.612→£0.653/kg; premiums held</v>
      </c>
      <c r="J71" s="33" t="s">
        <v>1393</v>
      </c>
      <c r="K71" s="37" t="str">
        <f>IFERROR(INDEX(Mapping!$C$2:$C$549,MATCH($A71,Mapping!$A$2:$A$549,0)),"")</f>
        <v/>
      </c>
      <c r="L71" s="37">
        <f>IF($K71="",0,COUNTIFS('JLR Materials'!$A$2:$A$20001,$K71,'JLR Materials'!$C$2:$C$20001,IF(Settings!$B$2="","&lt;&gt;",Settings!$B$2),'JLR Materials'!$D$2:$D$20001,IF(Settings!$B$4="","&lt;&gt;",Settings!$B$4)))</f>
        <v>0</v>
      </c>
      <c r="M71" s="38">
        <f>IF($L71&lt;&gt;1,0,SUMIFS('JLR Materials'!$E$2:$E$20001,'JLR Materials'!$A$2:$A$20001,$K71,'JLR Materials'!$C$2:$C$20001,IF(Settings!$B$2="","&lt;&gt;",Settings!$B$2),'JLR Materials'!$D$2:$D$20001,IF(Settings!$B$4="","&lt;&gt;",Settings!$B$4)))</f>
        <v>0</v>
      </c>
      <c r="N71" s="39">
        <f>IF($L71&lt;&gt;1,0,SUMIFS('JLR Materials'!$F$2:$F$20001,'JLR Materials'!$A$2:$A$20001,$K71,'JLR Materials'!$C$2:$C$20001,IF(Settings!$B$2="","&lt;&gt;",Settings!$B$2),'JLR Materials'!$D$2:$D$20001,IF(Settings!$B$4="","&lt;&gt;",Settings!$B$4)))</f>
        <v>0</v>
      </c>
      <c r="O71" s="38">
        <f>IF($N71=0,0,IF(Settings!$B$5="percent",$M71*$N71/100,$N71))</f>
        <v>0</v>
      </c>
      <c r="P71" s="39">
        <f>IF($L71&lt;&gt;1,0,SUMIFS('JLR Materials'!$G$2:$G$20001,'JLR Materials'!$A$2:$A$20001,$K71,'JLR Materials'!$C$2:$C$20001,IF(Settings!$B$2="","&lt;&gt;",Settings!$B$2),'JLR Materials'!$D$2:$D$20001,IF(Settings!$B$4="","&lt;&gt;",Settings!$B$4)))</f>
        <v>0</v>
      </c>
      <c r="Q71" s="40" t="s">
        <v>1542</v>
      </c>
      <c r="R71" s="40" t="s">
        <v>1382</v>
      </c>
    </row>
    <row r="72" spans="1:18" x14ac:dyDescent="0.25">
      <c r="A72" s="32" t="s">
        <v>407</v>
      </c>
      <c r="B72" s="33" t="s">
        <v>1543</v>
      </c>
      <c r="C72" s="33" t="s">
        <v>1523</v>
      </c>
      <c r="D72" s="34">
        <f>IF($M72&gt;0,$M72,2.74)</f>
        <v>2.74</v>
      </c>
      <c r="E72" s="34">
        <f>IF($O72&gt;0,$O72,0.28)</f>
        <v>0.28</v>
      </c>
      <c r="F72" s="35">
        <v>7600</v>
      </c>
      <c r="G72" s="33" t="s">
        <v>1379</v>
      </c>
      <c r="H72" s="36" t="str">
        <f>IF($M72&gt;0,IF($L72&lt;&gt;1,$R72,IFERROR(INDEX('JLR Materials'!$D$2:$D$20001,MATCH($K72,'JLR Materials'!$A$2:$A$20001,0)),$R72)),$R72)</f>
        <v>2026-09</v>
      </c>
      <c r="I72" s="36" t="str">
        <f>IF($M72&gt;0,"JLR rate card — material code "&amp;$K72,$Q72)</f>
        <v>UK electrical steel Jul 2026. 0.25mm high-efficiency EV motor lamination; very low core loss, high mechanical strength grades available. | Refresh 2026-09: +£0.041/kg from 1kg crno £0.612→£0.653/kg; premiums held</v>
      </c>
      <c r="J72" s="33" t="s">
        <v>1393</v>
      </c>
      <c r="K72" s="37" t="str">
        <f>IFERROR(INDEX(Mapping!$C$2:$C$549,MATCH($A72,Mapping!$A$2:$A$549,0)),"")</f>
        <v/>
      </c>
      <c r="L72" s="37">
        <f>IF($K72="",0,COUNTIFS('JLR Materials'!$A$2:$A$20001,$K72,'JLR Materials'!$C$2:$C$20001,IF(Settings!$B$2="","&lt;&gt;",Settings!$B$2),'JLR Materials'!$D$2:$D$20001,IF(Settings!$B$4="","&lt;&gt;",Settings!$B$4)))</f>
        <v>0</v>
      </c>
      <c r="M72" s="38">
        <f>IF($L72&lt;&gt;1,0,SUMIFS('JLR Materials'!$E$2:$E$20001,'JLR Materials'!$A$2:$A$20001,$K72,'JLR Materials'!$C$2:$C$20001,IF(Settings!$B$2="","&lt;&gt;",Settings!$B$2),'JLR Materials'!$D$2:$D$20001,IF(Settings!$B$4="","&lt;&gt;",Settings!$B$4)))</f>
        <v>0</v>
      </c>
      <c r="N72" s="39">
        <f>IF($L72&lt;&gt;1,0,SUMIFS('JLR Materials'!$F$2:$F$20001,'JLR Materials'!$A$2:$A$20001,$K72,'JLR Materials'!$C$2:$C$20001,IF(Settings!$B$2="","&lt;&gt;",Settings!$B$2),'JLR Materials'!$D$2:$D$20001,IF(Settings!$B$4="","&lt;&gt;",Settings!$B$4)))</f>
        <v>0</v>
      </c>
      <c r="O72" s="38">
        <f>IF($N72=0,0,IF(Settings!$B$5="percent",$M72*$N72/100,$N72))</f>
        <v>0</v>
      </c>
      <c r="P72" s="39">
        <f>IF($L72&lt;&gt;1,0,SUMIFS('JLR Materials'!$G$2:$G$20001,'JLR Materials'!$A$2:$A$20001,$K72,'JLR Materials'!$C$2:$C$20001,IF(Settings!$B$2="","&lt;&gt;",Settings!$B$2),'JLR Materials'!$D$2:$D$20001,IF(Settings!$B$4="","&lt;&gt;",Settings!$B$4)))</f>
        <v>0</v>
      </c>
      <c r="Q72" s="40" t="s">
        <v>1544</v>
      </c>
      <c r="R72" s="40" t="s">
        <v>1382</v>
      </c>
    </row>
    <row r="73" spans="1:18" x14ac:dyDescent="0.25">
      <c r="A73" s="32" t="s">
        <v>409</v>
      </c>
      <c r="B73" s="33" t="s">
        <v>1545</v>
      </c>
      <c r="C73" s="33" t="s">
        <v>1523</v>
      </c>
      <c r="D73" s="34">
        <f>IF($M73&gt;0,$M73,3.44)</f>
        <v>3.44</v>
      </c>
      <c r="E73" s="34">
        <f>IF($O73&gt;0,$O73,0.3)</f>
        <v>0.3</v>
      </c>
      <c r="F73" s="35">
        <v>7600</v>
      </c>
      <c r="G73" s="33" t="s">
        <v>1379</v>
      </c>
      <c r="H73" s="36" t="str">
        <f>IF($M73&gt;0,IF($L73&lt;&gt;1,$R73,IFERROR(INDEX('JLR Materials'!$D$2:$D$20001,MATCH($K73,'JLR Materials'!$A$2:$A$20001,0)),$R73)),$R73)</f>
        <v>2026-09</v>
      </c>
      <c r="I73" s="36" t="str">
        <f>IF($M73&gt;0,"JLR rate card — material code "&amp;$K73,$Q73)</f>
        <v>UK electrical steel Jul 2026. 0.20mm ultra-thin NO — high-speed (&gt;15k rpm) EV/aerospace traction; lowest loss, premium price, low stacking factor. | Refresh 2026-09: +£0.041/kg from 1kg crno £0.612→£0.653/kg; premiums held</v>
      </c>
      <c r="J73" s="33" t="s">
        <v>1393</v>
      </c>
      <c r="K73" s="37" t="str">
        <f>IFERROR(INDEX(Mapping!$C$2:$C$549,MATCH($A73,Mapping!$A$2:$A$549,0)),"")</f>
        <v/>
      </c>
      <c r="L73" s="37">
        <f>IF($K73="",0,COUNTIFS('JLR Materials'!$A$2:$A$20001,$K73,'JLR Materials'!$C$2:$C$20001,IF(Settings!$B$2="","&lt;&gt;",Settings!$B$2),'JLR Materials'!$D$2:$D$20001,IF(Settings!$B$4="","&lt;&gt;",Settings!$B$4)))</f>
        <v>0</v>
      </c>
      <c r="M73" s="38">
        <f>IF($L73&lt;&gt;1,0,SUMIFS('JLR Materials'!$E$2:$E$20001,'JLR Materials'!$A$2:$A$20001,$K73,'JLR Materials'!$C$2:$C$20001,IF(Settings!$B$2="","&lt;&gt;",Settings!$B$2),'JLR Materials'!$D$2:$D$20001,IF(Settings!$B$4="","&lt;&gt;",Settings!$B$4)))</f>
        <v>0</v>
      </c>
      <c r="N73" s="39">
        <f>IF($L73&lt;&gt;1,0,SUMIFS('JLR Materials'!$F$2:$F$20001,'JLR Materials'!$A$2:$A$20001,$K73,'JLR Materials'!$C$2:$C$20001,IF(Settings!$B$2="","&lt;&gt;",Settings!$B$2),'JLR Materials'!$D$2:$D$20001,IF(Settings!$B$4="","&lt;&gt;",Settings!$B$4)))</f>
        <v>0</v>
      </c>
      <c r="O73" s="38">
        <f>IF($N73=0,0,IF(Settings!$B$5="percent",$M73*$N73/100,$N73))</f>
        <v>0</v>
      </c>
      <c r="P73" s="39">
        <f>IF($L73&lt;&gt;1,0,SUMIFS('JLR Materials'!$G$2:$G$20001,'JLR Materials'!$A$2:$A$20001,$K73,'JLR Materials'!$C$2:$C$20001,IF(Settings!$B$2="","&lt;&gt;",Settings!$B$2),'JLR Materials'!$D$2:$D$20001,IF(Settings!$B$4="","&lt;&gt;",Settings!$B$4)))</f>
        <v>0</v>
      </c>
      <c r="Q73" s="40" t="s">
        <v>1546</v>
      </c>
      <c r="R73" s="40" t="s">
        <v>1382</v>
      </c>
    </row>
    <row r="74" spans="1:18" x14ac:dyDescent="0.25">
      <c r="A74" s="32" t="s">
        <v>411</v>
      </c>
      <c r="B74" s="33" t="s">
        <v>1547</v>
      </c>
      <c r="C74" s="33" t="s">
        <v>1523</v>
      </c>
      <c r="D74" s="34">
        <f>IF($M74&gt;0,$M74,2.55)</f>
        <v>2.55</v>
      </c>
      <c r="E74" s="34">
        <f>IF($O74&gt;0,$O74,0.3)</f>
        <v>0.3</v>
      </c>
      <c r="F74" s="35">
        <v>7650</v>
      </c>
      <c r="G74" s="33" t="s">
        <v>1379</v>
      </c>
      <c r="H74" s="36" t="str">
        <f>IF($M74&gt;0,IF($L74&lt;&gt;1,$R74,IFERROR(INDEX('JLR Materials'!$D$2:$D$20001,MATCH($K74,'JLR Materials'!$A$2:$A$20001,0)),$R74)),$R74)</f>
        <v>2026-09</v>
      </c>
      <c r="I74" s="36" t="str">
        <f>IF($M74&gt;0,"JLR rate card — material code "&amp;$K74,$Q74)</f>
        <v>UK electrical steel Jul 2026. Conventional grain-oriented — distribution/power transformer cores. | Refresh 2026-09: SPECIALTY — no public market index for this grade; held at the June 2026 price — refresh by supplier quote</v>
      </c>
      <c r="J74" s="33" t="s">
        <v>1393</v>
      </c>
      <c r="K74" s="37" t="str">
        <f>IFERROR(INDEX(Mapping!$C$2:$C$549,MATCH($A74,Mapping!$A$2:$A$549,0)),"")</f>
        <v/>
      </c>
      <c r="L74" s="37">
        <f>IF($K74="",0,COUNTIFS('JLR Materials'!$A$2:$A$20001,$K74,'JLR Materials'!$C$2:$C$20001,IF(Settings!$B$2="","&lt;&gt;",Settings!$B$2),'JLR Materials'!$D$2:$D$20001,IF(Settings!$B$4="","&lt;&gt;",Settings!$B$4)))</f>
        <v>0</v>
      </c>
      <c r="M74" s="38">
        <f>IF($L74&lt;&gt;1,0,SUMIFS('JLR Materials'!$E$2:$E$20001,'JLR Materials'!$A$2:$A$20001,$K74,'JLR Materials'!$C$2:$C$20001,IF(Settings!$B$2="","&lt;&gt;",Settings!$B$2),'JLR Materials'!$D$2:$D$20001,IF(Settings!$B$4="","&lt;&gt;",Settings!$B$4)))</f>
        <v>0</v>
      </c>
      <c r="N74" s="39">
        <f>IF($L74&lt;&gt;1,0,SUMIFS('JLR Materials'!$F$2:$F$20001,'JLR Materials'!$A$2:$A$20001,$K74,'JLR Materials'!$C$2:$C$20001,IF(Settings!$B$2="","&lt;&gt;",Settings!$B$2),'JLR Materials'!$D$2:$D$20001,IF(Settings!$B$4="","&lt;&gt;",Settings!$B$4)))</f>
        <v>0</v>
      </c>
      <c r="O74" s="38">
        <f>IF($N74=0,0,IF(Settings!$B$5="percent",$M74*$N74/100,$N74))</f>
        <v>0</v>
      </c>
      <c r="P74" s="39">
        <f>IF($L74&lt;&gt;1,0,SUMIFS('JLR Materials'!$G$2:$G$20001,'JLR Materials'!$A$2:$A$20001,$K74,'JLR Materials'!$C$2:$C$20001,IF(Settings!$B$2="","&lt;&gt;",Settings!$B$2),'JLR Materials'!$D$2:$D$20001,IF(Settings!$B$4="","&lt;&gt;",Settings!$B$4)))</f>
        <v>0</v>
      </c>
      <c r="Q74" s="40" t="s">
        <v>1548</v>
      </c>
      <c r="R74" s="40" t="s">
        <v>1382</v>
      </c>
    </row>
    <row r="75" spans="1:18" x14ac:dyDescent="0.25">
      <c r="A75" s="32" t="s">
        <v>413</v>
      </c>
      <c r="B75" s="33" t="s">
        <v>1549</v>
      </c>
      <c r="C75" s="33" t="s">
        <v>1523</v>
      </c>
      <c r="D75" s="34">
        <f>IF($M75&gt;0,$M75,3.4)</f>
        <v>3.4</v>
      </c>
      <c r="E75" s="34">
        <f>IF($O75&gt;0,$O75,0.3)</f>
        <v>0.3</v>
      </c>
      <c r="F75" s="35">
        <v>7650</v>
      </c>
      <c r="G75" s="33" t="s">
        <v>1379</v>
      </c>
      <c r="H75" s="36" t="str">
        <f>IF($M75&gt;0,IF($L75&lt;&gt;1,$R75,IFERROR(INDEX('JLR Materials'!$D$2:$D$20001,MATCH($K75,'JLR Materials'!$A$2:$A$20001,0)),$R75)),$R75)</f>
        <v>2026-09</v>
      </c>
      <c r="I75" s="36" t="str">
        <f>IF($M75&gt;0,"JLR rate card — material code "&amp;$K75,$Q75)</f>
        <v>UK electrical steel Jul 2026. Laser-scribed domain-refined HGO — lowest-loss transformer grade, high-efficiency power transformers. | Refresh 2026-09: SPECIALTY — no public market index for this grade; held at the June 2026 price — refresh by supplier quote</v>
      </c>
      <c r="J75" s="33" t="s">
        <v>1393</v>
      </c>
      <c r="K75" s="37" t="str">
        <f>IFERROR(INDEX(Mapping!$C$2:$C$549,MATCH($A75,Mapping!$A$2:$A$549,0)),"")</f>
        <v/>
      </c>
      <c r="L75" s="37">
        <f>IF($K75="",0,COUNTIFS('JLR Materials'!$A$2:$A$20001,$K75,'JLR Materials'!$C$2:$C$20001,IF(Settings!$B$2="","&lt;&gt;",Settings!$B$2),'JLR Materials'!$D$2:$D$20001,IF(Settings!$B$4="","&lt;&gt;",Settings!$B$4)))</f>
        <v>0</v>
      </c>
      <c r="M75" s="38">
        <f>IF($L75&lt;&gt;1,0,SUMIFS('JLR Materials'!$E$2:$E$20001,'JLR Materials'!$A$2:$A$20001,$K75,'JLR Materials'!$C$2:$C$20001,IF(Settings!$B$2="","&lt;&gt;",Settings!$B$2),'JLR Materials'!$D$2:$D$20001,IF(Settings!$B$4="","&lt;&gt;",Settings!$B$4)))</f>
        <v>0</v>
      </c>
      <c r="N75" s="39">
        <f>IF($L75&lt;&gt;1,0,SUMIFS('JLR Materials'!$F$2:$F$20001,'JLR Materials'!$A$2:$A$20001,$K75,'JLR Materials'!$C$2:$C$20001,IF(Settings!$B$2="","&lt;&gt;",Settings!$B$2),'JLR Materials'!$D$2:$D$20001,IF(Settings!$B$4="","&lt;&gt;",Settings!$B$4)))</f>
        <v>0</v>
      </c>
      <c r="O75" s="38">
        <f>IF($N75=0,0,IF(Settings!$B$5="percent",$M75*$N75/100,$N75))</f>
        <v>0</v>
      </c>
      <c r="P75" s="39">
        <f>IF($L75&lt;&gt;1,0,SUMIFS('JLR Materials'!$G$2:$G$20001,'JLR Materials'!$A$2:$A$20001,$K75,'JLR Materials'!$C$2:$C$20001,IF(Settings!$B$2="","&lt;&gt;",Settings!$B$2),'JLR Materials'!$D$2:$D$20001,IF(Settings!$B$4="","&lt;&gt;",Settings!$B$4)))</f>
        <v>0</v>
      </c>
      <c r="Q75" s="40" t="s">
        <v>1550</v>
      </c>
      <c r="R75" s="40" t="s">
        <v>1382</v>
      </c>
    </row>
    <row r="76" spans="1:18" x14ac:dyDescent="0.25">
      <c r="A76" s="32" t="s">
        <v>415</v>
      </c>
      <c r="B76" s="33" t="s">
        <v>1551</v>
      </c>
      <c r="C76" s="33" t="s">
        <v>1523</v>
      </c>
      <c r="D76" s="34">
        <f>IF($M76&gt;0,$M76,58)</f>
        <v>58</v>
      </c>
      <c r="E76" s="34">
        <f>IF($O76&gt;0,$O76,4)</f>
        <v>4</v>
      </c>
      <c r="F76" s="35">
        <v>8120</v>
      </c>
      <c r="G76" s="33" t="s">
        <v>1379</v>
      </c>
      <c r="H76" s="36" t="str">
        <f>IF($M76&gt;0,IF($L76&lt;&gt;1,$R76,IFERROR(INDEX('JLR Materials'!$D$2:$D$20001,MATCH($K76,'JLR Materials'!$A$2:$A$20001,0)),$R76)),$R76)</f>
        <v>2026-09</v>
      </c>
      <c r="I76" s="36" t="str">
        <f>IF($M76&gt;0,"JLR rate card — material code "&amp;$K76,$Q76)</f>
        <v>UK speciality Jul 2026. CoFe (49Co-2V) — highest saturation (2.3T), aerospace/defence &amp; high-power-density EV traction; needs final anneal in H₂. Premium. | Refresh 2026-09: NOT SOURCED — co: Not sourced this period: no June and September level on the same basis. Held at the June 2026 price.</v>
      </c>
      <c r="J76" s="33" t="s">
        <v>1393</v>
      </c>
      <c r="K76" s="37" t="str">
        <f>IFERROR(INDEX(Mapping!$C$2:$C$549,MATCH($A76,Mapping!$A$2:$A$549,0)),"")</f>
        <v/>
      </c>
      <c r="L76" s="37">
        <f>IF($K76="",0,COUNTIFS('JLR Materials'!$A$2:$A$20001,$K76,'JLR Materials'!$C$2:$C$20001,IF(Settings!$B$2="","&lt;&gt;",Settings!$B$2),'JLR Materials'!$D$2:$D$20001,IF(Settings!$B$4="","&lt;&gt;",Settings!$B$4)))</f>
        <v>0</v>
      </c>
      <c r="M76" s="38">
        <f>IF($L76&lt;&gt;1,0,SUMIFS('JLR Materials'!$E$2:$E$20001,'JLR Materials'!$A$2:$A$20001,$K76,'JLR Materials'!$C$2:$C$20001,IF(Settings!$B$2="","&lt;&gt;",Settings!$B$2),'JLR Materials'!$D$2:$D$20001,IF(Settings!$B$4="","&lt;&gt;",Settings!$B$4)))</f>
        <v>0</v>
      </c>
      <c r="N76" s="39">
        <f>IF($L76&lt;&gt;1,0,SUMIFS('JLR Materials'!$F$2:$F$20001,'JLR Materials'!$A$2:$A$20001,$K76,'JLR Materials'!$C$2:$C$20001,IF(Settings!$B$2="","&lt;&gt;",Settings!$B$2),'JLR Materials'!$D$2:$D$20001,IF(Settings!$B$4="","&lt;&gt;",Settings!$B$4)))</f>
        <v>0</v>
      </c>
      <c r="O76" s="38">
        <f>IF($N76=0,0,IF(Settings!$B$5="percent",$M76*$N76/100,$N76))</f>
        <v>0</v>
      </c>
      <c r="P76" s="39">
        <f>IF($L76&lt;&gt;1,0,SUMIFS('JLR Materials'!$G$2:$G$20001,'JLR Materials'!$A$2:$A$20001,$K76,'JLR Materials'!$C$2:$C$20001,IF(Settings!$B$2="","&lt;&gt;",Settings!$B$2),'JLR Materials'!$D$2:$D$20001,IF(Settings!$B$4="","&lt;&gt;",Settings!$B$4)))</f>
        <v>0</v>
      </c>
      <c r="Q76" s="40" t="s">
        <v>1552</v>
      </c>
      <c r="R76" s="40" t="s">
        <v>1382</v>
      </c>
    </row>
    <row r="77" spans="1:18" x14ac:dyDescent="0.25">
      <c r="A77" s="32" t="s">
        <v>417</v>
      </c>
      <c r="B77" s="33" t="s">
        <v>1553</v>
      </c>
      <c r="C77" s="33" t="s">
        <v>1523</v>
      </c>
      <c r="D77" s="34">
        <f>IF($M77&gt;0,$M77,24.06)</f>
        <v>24.06</v>
      </c>
      <c r="E77" s="34">
        <f>IF($O77&gt;0,$O77,2.01)</f>
        <v>2.01</v>
      </c>
      <c r="F77" s="35">
        <v>8740</v>
      </c>
      <c r="G77" s="33" t="s">
        <v>1379</v>
      </c>
      <c r="H77" s="36" t="str">
        <f>IF($M77&gt;0,IF($L77&lt;&gt;1,$R77,IFERROR(INDEX('JLR Materials'!$D$2:$D$20001,MATCH($K77,'JLR Materials'!$A$2:$A$20001,0)),$R77)),$R77)</f>
        <v>2026-09</v>
      </c>
      <c r="I77" s="36" t="str">
        <f>IF($M77&gt;0,"JLR rate card — material code "&amp;$K77,$Q77)</f>
        <v>UK speciality Jul 2026. 80NiFe — ultra-high permeability small cores, sensors, resolvers, current transformers; low saturation, expensive. | Refresh 2026-09: +£0.061/kg from 0.8kg ni £12.302→£12.378/kg, 0.05kg mo £1.000→£1.000/kg; premiums held</v>
      </c>
      <c r="J77" s="33" t="s">
        <v>1393</v>
      </c>
      <c r="K77" s="37" t="str">
        <f>IFERROR(INDEX(Mapping!$C$2:$C$549,MATCH($A77,Mapping!$A$2:$A$549,0)),"")</f>
        <v/>
      </c>
      <c r="L77" s="37">
        <f>IF($K77="",0,COUNTIFS('JLR Materials'!$A$2:$A$20001,$K77,'JLR Materials'!$C$2:$C$20001,IF(Settings!$B$2="","&lt;&gt;",Settings!$B$2),'JLR Materials'!$D$2:$D$20001,IF(Settings!$B$4="","&lt;&gt;",Settings!$B$4)))</f>
        <v>0</v>
      </c>
      <c r="M77" s="38">
        <f>IF($L77&lt;&gt;1,0,SUMIFS('JLR Materials'!$E$2:$E$20001,'JLR Materials'!$A$2:$A$20001,$K77,'JLR Materials'!$C$2:$C$20001,IF(Settings!$B$2="","&lt;&gt;",Settings!$B$2),'JLR Materials'!$D$2:$D$20001,IF(Settings!$B$4="","&lt;&gt;",Settings!$B$4)))</f>
        <v>0</v>
      </c>
      <c r="N77" s="39">
        <f>IF($L77&lt;&gt;1,0,SUMIFS('JLR Materials'!$F$2:$F$20001,'JLR Materials'!$A$2:$A$20001,$K77,'JLR Materials'!$C$2:$C$20001,IF(Settings!$B$2="","&lt;&gt;",Settings!$B$2),'JLR Materials'!$D$2:$D$20001,IF(Settings!$B$4="","&lt;&gt;",Settings!$B$4)))</f>
        <v>0</v>
      </c>
      <c r="O77" s="38">
        <f>IF($N77=0,0,IF(Settings!$B$5="percent",$M77*$N77/100,$N77))</f>
        <v>0</v>
      </c>
      <c r="P77" s="39">
        <f>IF($L77&lt;&gt;1,0,SUMIFS('JLR Materials'!$G$2:$G$20001,'JLR Materials'!$A$2:$A$20001,$K77,'JLR Materials'!$C$2:$C$20001,IF(Settings!$B$2="","&lt;&gt;",Settings!$B$2),'JLR Materials'!$D$2:$D$20001,IF(Settings!$B$4="","&lt;&gt;",Settings!$B$4)))</f>
        <v>0</v>
      </c>
      <c r="Q77" s="40" t="s">
        <v>1554</v>
      </c>
      <c r="R77" s="40" t="s">
        <v>1382</v>
      </c>
    </row>
    <row r="78" spans="1:18" x14ac:dyDescent="0.25">
      <c r="A78" s="32" t="s">
        <v>419</v>
      </c>
      <c r="B78" s="33" t="s">
        <v>1555</v>
      </c>
      <c r="C78" s="33" t="s">
        <v>1523</v>
      </c>
      <c r="D78" s="34">
        <f>IF($M78&gt;0,$M78,8.5)</f>
        <v>8.5</v>
      </c>
      <c r="E78" s="34">
        <f>IF($O78&gt;0,$O78,0.5)</f>
        <v>0.5</v>
      </c>
      <c r="F78" s="35">
        <v>7180</v>
      </c>
      <c r="G78" s="33" t="s">
        <v>1379</v>
      </c>
      <c r="H78" s="36" t="str">
        <f>IF($M78&gt;0,IF($L78&lt;&gt;1,$R78,IFERROR(INDEX('JLR Materials'!$D$2:$D$20001,MATCH($K78,'JLR Materials'!$A$2:$A$20001,0)),$R78)),$R78)</f>
        <v>2026-09</v>
      </c>
      <c r="I78" s="36" t="str">
        <f>IF($M78&gt;0,"JLR rate card — material code "&amp;$K78,$Q78)</f>
        <v>UK speciality Jul 2026. Fe-based amorphous ribbon (~25µm) — ultra-low-loss distribution transformers, high-freq cut cores; brittle, cut/etched not conventionally stamped. | Refresh 2026-09: SPECIALTY — no public market index for this grade; held at the June 2026 price — refresh by supplier quote</v>
      </c>
      <c r="J78" s="33" t="s">
        <v>1393</v>
      </c>
      <c r="K78" s="37" t="str">
        <f>IFERROR(INDEX(Mapping!$C$2:$C$549,MATCH($A78,Mapping!$A$2:$A$549,0)),"")</f>
        <v/>
      </c>
      <c r="L78" s="37">
        <f>IF($K78="",0,COUNTIFS('JLR Materials'!$A$2:$A$20001,$K78,'JLR Materials'!$C$2:$C$20001,IF(Settings!$B$2="","&lt;&gt;",Settings!$B$2),'JLR Materials'!$D$2:$D$20001,IF(Settings!$B$4="","&lt;&gt;",Settings!$B$4)))</f>
        <v>0</v>
      </c>
      <c r="M78" s="38">
        <f>IF($L78&lt;&gt;1,0,SUMIFS('JLR Materials'!$E$2:$E$20001,'JLR Materials'!$A$2:$A$20001,$K78,'JLR Materials'!$C$2:$C$20001,IF(Settings!$B$2="","&lt;&gt;",Settings!$B$2),'JLR Materials'!$D$2:$D$20001,IF(Settings!$B$4="","&lt;&gt;",Settings!$B$4)))</f>
        <v>0</v>
      </c>
      <c r="N78" s="39">
        <f>IF($L78&lt;&gt;1,0,SUMIFS('JLR Materials'!$F$2:$F$20001,'JLR Materials'!$A$2:$A$20001,$K78,'JLR Materials'!$C$2:$C$20001,IF(Settings!$B$2="","&lt;&gt;",Settings!$B$2),'JLR Materials'!$D$2:$D$20001,IF(Settings!$B$4="","&lt;&gt;",Settings!$B$4)))</f>
        <v>0</v>
      </c>
      <c r="O78" s="38">
        <f>IF($N78=0,0,IF(Settings!$B$5="percent",$M78*$N78/100,$N78))</f>
        <v>0</v>
      </c>
      <c r="P78" s="39">
        <f>IF($L78&lt;&gt;1,0,SUMIFS('JLR Materials'!$G$2:$G$20001,'JLR Materials'!$A$2:$A$20001,$K78,'JLR Materials'!$C$2:$C$20001,IF(Settings!$B$2="","&lt;&gt;",Settings!$B$2),'JLR Materials'!$D$2:$D$20001,IF(Settings!$B$4="","&lt;&gt;",Settings!$B$4)))</f>
        <v>0</v>
      </c>
      <c r="Q78" s="40" t="s">
        <v>1556</v>
      </c>
      <c r="R78" s="40" t="s">
        <v>1382</v>
      </c>
    </row>
    <row r="79" spans="1:18" x14ac:dyDescent="0.25">
      <c r="A79" s="32" t="s">
        <v>421</v>
      </c>
      <c r="B79" s="33" t="s">
        <v>1557</v>
      </c>
      <c r="C79" s="33" t="s">
        <v>1523</v>
      </c>
      <c r="D79" s="34">
        <f>IF($M79&gt;0,$M79,1.09)</f>
        <v>1.09</v>
      </c>
      <c r="E79" s="34">
        <f>IF($O79&gt;0,$O79,0.25)</f>
        <v>0.25</v>
      </c>
      <c r="F79" s="35">
        <v>7750</v>
      </c>
      <c r="G79" s="33" t="s">
        <v>1379</v>
      </c>
      <c r="H79" s="36" t="str">
        <f>IF($M79&gt;0,IF($L79&lt;&gt;1,$R79,IFERROR(INDEX('JLR Materials'!$D$2:$D$20001,MATCH($K79,'JLR Materials'!$A$2:$A$20001,0)),$R79)),$R79)</f>
        <v>2026-09</v>
      </c>
      <c r="I79" s="36" t="str">
        <f>IF($M79&gt;0,"JLR rate card — material code "&amp;$K79,$Q79)</f>
        <v>UK electrical steel Jul 2026. Semi-processed NO — magnetic properties developed by the stamper’s post-blank anneal; low coil cost, mandatory stress-relief/decarb anneal. | Refresh 2026-09: +£0.041/kg from 1kg crno £0.612→£0.653/kg; premiums held</v>
      </c>
      <c r="J79" s="33" t="s">
        <v>1393</v>
      </c>
      <c r="K79" s="37" t="str">
        <f>IFERROR(INDEX(Mapping!$C$2:$C$549,MATCH($A79,Mapping!$A$2:$A$549,0)),"")</f>
        <v/>
      </c>
      <c r="L79" s="37">
        <f>IF($K79="",0,COUNTIFS('JLR Materials'!$A$2:$A$20001,$K79,'JLR Materials'!$C$2:$C$20001,IF(Settings!$B$2="","&lt;&gt;",Settings!$B$2),'JLR Materials'!$D$2:$D$20001,IF(Settings!$B$4="","&lt;&gt;",Settings!$B$4)))</f>
        <v>0</v>
      </c>
      <c r="M79" s="38">
        <f>IF($L79&lt;&gt;1,0,SUMIFS('JLR Materials'!$E$2:$E$20001,'JLR Materials'!$A$2:$A$20001,$K79,'JLR Materials'!$C$2:$C$20001,IF(Settings!$B$2="","&lt;&gt;",Settings!$B$2),'JLR Materials'!$D$2:$D$20001,IF(Settings!$B$4="","&lt;&gt;",Settings!$B$4)))</f>
        <v>0</v>
      </c>
      <c r="N79" s="39">
        <f>IF($L79&lt;&gt;1,0,SUMIFS('JLR Materials'!$F$2:$F$20001,'JLR Materials'!$A$2:$A$20001,$K79,'JLR Materials'!$C$2:$C$20001,IF(Settings!$B$2="","&lt;&gt;",Settings!$B$2),'JLR Materials'!$D$2:$D$20001,IF(Settings!$B$4="","&lt;&gt;",Settings!$B$4)))</f>
        <v>0</v>
      </c>
      <c r="O79" s="38">
        <f>IF($N79=0,0,IF(Settings!$B$5="percent",$M79*$N79/100,$N79))</f>
        <v>0</v>
      </c>
      <c r="P79" s="39">
        <f>IF($L79&lt;&gt;1,0,SUMIFS('JLR Materials'!$G$2:$G$20001,'JLR Materials'!$A$2:$A$20001,$K79,'JLR Materials'!$C$2:$C$20001,IF(Settings!$B$2="","&lt;&gt;",Settings!$B$2),'JLR Materials'!$D$2:$D$20001,IF(Settings!$B$4="","&lt;&gt;",Settings!$B$4)))</f>
        <v>0</v>
      </c>
      <c r="Q79" s="40" t="s">
        <v>1558</v>
      </c>
      <c r="R79" s="40" t="s">
        <v>1382</v>
      </c>
    </row>
    <row r="80" spans="1:18" x14ac:dyDescent="0.25">
      <c r="A80" s="32" t="s">
        <v>423</v>
      </c>
      <c r="B80" s="33" t="s">
        <v>1559</v>
      </c>
      <c r="C80" s="33" t="s">
        <v>1523</v>
      </c>
      <c r="D80" s="34">
        <f>IF($M80&gt;0,$M80,2.64)</f>
        <v>2.64</v>
      </c>
      <c r="E80" s="34">
        <f>IF($O80&gt;0,$O80,0.28)</f>
        <v>0.28</v>
      </c>
      <c r="F80" s="35">
        <v>7650</v>
      </c>
      <c r="G80" s="33" t="s">
        <v>1379</v>
      </c>
      <c r="H80" s="36" t="str">
        <f>IF($M80&gt;0,IF($L80&lt;&gt;1,$R80,IFERROR(INDEX('JLR Materials'!$D$2:$D$20001,MATCH($K80,'JLR Materials'!$A$2:$A$20001,0)),$R80)),$R80)</f>
        <v>2026-09</v>
      </c>
      <c r="I80" s="36" t="str">
        <f>IF($M80&gt;0,"JLR rate card — material code "&amp;$K80,$Q80)</f>
        <v>UK electrical steel Jul 2026. High-yield thin-gauge NO for high-speed EV traction rotors (bridge stresses at 15–20k rpm) — BYD/Xiaomi-class hyper-motors. Higher Si+alloy, harder to notch. | Refresh 2026-09: +£0.041/kg from 1kg crno £0.612→£0.653/kg; premiums held</v>
      </c>
      <c r="J80" s="33" t="s">
        <v>1393</v>
      </c>
      <c r="K80" s="37" t="str">
        <f>IFERROR(INDEX(Mapping!$C$2:$C$549,MATCH($A80,Mapping!$A$2:$A$549,0)),"")</f>
        <v/>
      </c>
      <c r="L80" s="37">
        <f>IF($K80="",0,COUNTIFS('JLR Materials'!$A$2:$A$20001,$K80,'JLR Materials'!$C$2:$C$20001,IF(Settings!$B$2="","&lt;&gt;",Settings!$B$2),'JLR Materials'!$D$2:$D$20001,IF(Settings!$B$4="","&lt;&gt;",Settings!$B$4)))</f>
        <v>0</v>
      </c>
      <c r="M80" s="38">
        <f>IF($L80&lt;&gt;1,0,SUMIFS('JLR Materials'!$E$2:$E$20001,'JLR Materials'!$A$2:$A$20001,$K80,'JLR Materials'!$C$2:$C$20001,IF(Settings!$B$2="","&lt;&gt;",Settings!$B$2),'JLR Materials'!$D$2:$D$20001,IF(Settings!$B$4="","&lt;&gt;",Settings!$B$4)))</f>
        <v>0</v>
      </c>
      <c r="N80" s="39">
        <f>IF($L80&lt;&gt;1,0,SUMIFS('JLR Materials'!$F$2:$F$20001,'JLR Materials'!$A$2:$A$20001,$K80,'JLR Materials'!$C$2:$C$20001,IF(Settings!$B$2="","&lt;&gt;",Settings!$B$2),'JLR Materials'!$D$2:$D$20001,IF(Settings!$B$4="","&lt;&gt;",Settings!$B$4)))</f>
        <v>0</v>
      </c>
      <c r="O80" s="38">
        <f>IF($N80=0,0,IF(Settings!$B$5="percent",$M80*$N80/100,$N80))</f>
        <v>0</v>
      </c>
      <c r="P80" s="39">
        <f>IF($L80&lt;&gt;1,0,SUMIFS('JLR Materials'!$G$2:$G$20001,'JLR Materials'!$A$2:$A$20001,$K80,'JLR Materials'!$C$2:$C$20001,IF(Settings!$B$2="","&lt;&gt;",Settings!$B$2),'JLR Materials'!$D$2:$D$20001,IF(Settings!$B$4="","&lt;&gt;",Settings!$B$4)))</f>
        <v>0</v>
      </c>
      <c r="Q80" s="40" t="s">
        <v>1560</v>
      </c>
      <c r="R80" s="40" t="s">
        <v>1382</v>
      </c>
    </row>
    <row r="81" spans="1:18" x14ac:dyDescent="0.25">
      <c r="A81" s="32" t="s">
        <v>425</v>
      </c>
      <c r="B81" s="33" t="s">
        <v>1561</v>
      </c>
      <c r="C81" s="33" t="s">
        <v>1523</v>
      </c>
      <c r="D81" s="34">
        <f>IF($M81&gt;0,$M81,3.24)</f>
        <v>3.24</v>
      </c>
      <c r="E81" s="34">
        <f>IF($O81&gt;0,$O81,0.3)</f>
        <v>0.3</v>
      </c>
      <c r="F81" s="35">
        <v>7600</v>
      </c>
      <c r="G81" s="33" t="s">
        <v>1379</v>
      </c>
      <c r="H81" s="36" t="str">
        <f>IF($M81&gt;0,IF($L81&lt;&gt;1,$R81,IFERROR(INDEX('JLR Materials'!$D$2:$D$20001,MATCH($K81,'JLR Materials'!$A$2:$A$20001,0)),$R81)),$R81)</f>
        <v>2026-09</v>
      </c>
      <c r="I81" s="36" t="str">
        <f>IF($M81&gt;0,"JLR rate card — material code "&amp;$K81,$Q81)</f>
        <v>UK electrical steel Jul 2026. Ultra-high-yield thin NO for &gt;20k rpm rotors (Xiaomi HyperEngine V8s ~27,200 rpm class) — enables slim bridges + high tip speed. Premium, heavy notch-tool wear. | Refresh 2026-09: +£0.041/kg from 1kg crno £0.612→£0.653/kg; premiums held</v>
      </c>
      <c r="J81" s="33" t="s">
        <v>1393</v>
      </c>
      <c r="K81" s="37" t="str">
        <f>IFERROR(INDEX(Mapping!$C$2:$C$549,MATCH($A81,Mapping!$A$2:$A$549,0)),"")</f>
        <v/>
      </c>
      <c r="L81" s="37">
        <f>IF($K81="",0,COUNTIFS('JLR Materials'!$A$2:$A$20001,$K81,'JLR Materials'!$C$2:$C$20001,IF(Settings!$B$2="","&lt;&gt;",Settings!$B$2),'JLR Materials'!$D$2:$D$20001,IF(Settings!$B$4="","&lt;&gt;",Settings!$B$4)))</f>
        <v>0</v>
      </c>
      <c r="M81" s="38">
        <f>IF($L81&lt;&gt;1,0,SUMIFS('JLR Materials'!$E$2:$E$20001,'JLR Materials'!$A$2:$A$20001,$K81,'JLR Materials'!$C$2:$C$20001,IF(Settings!$B$2="","&lt;&gt;",Settings!$B$2),'JLR Materials'!$D$2:$D$20001,IF(Settings!$B$4="","&lt;&gt;",Settings!$B$4)))</f>
        <v>0</v>
      </c>
      <c r="N81" s="39">
        <f>IF($L81&lt;&gt;1,0,SUMIFS('JLR Materials'!$F$2:$F$20001,'JLR Materials'!$A$2:$A$20001,$K81,'JLR Materials'!$C$2:$C$20001,IF(Settings!$B$2="","&lt;&gt;",Settings!$B$2),'JLR Materials'!$D$2:$D$20001,IF(Settings!$B$4="","&lt;&gt;",Settings!$B$4)))</f>
        <v>0</v>
      </c>
      <c r="O81" s="38">
        <f>IF($N81=0,0,IF(Settings!$B$5="percent",$M81*$N81/100,$N81))</f>
        <v>0</v>
      </c>
      <c r="P81" s="39">
        <f>IF($L81&lt;&gt;1,0,SUMIFS('JLR Materials'!$G$2:$G$20001,'JLR Materials'!$A$2:$A$20001,$K81,'JLR Materials'!$C$2:$C$20001,IF(Settings!$B$2="","&lt;&gt;",Settings!$B$2),'JLR Materials'!$D$2:$D$20001,IF(Settings!$B$4="","&lt;&gt;",Settings!$B$4)))</f>
        <v>0</v>
      </c>
      <c r="Q81" s="40" t="s">
        <v>1562</v>
      </c>
      <c r="R81" s="40" t="s">
        <v>1382</v>
      </c>
    </row>
    <row r="82" spans="1:18" x14ac:dyDescent="0.25">
      <c r="A82" s="32" t="s">
        <v>427</v>
      </c>
      <c r="B82" s="33" t="s">
        <v>1563</v>
      </c>
      <c r="C82" s="33" t="s">
        <v>1523</v>
      </c>
      <c r="D82" s="34">
        <f>IF($M82&gt;0,$M82,3.94)</f>
        <v>3.94</v>
      </c>
      <c r="E82" s="34">
        <f>IF($O82&gt;0,$O82,0.3)</f>
        <v>0.3</v>
      </c>
      <c r="F82" s="35">
        <v>7600</v>
      </c>
      <c r="G82" s="33" t="s">
        <v>1379</v>
      </c>
      <c r="H82" s="36" t="str">
        <f>IF($M82&gt;0,IF($L82&lt;&gt;1,$R82,IFERROR(INDEX('JLR Materials'!$D$2:$D$20001,MATCH($K82,'JLR Materials'!$A$2:$A$20001,0)),$R82)),$R82)</f>
        <v>2026-09</v>
      </c>
      <c r="I82" s="36" t="str">
        <f>IF($M82&gt;0,"JLR rate card — material code "&amp;$K82,$Q82)</f>
        <v>UK electrical steel Jul 2026. 0.15mm ultra-thin NO — very high-frequency traction (SU7 Ultra V8s / high-speed EV); low eddy loss, low stacking factor, hard to blank (fine burr control). Bonded (backlack) stacks typical. | Refresh 2026-09: +£0.041/kg from 1kg crno £0.612→£0.653/kg; premiums held</v>
      </c>
      <c r="J82" s="33" t="s">
        <v>1393</v>
      </c>
      <c r="K82" s="37" t="str">
        <f>IFERROR(INDEX(Mapping!$C$2:$C$549,MATCH($A82,Mapping!$A$2:$A$549,0)),"")</f>
        <v/>
      </c>
      <c r="L82" s="37">
        <f>IF($K82="",0,COUNTIFS('JLR Materials'!$A$2:$A$20001,$K82,'JLR Materials'!$C$2:$C$20001,IF(Settings!$B$2="","&lt;&gt;",Settings!$B$2),'JLR Materials'!$D$2:$D$20001,IF(Settings!$B$4="","&lt;&gt;",Settings!$B$4)))</f>
        <v>0</v>
      </c>
      <c r="M82" s="38">
        <f>IF($L82&lt;&gt;1,0,SUMIFS('JLR Materials'!$E$2:$E$20001,'JLR Materials'!$A$2:$A$20001,$K82,'JLR Materials'!$C$2:$C$20001,IF(Settings!$B$2="","&lt;&gt;",Settings!$B$2),'JLR Materials'!$D$2:$D$20001,IF(Settings!$B$4="","&lt;&gt;",Settings!$B$4)))</f>
        <v>0</v>
      </c>
      <c r="N82" s="39">
        <f>IF($L82&lt;&gt;1,0,SUMIFS('JLR Materials'!$F$2:$F$20001,'JLR Materials'!$A$2:$A$20001,$K82,'JLR Materials'!$C$2:$C$20001,IF(Settings!$B$2="","&lt;&gt;",Settings!$B$2),'JLR Materials'!$D$2:$D$20001,IF(Settings!$B$4="","&lt;&gt;",Settings!$B$4)))</f>
        <v>0</v>
      </c>
      <c r="O82" s="38">
        <f>IF($N82=0,0,IF(Settings!$B$5="percent",$M82*$N82/100,$N82))</f>
        <v>0</v>
      </c>
      <c r="P82" s="39">
        <f>IF($L82&lt;&gt;1,0,SUMIFS('JLR Materials'!$G$2:$G$20001,'JLR Materials'!$A$2:$A$20001,$K82,'JLR Materials'!$C$2:$C$20001,IF(Settings!$B$2="","&lt;&gt;",Settings!$B$2),'JLR Materials'!$D$2:$D$20001,IF(Settings!$B$4="","&lt;&gt;",Settings!$B$4)))</f>
        <v>0</v>
      </c>
      <c r="Q82" s="40" t="s">
        <v>1564</v>
      </c>
      <c r="R82" s="40" t="s">
        <v>1382</v>
      </c>
    </row>
    <row r="83" spans="1:18" x14ac:dyDescent="0.25">
      <c r="A83" s="32" t="s">
        <v>429</v>
      </c>
      <c r="B83" s="33" t="s">
        <v>1565</v>
      </c>
      <c r="C83" s="33" t="s">
        <v>1523</v>
      </c>
      <c r="D83" s="34">
        <f>IF($M83&gt;0,$M83,5.54)</f>
        <v>5.54</v>
      </c>
      <c r="E83" s="34">
        <f>IF($O83&gt;0,$O83,0.35)</f>
        <v>0.35</v>
      </c>
      <c r="F83" s="35">
        <v>7600</v>
      </c>
      <c r="G83" s="33" t="s">
        <v>1379</v>
      </c>
      <c r="H83" s="36" t="str">
        <f>IF($M83&gt;0,IF($L83&lt;&gt;1,$R83,IFERROR(INDEX('JLR Materials'!$D$2:$D$20001,MATCH($K83,'JLR Materials'!$A$2:$A$20001,0)),$R83)),$R83)</f>
        <v>2026-09</v>
      </c>
      <c r="I83" s="36" t="str">
        <f>IF($M83&gt;0,"JLR rate card — material code "&amp;$K83,$Q83)</f>
        <v>UK electrical steel Jul 2026. 0.10mm foil-gauge NO — extreme high-speed / high-frequency rotors (aero/hypercar &amp; top-end EV traction). Lowest iron loss; etched/bonded rather than hard-die blanked at volume. | Refresh 2026-09: +£0.041/kg from 1kg crno £0.612→£0.653/kg; premiums held</v>
      </c>
      <c r="J83" s="33" t="s">
        <v>1393</v>
      </c>
      <c r="K83" s="37" t="str">
        <f>IFERROR(INDEX(Mapping!$C$2:$C$549,MATCH($A83,Mapping!$A$2:$A$549,0)),"")</f>
        <v/>
      </c>
      <c r="L83" s="37">
        <f>IF($K83="",0,COUNTIFS('JLR Materials'!$A$2:$A$20001,$K83,'JLR Materials'!$C$2:$C$20001,IF(Settings!$B$2="","&lt;&gt;",Settings!$B$2),'JLR Materials'!$D$2:$D$20001,IF(Settings!$B$4="","&lt;&gt;",Settings!$B$4)))</f>
        <v>0</v>
      </c>
      <c r="M83" s="38">
        <f>IF($L83&lt;&gt;1,0,SUMIFS('JLR Materials'!$E$2:$E$20001,'JLR Materials'!$A$2:$A$20001,$K83,'JLR Materials'!$C$2:$C$20001,IF(Settings!$B$2="","&lt;&gt;",Settings!$B$2),'JLR Materials'!$D$2:$D$20001,IF(Settings!$B$4="","&lt;&gt;",Settings!$B$4)))</f>
        <v>0</v>
      </c>
      <c r="N83" s="39">
        <f>IF($L83&lt;&gt;1,0,SUMIFS('JLR Materials'!$F$2:$F$20001,'JLR Materials'!$A$2:$A$20001,$K83,'JLR Materials'!$C$2:$C$20001,IF(Settings!$B$2="","&lt;&gt;",Settings!$B$2),'JLR Materials'!$D$2:$D$20001,IF(Settings!$B$4="","&lt;&gt;",Settings!$B$4)))</f>
        <v>0</v>
      </c>
      <c r="O83" s="38">
        <f>IF($N83=0,0,IF(Settings!$B$5="percent",$M83*$N83/100,$N83))</f>
        <v>0</v>
      </c>
      <c r="P83" s="39">
        <f>IF($L83&lt;&gt;1,0,SUMIFS('JLR Materials'!$G$2:$G$20001,'JLR Materials'!$A$2:$A$20001,$K83,'JLR Materials'!$C$2:$C$20001,IF(Settings!$B$2="","&lt;&gt;",Settings!$B$2),'JLR Materials'!$D$2:$D$20001,IF(Settings!$B$4="","&lt;&gt;",Settings!$B$4)))</f>
        <v>0</v>
      </c>
      <c r="Q83" s="40" t="s">
        <v>1566</v>
      </c>
      <c r="R83" s="40" t="s">
        <v>1382</v>
      </c>
    </row>
    <row r="84" spans="1:18" x14ac:dyDescent="0.25">
      <c r="A84" s="32" t="s">
        <v>431</v>
      </c>
      <c r="B84" s="33" t="s">
        <v>1567</v>
      </c>
      <c r="C84" s="33" t="s">
        <v>1523</v>
      </c>
      <c r="D84" s="34">
        <f>IF($M84&gt;0,$M84,6.84)</f>
        <v>6.84</v>
      </c>
      <c r="E84" s="34">
        <f>IF($O84&gt;0,$O84,0.35)</f>
        <v>0.35</v>
      </c>
      <c r="F84" s="35">
        <v>7490</v>
      </c>
      <c r="G84" s="33" t="s">
        <v>1379</v>
      </c>
      <c r="H84" s="36" t="str">
        <f>IF($M84&gt;0,IF($L84&lt;&gt;1,$R84,IFERROR(INDEX('JLR Materials'!$D$2:$D$20001,MATCH($K84,'JLR Materials'!$A$2:$A$20001,0)),$R84)),$R84)</f>
        <v>2026-09</v>
      </c>
      <c r="I84" s="36" t="str">
        <f>IF($M84&gt;0,"JLR rate card — material code "&amp;$K84,$Q84)</f>
        <v>UK speciality Jul 2026. 6.5% silicon steel (JFE JNEX / Super-Core class) — near-zero magnetostriction, lowest high-frequency core loss for high-rpm/high-pole EV &amp; aerospace motors, reactors. Brittle, specialised processing. | Refresh 2026-09: +£0.041/kg from 1kg crno £0.612→£0.653/kg; premiums held</v>
      </c>
      <c r="J84" s="33" t="s">
        <v>1393</v>
      </c>
      <c r="K84" s="37" t="str">
        <f>IFERROR(INDEX(Mapping!$C$2:$C$549,MATCH($A84,Mapping!$A$2:$A$549,0)),"")</f>
        <v/>
      </c>
      <c r="L84" s="37">
        <f>IF($K84="",0,COUNTIFS('JLR Materials'!$A$2:$A$20001,$K84,'JLR Materials'!$C$2:$C$20001,IF(Settings!$B$2="","&lt;&gt;",Settings!$B$2),'JLR Materials'!$D$2:$D$20001,IF(Settings!$B$4="","&lt;&gt;",Settings!$B$4)))</f>
        <v>0</v>
      </c>
      <c r="M84" s="38">
        <f>IF($L84&lt;&gt;1,0,SUMIFS('JLR Materials'!$E$2:$E$20001,'JLR Materials'!$A$2:$A$20001,$K84,'JLR Materials'!$C$2:$C$20001,IF(Settings!$B$2="","&lt;&gt;",Settings!$B$2),'JLR Materials'!$D$2:$D$20001,IF(Settings!$B$4="","&lt;&gt;",Settings!$B$4)))</f>
        <v>0</v>
      </c>
      <c r="N84" s="39">
        <f>IF($L84&lt;&gt;1,0,SUMIFS('JLR Materials'!$F$2:$F$20001,'JLR Materials'!$A$2:$A$20001,$K84,'JLR Materials'!$C$2:$C$20001,IF(Settings!$B$2="","&lt;&gt;",Settings!$B$2),'JLR Materials'!$D$2:$D$20001,IF(Settings!$B$4="","&lt;&gt;",Settings!$B$4)))</f>
        <v>0</v>
      </c>
      <c r="O84" s="38">
        <f>IF($N84=0,0,IF(Settings!$B$5="percent",$M84*$N84/100,$N84))</f>
        <v>0</v>
      </c>
      <c r="P84" s="39">
        <f>IF($L84&lt;&gt;1,0,SUMIFS('JLR Materials'!$G$2:$G$20001,'JLR Materials'!$A$2:$A$20001,$K84,'JLR Materials'!$C$2:$C$20001,IF(Settings!$B$2="","&lt;&gt;",Settings!$B$2),'JLR Materials'!$D$2:$D$20001,IF(Settings!$B$4="","&lt;&gt;",Settings!$B$4)))</f>
        <v>0</v>
      </c>
      <c r="Q84" s="40" t="s">
        <v>1568</v>
      </c>
      <c r="R84" s="40" t="s">
        <v>1382</v>
      </c>
    </row>
    <row r="85" spans="1:18" x14ac:dyDescent="0.25">
      <c r="A85" s="32" t="s">
        <v>433</v>
      </c>
      <c r="B85" s="33" t="s">
        <v>1569</v>
      </c>
      <c r="C85" s="33" t="s">
        <v>1523</v>
      </c>
      <c r="D85" s="34">
        <f>IF($M85&gt;0,$M85,3.64)</f>
        <v>3.64</v>
      </c>
      <c r="E85" s="34">
        <f>IF($O85&gt;0,$O85,0.32)</f>
        <v>0.32</v>
      </c>
      <c r="F85" s="35">
        <v>7600</v>
      </c>
      <c r="G85" s="33" t="s">
        <v>1379</v>
      </c>
      <c r="H85" s="36" t="str">
        <f>IF($M85&gt;0,IF($L85&lt;&gt;1,$R85,IFERROR(INDEX('JLR Materials'!$D$2:$D$20001,MATCH($K85,'JLR Materials'!$A$2:$A$20001,0)),$R85)),$R85)</f>
        <v>2026-09</v>
      </c>
      <c r="I85" s="36" t="str">
        <f>IF($M85&gt;0,"JLR rate card — material code "&amp;$K85,$Q85)</f>
        <v>UK electrical steel Jul 2026. ~1100 MPa yield thin-gauge NO for ~30,000 rpm flagship rotors (BYD Yangwang U7/U8/U9 quad-motor, Xiaomi flagship) — holds slim bridges at extreme tip speed. Premium alloy, severe notch-tool wear. | Refresh 2026-09: +£0.041/kg from 1kg crno £0.612→£0.653/kg; premiums held</v>
      </c>
      <c r="J85" s="33" t="s">
        <v>1393</v>
      </c>
      <c r="K85" s="37" t="str">
        <f>IFERROR(INDEX(Mapping!$C$2:$C$549,MATCH($A85,Mapping!$A$2:$A$549,0)),"")</f>
        <v/>
      </c>
      <c r="L85" s="37">
        <f>IF($K85="",0,COUNTIFS('JLR Materials'!$A$2:$A$20001,$K85,'JLR Materials'!$C$2:$C$20001,IF(Settings!$B$2="","&lt;&gt;",Settings!$B$2),'JLR Materials'!$D$2:$D$20001,IF(Settings!$B$4="","&lt;&gt;",Settings!$B$4)))</f>
        <v>0</v>
      </c>
      <c r="M85" s="38">
        <f>IF($L85&lt;&gt;1,0,SUMIFS('JLR Materials'!$E$2:$E$20001,'JLR Materials'!$A$2:$A$20001,$K85,'JLR Materials'!$C$2:$C$20001,IF(Settings!$B$2="","&lt;&gt;",Settings!$B$2),'JLR Materials'!$D$2:$D$20001,IF(Settings!$B$4="","&lt;&gt;",Settings!$B$4)))</f>
        <v>0</v>
      </c>
      <c r="N85" s="39">
        <f>IF($L85&lt;&gt;1,0,SUMIFS('JLR Materials'!$F$2:$F$20001,'JLR Materials'!$A$2:$A$20001,$K85,'JLR Materials'!$C$2:$C$20001,IF(Settings!$B$2="","&lt;&gt;",Settings!$B$2),'JLR Materials'!$D$2:$D$20001,IF(Settings!$B$4="","&lt;&gt;",Settings!$B$4)))</f>
        <v>0</v>
      </c>
      <c r="O85" s="38">
        <f>IF($N85=0,0,IF(Settings!$B$5="percent",$M85*$N85/100,$N85))</f>
        <v>0</v>
      </c>
      <c r="P85" s="39">
        <f>IF($L85&lt;&gt;1,0,SUMIFS('JLR Materials'!$G$2:$G$20001,'JLR Materials'!$A$2:$A$20001,$K85,'JLR Materials'!$C$2:$C$20001,IF(Settings!$B$2="","&lt;&gt;",Settings!$B$2),'JLR Materials'!$D$2:$D$20001,IF(Settings!$B$4="","&lt;&gt;",Settings!$B$4)))</f>
        <v>0</v>
      </c>
      <c r="Q85" s="40" t="s">
        <v>1570</v>
      </c>
      <c r="R85" s="40" t="s">
        <v>1382</v>
      </c>
    </row>
    <row r="86" spans="1:18" x14ac:dyDescent="0.25">
      <c r="A86" s="32" t="s">
        <v>435</v>
      </c>
      <c r="B86" s="33" t="s">
        <v>1571</v>
      </c>
      <c r="C86" s="33" t="s">
        <v>1523</v>
      </c>
      <c r="D86" s="34">
        <f>IF($M86&gt;0,$M86,72)</f>
        <v>72</v>
      </c>
      <c r="E86" s="34">
        <f>IF($O86&gt;0,$O86,4.5)</f>
        <v>4.5</v>
      </c>
      <c r="F86" s="35">
        <v>8120</v>
      </c>
      <c r="G86" s="33" t="s">
        <v>1379</v>
      </c>
      <c r="H86" s="36" t="str">
        <f>IF($M86&gt;0,IF($L86&lt;&gt;1,$R86,IFERROR(INDEX('JLR Materials'!$D$2:$D$20001,MATCH($K86,'JLR Materials'!$A$2:$A$20001,0)),$R86)),$R86)</f>
        <v>2026-09</v>
      </c>
      <c r="I86" s="36" t="str">
        <f>IF($M86&gt;0,"JLR rate card — material code "&amp;$K86,$Q86)</f>
        <v>UK speciality Jul 2026. 0.10mm cobalt-iron (49Co-2V) — highest saturation (2.3T) + high-frequency capability for maximum power-density motors (aerospace, hypercar/flagship EV traction); H₂ final anneal, very expensive. | Refresh 2026-09: NOT SOURCED — co: Not sourced this period: no June and September level on the same basis. Held at the June 2026 price.</v>
      </c>
      <c r="J86" s="33" t="s">
        <v>1393</v>
      </c>
      <c r="K86" s="37" t="str">
        <f>IFERROR(INDEX(Mapping!$C$2:$C$549,MATCH($A86,Mapping!$A$2:$A$549,0)),"")</f>
        <v/>
      </c>
      <c r="L86" s="37">
        <f>IF($K86="",0,COUNTIFS('JLR Materials'!$A$2:$A$20001,$K86,'JLR Materials'!$C$2:$C$20001,IF(Settings!$B$2="","&lt;&gt;",Settings!$B$2),'JLR Materials'!$D$2:$D$20001,IF(Settings!$B$4="","&lt;&gt;",Settings!$B$4)))</f>
        <v>0</v>
      </c>
      <c r="M86" s="38">
        <f>IF($L86&lt;&gt;1,0,SUMIFS('JLR Materials'!$E$2:$E$20001,'JLR Materials'!$A$2:$A$20001,$K86,'JLR Materials'!$C$2:$C$20001,IF(Settings!$B$2="","&lt;&gt;",Settings!$B$2),'JLR Materials'!$D$2:$D$20001,IF(Settings!$B$4="","&lt;&gt;",Settings!$B$4)))</f>
        <v>0</v>
      </c>
      <c r="N86" s="39">
        <f>IF($L86&lt;&gt;1,0,SUMIFS('JLR Materials'!$F$2:$F$20001,'JLR Materials'!$A$2:$A$20001,$K86,'JLR Materials'!$C$2:$C$20001,IF(Settings!$B$2="","&lt;&gt;",Settings!$B$2),'JLR Materials'!$D$2:$D$20001,IF(Settings!$B$4="","&lt;&gt;",Settings!$B$4)))</f>
        <v>0</v>
      </c>
      <c r="O86" s="38">
        <f>IF($N86=0,0,IF(Settings!$B$5="percent",$M86*$N86/100,$N86))</f>
        <v>0</v>
      </c>
      <c r="P86" s="39">
        <f>IF($L86&lt;&gt;1,0,SUMIFS('JLR Materials'!$G$2:$G$20001,'JLR Materials'!$A$2:$A$20001,$K86,'JLR Materials'!$C$2:$C$20001,IF(Settings!$B$2="","&lt;&gt;",Settings!$B$2),'JLR Materials'!$D$2:$D$20001,IF(Settings!$B$4="","&lt;&gt;",Settings!$B$4)))</f>
        <v>0</v>
      </c>
      <c r="Q86" s="40" t="s">
        <v>1572</v>
      </c>
      <c r="R86" s="40" t="s">
        <v>1382</v>
      </c>
    </row>
    <row r="87" spans="1:18" x14ac:dyDescent="0.25">
      <c r="A87" s="32" t="s">
        <v>437</v>
      </c>
      <c r="B87" s="33" t="s">
        <v>1573</v>
      </c>
      <c r="C87" s="33" t="s">
        <v>1574</v>
      </c>
      <c r="D87" s="34">
        <f>IF($M87&gt;0,$M87,13.9)</f>
        <v>13.9</v>
      </c>
      <c r="E87" s="34">
        <f>IF($O87&gt;0,$O87,6.32)</f>
        <v>6.32</v>
      </c>
      <c r="F87" s="35">
        <v>8930</v>
      </c>
      <c r="G87" s="33" t="s">
        <v>1379</v>
      </c>
      <c r="H87" s="36" t="str">
        <f>IF($M87&gt;0,IF($L87&lt;&gt;1,$R87,IFERROR(INDEX('JLR Materials'!$D$2:$D$20001,MATCH($K87,'JLR Materials'!$A$2:$A$20001,0)),$R87)),$R87)</f>
        <v>2026-09</v>
      </c>
      <c r="I87" s="36" t="str">
        <f>IF($M87&gt;0,"JLR rate card — material code "&amp;$K87,$Q87)</f>
        <v>UK Jul 2026. Flat enamelled (grade-2/corona-resistant) rectangular copper wire for hairpin/bar-wound EV traction stators — stamped/bent hairpins, laser-welded crowns. ETP + enamel + forming premium over C110. | Refresh 2026-09: +£0.699/kg from 1kg cu £10.070→£10.768/kg; premiums held</v>
      </c>
      <c r="J87" s="33" t="s">
        <v>1393</v>
      </c>
      <c r="K87" s="37" t="str">
        <f>IFERROR(INDEX(Mapping!$C$2:$C$549,MATCH($A87,Mapping!$A$2:$A$549,0)),"")</f>
        <v/>
      </c>
      <c r="L87" s="37">
        <f>IF($K87="",0,COUNTIFS('JLR Materials'!$A$2:$A$20001,$K87,'JLR Materials'!$C$2:$C$20001,IF(Settings!$B$2="","&lt;&gt;",Settings!$B$2),'JLR Materials'!$D$2:$D$20001,IF(Settings!$B$4="","&lt;&gt;",Settings!$B$4)))</f>
        <v>0</v>
      </c>
      <c r="M87" s="38">
        <f>IF($L87&lt;&gt;1,0,SUMIFS('JLR Materials'!$E$2:$E$20001,'JLR Materials'!$A$2:$A$20001,$K87,'JLR Materials'!$C$2:$C$20001,IF(Settings!$B$2="","&lt;&gt;",Settings!$B$2),'JLR Materials'!$D$2:$D$20001,IF(Settings!$B$4="","&lt;&gt;",Settings!$B$4)))</f>
        <v>0</v>
      </c>
      <c r="N87" s="39">
        <f>IF($L87&lt;&gt;1,0,SUMIFS('JLR Materials'!$F$2:$F$20001,'JLR Materials'!$A$2:$A$20001,$K87,'JLR Materials'!$C$2:$C$20001,IF(Settings!$B$2="","&lt;&gt;",Settings!$B$2),'JLR Materials'!$D$2:$D$20001,IF(Settings!$B$4="","&lt;&gt;",Settings!$B$4)))</f>
        <v>0</v>
      </c>
      <c r="O87" s="38">
        <f>IF($N87=0,0,IF(Settings!$B$5="percent",$M87*$N87/100,$N87))</f>
        <v>0</v>
      </c>
      <c r="P87" s="39">
        <f>IF($L87&lt;&gt;1,0,SUMIFS('JLR Materials'!$G$2:$G$20001,'JLR Materials'!$A$2:$A$20001,$K87,'JLR Materials'!$C$2:$C$20001,IF(Settings!$B$2="","&lt;&gt;",Settings!$B$2),'JLR Materials'!$D$2:$D$20001,IF(Settings!$B$4="","&lt;&gt;",Settings!$B$4)))</f>
        <v>0</v>
      </c>
      <c r="Q87" s="40" t="s">
        <v>1575</v>
      </c>
      <c r="R87" s="40" t="s">
        <v>1382</v>
      </c>
    </row>
    <row r="88" spans="1:18" x14ac:dyDescent="0.25">
      <c r="A88" s="32" t="s">
        <v>439</v>
      </c>
      <c r="B88" s="33" t="s">
        <v>1576</v>
      </c>
      <c r="C88" s="33" t="s">
        <v>1577</v>
      </c>
      <c r="D88" s="34">
        <f>IF($M88&gt;0,$M88,4.74)</f>
        <v>4.74</v>
      </c>
      <c r="E88" s="34">
        <f>IF($O88&gt;0,$O88,1.09)</f>
        <v>1.09</v>
      </c>
      <c r="F88" s="35">
        <v>2700</v>
      </c>
      <c r="G88" s="33" t="s">
        <v>1379</v>
      </c>
      <c r="H88" s="36" t="str">
        <f>IF($M88&gt;0,IF($L88&lt;&gt;1,$R88,IFERROR(INDEX('JLR Materials'!$D$2:$D$20001,MATCH($K88,'JLR Materials'!$A$2:$A$20001,0)),$R88)),$R88)</f>
        <v>2026-09</v>
      </c>
      <c r="I88" s="36" t="str">
        <f>IF($M88&gt;0,"JLR rate card — material code "&amp;$K88,$Q88)</f>
        <v>UK Jul 2026. Flat enamelled aluminium hairpin conductor — cost/weight-down alternative to copper in some EV traction motors; lower conductivity, larger slot fill. | Refresh 2026-09: −£0.060/kg from 0.97kg al £2.910→£2.849/kg; premiums held</v>
      </c>
      <c r="J88" s="33" t="s">
        <v>1393</v>
      </c>
      <c r="K88" s="37" t="str">
        <f>IFERROR(INDEX(Mapping!$C$2:$C$549,MATCH($A88,Mapping!$A$2:$A$549,0)),"")</f>
        <v/>
      </c>
      <c r="L88" s="37">
        <f>IF($K88="",0,COUNTIFS('JLR Materials'!$A$2:$A$20001,$K88,'JLR Materials'!$C$2:$C$20001,IF(Settings!$B$2="","&lt;&gt;",Settings!$B$2),'JLR Materials'!$D$2:$D$20001,IF(Settings!$B$4="","&lt;&gt;",Settings!$B$4)))</f>
        <v>0</v>
      </c>
      <c r="M88" s="38">
        <f>IF($L88&lt;&gt;1,0,SUMIFS('JLR Materials'!$E$2:$E$20001,'JLR Materials'!$A$2:$A$20001,$K88,'JLR Materials'!$C$2:$C$20001,IF(Settings!$B$2="","&lt;&gt;",Settings!$B$2),'JLR Materials'!$D$2:$D$20001,IF(Settings!$B$4="","&lt;&gt;",Settings!$B$4)))</f>
        <v>0</v>
      </c>
      <c r="N88" s="39">
        <f>IF($L88&lt;&gt;1,0,SUMIFS('JLR Materials'!$F$2:$F$20001,'JLR Materials'!$A$2:$A$20001,$K88,'JLR Materials'!$C$2:$C$20001,IF(Settings!$B$2="","&lt;&gt;",Settings!$B$2),'JLR Materials'!$D$2:$D$20001,IF(Settings!$B$4="","&lt;&gt;",Settings!$B$4)))</f>
        <v>0</v>
      </c>
      <c r="O88" s="38">
        <f>IF($N88=0,0,IF(Settings!$B$5="percent",$M88*$N88/100,$N88))</f>
        <v>0</v>
      </c>
      <c r="P88" s="39">
        <f>IF($L88&lt;&gt;1,0,SUMIFS('JLR Materials'!$G$2:$G$20001,'JLR Materials'!$A$2:$A$20001,$K88,'JLR Materials'!$C$2:$C$20001,IF(Settings!$B$2="","&lt;&gt;",Settings!$B$2),'JLR Materials'!$D$2:$D$20001,IF(Settings!$B$4="","&lt;&gt;",Settings!$B$4)))</f>
        <v>0</v>
      </c>
      <c r="Q88" s="40" t="s">
        <v>1578</v>
      </c>
      <c r="R88" s="40" t="s">
        <v>1382</v>
      </c>
    </row>
    <row r="89" spans="1:18" x14ac:dyDescent="0.25">
      <c r="A89" s="32" t="s">
        <v>441</v>
      </c>
      <c r="B89" s="33" t="s">
        <v>1579</v>
      </c>
      <c r="C89" s="33" t="s">
        <v>1445</v>
      </c>
      <c r="D89" s="34">
        <f>IF($M89&gt;0,$M89,3.74)</f>
        <v>3.74</v>
      </c>
      <c r="E89" s="34">
        <f>IF($O89&gt;0,$O89,0.98)</f>
        <v>0.98</v>
      </c>
      <c r="F89" s="35">
        <v>2700</v>
      </c>
      <c r="G89" s="33" t="s">
        <v>1379</v>
      </c>
      <c r="H89" s="36" t="str">
        <f>IF($M89&gt;0,IF($L89&lt;&gt;1,$R89,IFERROR(INDEX('JLR Materials'!$D$2:$D$20001,MATCH($K89,'JLR Materials'!$A$2:$A$20001,0)),$R89)),$R89)</f>
        <v>2026-09</v>
      </c>
      <c r="I89" s="36" t="str">
        <f>IF($M89&gt;0,"JLR rate card — material code "&amp;$K89,$Q89)</f>
        <v>UK Jul 2026. 1050/6101 aluminium busbar stock — battery-pack and inverter interconnects, cell-to-body (CTB/CTC) module bars; lighter/cheaper than copper, larger cross-section. | Refresh 2026-09: −£0.060/kg from 0.97kg al £2.910→£2.849/kg; premiums held</v>
      </c>
      <c r="J89" s="33" t="s">
        <v>1393</v>
      </c>
      <c r="K89" s="37" t="str">
        <f>IFERROR(INDEX(Mapping!$C$2:$C$549,MATCH($A89,Mapping!$A$2:$A$549,0)),"")</f>
        <v/>
      </c>
      <c r="L89" s="37">
        <f>IF($K89="",0,COUNTIFS('JLR Materials'!$A$2:$A$20001,$K89,'JLR Materials'!$C$2:$C$20001,IF(Settings!$B$2="","&lt;&gt;",Settings!$B$2),'JLR Materials'!$D$2:$D$20001,IF(Settings!$B$4="","&lt;&gt;",Settings!$B$4)))</f>
        <v>0</v>
      </c>
      <c r="M89" s="38">
        <f>IF($L89&lt;&gt;1,0,SUMIFS('JLR Materials'!$E$2:$E$20001,'JLR Materials'!$A$2:$A$20001,$K89,'JLR Materials'!$C$2:$C$20001,IF(Settings!$B$2="","&lt;&gt;",Settings!$B$2),'JLR Materials'!$D$2:$D$20001,IF(Settings!$B$4="","&lt;&gt;",Settings!$B$4)))</f>
        <v>0</v>
      </c>
      <c r="N89" s="39">
        <f>IF($L89&lt;&gt;1,0,SUMIFS('JLR Materials'!$F$2:$F$20001,'JLR Materials'!$A$2:$A$20001,$K89,'JLR Materials'!$C$2:$C$20001,IF(Settings!$B$2="","&lt;&gt;",Settings!$B$2),'JLR Materials'!$D$2:$D$20001,IF(Settings!$B$4="","&lt;&gt;",Settings!$B$4)))</f>
        <v>0</v>
      </c>
      <c r="O89" s="38">
        <f>IF($N89=0,0,IF(Settings!$B$5="percent",$M89*$N89/100,$N89))</f>
        <v>0</v>
      </c>
      <c r="P89" s="39">
        <f>IF($L89&lt;&gt;1,0,SUMIFS('JLR Materials'!$G$2:$G$20001,'JLR Materials'!$A$2:$A$20001,$K89,'JLR Materials'!$C$2:$C$20001,IF(Settings!$B$2="","&lt;&gt;",Settings!$B$2),'JLR Materials'!$D$2:$D$20001,IF(Settings!$B$4="","&lt;&gt;",Settings!$B$4)))</f>
        <v>0</v>
      </c>
      <c r="Q89" s="40" t="s">
        <v>1580</v>
      </c>
      <c r="R89" s="40" t="s">
        <v>1382</v>
      </c>
    </row>
    <row r="90" spans="1:18" x14ac:dyDescent="0.25">
      <c r="A90" s="32" t="s">
        <v>443</v>
      </c>
      <c r="B90" s="33" t="s">
        <v>1581</v>
      </c>
      <c r="C90" s="33" t="s">
        <v>1582</v>
      </c>
      <c r="D90" s="34">
        <f>IF($M90&gt;0,$M90,1.6)</f>
        <v>1.6</v>
      </c>
      <c r="E90" s="34">
        <f>IF($O90&gt;0,$O90,0.23)</f>
        <v>0.23</v>
      </c>
      <c r="F90" s="35">
        <v>7850</v>
      </c>
      <c r="G90" s="33" t="s">
        <v>1379</v>
      </c>
      <c r="H90" s="36" t="str">
        <f>IF($M90&gt;0,IF($L90&lt;&gt;1,$R90,IFERROR(INDEX('JLR Materials'!$D$2:$D$20001,MATCH($K90,'JLR Materials'!$A$2:$A$20001,0)),$R90)),$R90)</f>
        <v>2026-09</v>
      </c>
      <c r="I90" s="36" t="str">
        <f>IF($M90&gt;0,"JLR rate card — material code "&amp;$K90,$Q90)</f>
        <v>UK spring strip Jul 2026. Hardened-and-tempered carbon spring strip — stamped flat springs, clips, retainers, blades; high yield after HT. | Refresh 2026-09: +£0.049/kg from 1kg crc £0.668→£0.717/kg; premiums held</v>
      </c>
      <c r="J90" s="33" t="s">
        <v>1393</v>
      </c>
      <c r="K90" s="37" t="str">
        <f>IFERROR(INDEX(Mapping!$C$2:$C$549,MATCH($A90,Mapping!$A$2:$A$549,0)),"")</f>
        <v/>
      </c>
      <c r="L90" s="37">
        <f>IF($K90="",0,COUNTIFS('JLR Materials'!$A$2:$A$20001,$K90,'JLR Materials'!$C$2:$C$20001,IF(Settings!$B$2="","&lt;&gt;",Settings!$B$2),'JLR Materials'!$D$2:$D$20001,IF(Settings!$B$4="","&lt;&gt;",Settings!$B$4)))</f>
        <v>0</v>
      </c>
      <c r="M90" s="38">
        <f>IF($L90&lt;&gt;1,0,SUMIFS('JLR Materials'!$E$2:$E$20001,'JLR Materials'!$A$2:$A$20001,$K90,'JLR Materials'!$C$2:$C$20001,IF(Settings!$B$2="","&lt;&gt;",Settings!$B$2),'JLR Materials'!$D$2:$D$20001,IF(Settings!$B$4="","&lt;&gt;",Settings!$B$4)))</f>
        <v>0</v>
      </c>
      <c r="N90" s="39">
        <f>IF($L90&lt;&gt;1,0,SUMIFS('JLR Materials'!$F$2:$F$20001,'JLR Materials'!$A$2:$A$20001,$K90,'JLR Materials'!$C$2:$C$20001,IF(Settings!$B$2="","&lt;&gt;",Settings!$B$2),'JLR Materials'!$D$2:$D$20001,IF(Settings!$B$4="","&lt;&gt;",Settings!$B$4)))</f>
        <v>0</v>
      </c>
      <c r="O90" s="38">
        <f>IF($N90=0,0,IF(Settings!$B$5="percent",$M90*$N90/100,$N90))</f>
        <v>0</v>
      </c>
      <c r="P90" s="39">
        <f>IF($L90&lt;&gt;1,0,SUMIFS('JLR Materials'!$G$2:$G$20001,'JLR Materials'!$A$2:$A$20001,$K90,'JLR Materials'!$C$2:$C$20001,IF(Settings!$B$2="","&lt;&gt;",Settings!$B$2),'JLR Materials'!$D$2:$D$20001,IF(Settings!$B$4="","&lt;&gt;",Settings!$B$4)))</f>
        <v>0</v>
      </c>
      <c r="Q90" s="40" t="s">
        <v>1583</v>
      </c>
      <c r="R90" s="40" t="s">
        <v>1382</v>
      </c>
    </row>
    <row r="91" spans="1:18" x14ac:dyDescent="0.25">
      <c r="A91" s="32" t="s">
        <v>445</v>
      </c>
      <c r="B91" s="33" t="s">
        <v>1584</v>
      </c>
      <c r="C91" s="33" t="s">
        <v>1582</v>
      </c>
      <c r="D91" s="34">
        <f>IF($M91&gt;0,$M91,4.53)</f>
        <v>4.53</v>
      </c>
      <c r="E91" s="34">
        <f>IF($O91&gt;0,$O91,0.93)</f>
        <v>0.93</v>
      </c>
      <c r="F91" s="35">
        <v>7900</v>
      </c>
      <c r="G91" s="33" t="s">
        <v>1379</v>
      </c>
      <c r="H91" s="36" t="str">
        <f>IF($M91&gt;0,IF($L91&lt;&gt;1,$R91,IFERROR(INDEX('JLR Materials'!$D$2:$D$20001,MATCH($K91,'JLR Materials'!$A$2:$A$20001,0)),$R91)),$R91)</f>
        <v>2026-09</v>
      </c>
      <c r="I91" s="36" t="str">
        <f>IF($M91&gt;0,"JLR rate card — material code "&amp;$K91,$Q91)</f>
        <v>UK stainless spring strip Jul 2026. Work-hardened 301 (1/2–full hard) — corrosion-resistant springs, contacts, diaphragms, EMI fingers. | Refresh 2026-09: +£0.127/kg from 1kg ss_sur £2.037→£2.164/kg; premiums held</v>
      </c>
      <c r="J91" s="33" t="s">
        <v>1393</v>
      </c>
      <c r="K91" s="37" t="str">
        <f>IFERROR(INDEX(Mapping!$C$2:$C$549,MATCH($A91,Mapping!$A$2:$A$549,0)),"")</f>
        <v/>
      </c>
      <c r="L91" s="37">
        <f>IF($K91="",0,COUNTIFS('JLR Materials'!$A$2:$A$20001,$K91,'JLR Materials'!$C$2:$C$20001,IF(Settings!$B$2="","&lt;&gt;",Settings!$B$2),'JLR Materials'!$D$2:$D$20001,IF(Settings!$B$4="","&lt;&gt;",Settings!$B$4)))</f>
        <v>0</v>
      </c>
      <c r="M91" s="38">
        <f>IF($L91&lt;&gt;1,0,SUMIFS('JLR Materials'!$E$2:$E$20001,'JLR Materials'!$A$2:$A$20001,$K91,'JLR Materials'!$C$2:$C$20001,IF(Settings!$B$2="","&lt;&gt;",Settings!$B$2),'JLR Materials'!$D$2:$D$20001,IF(Settings!$B$4="","&lt;&gt;",Settings!$B$4)))</f>
        <v>0</v>
      </c>
      <c r="N91" s="39">
        <f>IF($L91&lt;&gt;1,0,SUMIFS('JLR Materials'!$F$2:$F$20001,'JLR Materials'!$A$2:$A$20001,$K91,'JLR Materials'!$C$2:$C$20001,IF(Settings!$B$2="","&lt;&gt;",Settings!$B$2),'JLR Materials'!$D$2:$D$20001,IF(Settings!$B$4="","&lt;&gt;",Settings!$B$4)))</f>
        <v>0</v>
      </c>
      <c r="O91" s="38">
        <f>IF($N91=0,0,IF(Settings!$B$5="percent",$M91*$N91/100,$N91))</f>
        <v>0</v>
      </c>
      <c r="P91" s="39">
        <f>IF($L91&lt;&gt;1,0,SUMIFS('JLR Materials'!$G$2:$G$20001,'JLR Materials'!$A$2:$A$20001,$K91,'JLR Materials'!$C$2:$C$20001,IF(Settings!$B$2="","&lt;&gt;",Settings!$B$2),'JLR Materials'!$D$2:$D$20001,IF(Settings!$B$4="","&lt;&gt;",Settings!$B$4)))</f>
        <v>0</v>
      </c>
      <c r="Q91" s="40" t="s">
        <v>1585</v>
      </c>
      <c r="R91" s="40" t="s">
        <v>1382</v>
      </c>
    </row>
    <row r="92" spans="1:18" x14ac:dyDescent="0.25">
      <c r="A92" s="32" t="s">
        <v>447</v>
      </c>
      <c r="B92" s="33" t="s">
        <v>1586</v>
      </c>
      <c r="C92" s="33" t="s">
        <v>1587</v>
      </c>
      <c r="D92" s="34">
        <f>IF($M92&gt;0,$M92,1.23)</f>
        <v>1.23</v>
      </c>
      <c r="E92" s="34">
        <f>IF($O92&gt;0,$O92,0.21)</f>
        <v>0.21</v>
      </c>
      <c r="F92" s="35">
        <v>7850</v>
      </c>
      <c r="G92" s="33" t="s">
        <v>1379</v>
      </c>
      <c r="H92" s="36" t="str">
        <f>IF($M92&gt;0,IF($L92&lt;&gt;1,$R92,IFERROR(INDEX('JLR Materials'!$D$2:$D$20001,MATCH($K92,'JLR Materials'!$A$2:$A$20001,0)),$R92)),$R92)</f>
        <v>2026-09</v>
      </c>
      <c r="I92" s="36" t="str">
        <f>IF($M92&gt;0,"JLR rate card — material code "&amp;$K92,$Q92)</f>
        <v>UK coated coil Jul 2026. Zinc-nickel electroplated — superior corrosion + heat resistance for underbody/fasteners. Better than plain EG. Yield ~150 MPa. | Refresh 2026-09: +£0.049/kg from 1kg hdg £0.668→£0.717/kg; premiums held</v>
      </c>
      <c r="J92" s="33" t="s">
        <v>1393</v>
      </c>
      <c r="K92" s="37" t="str">
        <f>IFERROR(INDEX(Mapping!$C$2:$C$549,MATCH($A92,Mapping!$A$2:$A$549,0)),"")</f>
        <v/>
      </c>
      <c r="L92" s="37">
        <f>IF($K92="",0,COUNTIFS('JLR Materials'!$A$2:$A$20001,$K92,'JLR Materials'!$C$2:$C$20001,IF(Settings!$B$2="","&lt;&gt;",Settings!$B$2),'JLR Materials'!$D$2:$D$20001,IF(Settings!$B$4="","&lt;&gt;",Settings!$B$4)))</f>
        <v>0</v>
      </c>
      <c r="M92" s="38">
        <f>IF($L92&lt;&gt;1,0,SUMIFS('JLR Materials'!$E$2:$E$20001,'JLR Materials'!$A$2:$A$20001,$K92,'JLR Materials'!$C$2:$C$20001,IF(Settings!$B$2="","&lt;&gt;",Settings!$B$2),'JLR Materials'!$D$2:$D$20001,IF(Settings!$B$4="","&lt;&gt;",Settings!$B$4)))</f>
        <v>0</v>
      </c>
      <c r="N92" s="39">
        <f>IF($L92&lt;&gt;1,0,SUMIFS('JLR Materials'!$F$2:$F$20001,'JLR Materials'!$A$2:$A$20001,$K92,'JLR Materials'!$C$2:$C$20001,IF(Settings!$B$2="","&lt;&gt;",Settings!$B$2),'JLR Materials'!$D$2:$D$20001,IF(Settings!$B$4="","&lt;&gt;",Settings!$B$4)))</f>
        <v>0</v>
      </c>
      <c r="O92" s="38">
        <f>IF($N92=0,0,IF(Settings!$B$5="percent",$M92*$N92/100,$N92))</f>
        <v>0</v>
      </c>
      <c r="P92" s="39">
        <f>IF($L92&lt;&gt;1,0,SUMIFS('JLR Materials'!$G$2:$G$20001,'JLR Materials'!$A$2:$A$20001,$K92,'JLR Materials'!$C$2:$C$20001,IF(Settings!$B$2="","&lt;&gt;",Settings!$B$2),'JLR Materials'!$D$2:$D$20001,IF(Settings!$B$4="","&lt;&gt;",Settings!$B$4)))</f>
        <v>0</v>
      </c>
      <c r="Q92" s="40" t="s">
        <v>1588</v>
      </c>
      <c r="R92" s="40" t="s">
        <v>1382</v>
      </c>
    </row>
    <row r="93" spans="1:18" x14ac:dyDescent="0.25">
      <c r="A93" s="32" t="s">
        <v>449</v>
      </c>
      <c r="B93" s="33" t="s">
        <v>1589</v>
      </c>
      <c r="C93" s="33" t="s">
        <v>1587</v>
      </c>
      <c r="D93" s="34">
        <f>IF($M93&gt;0,$M93,1.2)</f>
        <v>1.2</v>
      </c>
      <c r="E93" s="34">
        <f>IF($O93&gt;0,$O93,0.21)</f>
        <v>0.21</v>
      </c>
      <c r="F93" s="35">
        <v>7850</v>
      </c>
      <c r="G93" s="33" t="s">
        <v>1379</v>
      </c>
      <c r="H93" s="36" t="str">
        <f>IF($M93&gt;0,IF($L93&lt;&gt;1,$R93,IFERROR(INDEX('JLR Materials'!$D$2:$D$20001,MATCH($K93,'JLR Materials'!$A$2:$A$20001,0)),$R93)),$R93)</f>
        <v>2026-09</v>
      </c>
      <c r="I93" s="36" t="str">
        <f>IF($M93&gt;0,"JLR rate card — material code "&amp;$K93,$Q93)</f>
        <v>UK coated coil Jul 2026. Zinc-magnesium-aluminium coating — 2–3× corrosion life of GI at lower coat weight; battery trays, underbody. Yield ~180 MPa. | Refresh 2026-09: +£0.049/kg from 1kg hdg £0.668→£0.717/kg; premiums held</v>
      </c>
      <c r="J93" s="33" t="s">
        <v>1393</v>
      </c>
      <c r="K93" s="37" t="str">
        <f>IFERROR(INDEX(Mapping!$C$2:$C$549,MATCH($A93,Mapping!$A$2:$A$549,0)),"")</f>
        <v/>
      </c>
      <c r="L93" s="37">
        <f>IF($K93="",0,COUNTIFS('JLR Materials'!$A$2:$A$20001,$K93,'JLR Materials'!$C$2:$C$20001,IF(Settings!$B$2="","&lt;&gt;",Settings!$B$2),'JLR Materials'!$D$2:$D$20001,IF(Settings!$B$4="","&lt;&gt;",Settings!$B$4)))</f>
        <v>0</v>
      </c>
      <c r="M93" s="38">
        <f>IF($L93&lt;&gt;1,0,SUMIFS('JLR Materials'!$E$2:$E$20001,'JLR Materials'!$A$2:$A$20001,$K93,'JLR Materials'!$C$2:$C$20001,IF(Settings!$B$2="","&lt;&gt;",Settings!$B$2),'JLR Materials'!$D$2:$D$20001,IF(Settings!$B$4="","&lt;&gt;",Settings!$B$4)))</f>
        <v>0</v>
      </c>
      <c r="N93" s="39">
        <f>IF($L93&lt;&gt;1,0,SUMIFS('JLR Materials'!$F$2:$F$20001,'JLR Materials'!$A$2:$A$20001,$K93,'JLR Materials'!$C$2:$C$20001,IF(Settings!$B$2="","&lt;&gt;",Settings!$B$2),'JLR Materials'!$D$2:$D$20001,IF(Settings!$B$4="","&lt;&gt;",Settings!$B$4)))</f>
        <v>0</v>
      </c>
      <c r="O93" s="38">
        <f>IF($N93=0,0,IF(Settings!$B$5="percent",$M93*$N93/100,$N93))</f>
        <v>0</v>
      </c>
      <c r="P93" s="39">
        <f>IF($L93&lt;&gt;1,0,SUMIFS('JLR Materials'!$G$2:$G$20001,'JLR Materials'!$A$2:$A$20001,$K93,'JLR Materials'!$C$2:$C$20001,IF(Settings!$B$2="","&lt;&gt;",Settings!$B$2),'JLR Materials'!$D$2:$D$20001,IF(Settings!$B$4="","&lt;&gt;",Settings!$B$4)))</f>
        <v>0</v>
      </c>
      <c r="Q93" s="40" t="s">
        <v>1590</v>
      </c>
      <c r="R93" s="40" t="s">
        <v>1382</v>
      </c>
    </row>
    <row r="94" spans="1:18" x14ac:dyDescent="0.25">
      <c r="A94" s="32" t="s">
        <v>451</v>
      </c>
      <c r="B94" s="33" t="s">
        <v>1591</v>
      </c>
      <c r="C94" s="33" t="s">
        <v>1587</v>
      </c>
      <c r="D94" s="34">
        <f>IF($M94&gt;0,$M94,1.35)</f>
        <v>1.35</v>
      </c>
      <c r="E94" s="34">
        <f>IF($O94&gt;0,$O94,0.21)</f>
        <v>0.21</v>
      </c>
      <c r="F94" s="35">
        <v>7850</v>
      </c>
      <c r="G94" s="33" t="s">
        <v>1379</v>
      </c>
      <c r="H94" s="36" t="str">
        <f>IF($M94&gt;0,IF($L94&lt;&gt;1,$R94,IFERROR(INDEX('JLR Materials'!$D$2:$D$20001,MATCH($K94,'JLR Materials'!$A$2:$A$20001,0)),$R94)),$R94)</f>
        <v>2026-09</v>
      </c>
      <c r="I94" s="36" t="str">
        <f>IF($M94&gt;0,"JLR rate card — material code "&amp;$K94,$Q94)</f>
        <v>UK tinplate Jul 2026. Electrolytic tin-plated low-carbon — cans, enclosures, shielding. Solderable, corrosion-resistant. Yield ~230 MPa. | Refresh 2026-09: +£0.049/kg from 1kg crc £0.668→£0.717/kg; premiums held</v>
      </c>
      <c r="J94" s="33" t="s">
        <v>1393</v>
      </c>
      <c r="K94" s="37" t="str">
        <f>IFERROR(INDEX(Mapping!$C$2:$C$549,MATCH($A94,Mapping!$A$2:$A$549,0)),"")</f>
        <v/>
      </c>
      <c r="L94" s="37">
        <f>IF($K94="",0,COUNTIFS('JLR Materials'!$A$2:$A$20001,$K94,'JLR Materials'!$C$2:$C$20001,IF(Settings!$B$2="","&lt;&gt;",Settings!$B$2),'JLR Materials'!$D$2:$D$20001,IF(Settings!$B$4="","&lt;&gt;",Settings!$B$4)))</f>
        <v>0</v>
      </c>
      <c r="M94" s="38">
        <f>IF($L94&lt;&gt;1,0,SUMIFS('JLR Materials'!$E$2:$E$20001,'JLR Materials'!$A$2:$A$20001,$K94,'JLR Materials'!$C$2:$C$20001,IF(Settings!$B$2="","&lt;&gt;",Settings!$B$2),'JLR Materials'!$D$2:$D$20001,IF(Settings!$B$4="","&lt;&gt;",Settings!$B$4)))</f>
        <v>0</v>
      </c>
      <c r="N94" s="39">
        <f>IF($L94&lt;&gt;1,0,SUMIFS('JLR Materials'!$F$2:$F$20001,'JLR Materials'!$A$2:$A$20001,$K94,'JLR Materials'!$C$2:$C$20001,IF(Settings!$B$2="","&lt;&gt;",Settings!$B$2),'JLR Materials'!$D$2:$D$20001,IF(Settings!$B$4="","&lt;&gt;",Settings!$B$4)))</f>
        <v>0</v>
      </c>
      <c r="O94" s="38">
        <f>IF($N94=0,0,IF(Settings!$B$5="percent",$M94*$N94/100,$N94))</f>
        <v>0</v>
      </c>
      <c r="P94" s="39">
        <f>IF($L94&lt;&gt;1,0,SUMIFS('JLR Materials'!$G$2:$G$20001,'JLR Materials'!$A$2:$A$20001,$K94,'JLR Materials'!$C$2:$C$20001,IF(Settings!$B$2="","&lt;&gt;",Settings!$B$2),'JLR Materials'!$D$2:$D$20001,IF(Settings!$B$4="","&lt;&gt;",Settings!$B$4)))</f>
        <v>0</v>
      </c>
      <c r="Q94" s="40" t="s">
        <v>1592</v>
      </c>
      <c r="R94" s="40" t="s">
        <v>1382</v>
      </c>
    </row>
    <row r="95" spans="1:18" x14ac:dyDescent="0.25">
      <c r="A95" s="32" t="s">
        <v>453</v>
      </c>
      <c r="B95" s="33" t="s">
        <v>1593</v>
      </c>
      <c r="C95" s="33" t="s">
        <v>1445</v>
      </c>
      <c r="D95" s="34">
        <f>IF($M95&gt;0,$M95,3.49)</f>
        <v>3.49</v>
      </c>
      <c r="E95" s="34">
        <f>IF($O95&gt;0,$O95,0.49)</f>
        <v>0.49</v>
      </c>
      <c r="F95" s="35">
        <v>2700</v>
      </c>
      <c r="G95" s="33" t="s">
        <v>1379</v>
      </c>
      <c r="H95" s="36" t="str">
        <f>IF($M95&gt;0,IF($L95&lt;&gt;1,$R95,IFERROR(INDEX('JLR Materials'!$D$2:$D$20001,MATCH($K95,'JLR Materials'!$A$2:$A$20001,0)),$R95)),$R95)</f>
        <v>2026-09</v>
      </c>
      <c r="I95" s="36" t="str">
        <f>IF($M95&gt;0,"JLR rate card — material code "&amp;$K95,$Q95)</f>
        <v>UK Al auto sheet Jul 2026. 6016 T4 — the dominant aluminium outer-panel skin (bonnet, door, fender); bake-hardens in paint oven, good hemming. Yield ~120 MPa (T4). | Refresh 2026-09: −£0.060/kg from 0.97kg al £2.910→£2.849/kg; premiums held</v>
      </c>
      <c r="J95" s="33" t="s">
        <v>1393</v>
      </c>
      <c r="K95" s="37" t="str">
        <f>IFERROR(INDEX(Mapping!$C$2:$C$549,MATCH($A95,Mapping!$A$2:$A$549,0)),"")</f>
        <v/>
      </c>
      <c r="L95" s="37">
        <f>IF($K95="",0,COUNTIFS('JLR Materials'!$A$2:$A$20001,$K95,'JLR Materials'!$C$2:$C$20001,IF(Settings!$B$2="","&lt;&gt;",Settings!$B$2),'JLR Materials'!$D$2:$D$20001,IF(Settings!$B$4="","&lt;&gt;",Settings!$B$4)))</f>
        <v>0</v>
      </c>
      <c r="M95" s="38">
        <f>IF($L95&lt;&gt;1,0,SUMIFS('JLR Materials'!$E$2:$E$20001,'JLR Materials'!$A$2:$A$20001,$K95,'JLR Materials'!$C$2:$C$20001,IF(Settings!$B$2="","&lt;&gt;",Settings!$B$2),'JLR Materials'!$D$2:$D$20001,IF(Settings!$B$4="","&lt;&gt;",Settings!$B$4)))</f>
        <v>0</v>
      </c>
      <c r="N95" s="39">
        <f>IF($L95&lt;&gt;1,0,SUMIFS('JLR Materials'!$F$2:$F$20001,'JLR Materials'!$A$2:$A$20001,$K95,'JLR Materials'!$C$2:$C$20001,IF(Settings!$B$2="","&lt;&gt;",Settings!$B$2),'JLR Materials'!$D$2:$D$20001,IF(Settings!$B$4="","&lt;&gt;",Settings!$B$4)))</f>
        <v>0</v>
      </c>
      <c r="O95" s="38">
        <f>IF($N95=0,0,IF(Settings!$B$5="percent",$M95*$N95/100,$N95))</f>
        <v>0</v>
      </c>
      <c r="P95" s="39">
        <f>IF($L95&lt;&gt;1,0,SUMIFS('JLR Materials'!$G$2:$G$20001,'JLR Materials'!$A$2:$A$20001,$K95,'JLR Materials'!$C$2:$C$20001,IF(Settings!$B$2="","&lt;&gt;",Settings!$B$2),'JLR Materials'!$D$2:$D$20001,IF(Settings!$B$4="","&lt;&gt;",Settings!$B$4)))</f>
        <v>0</v>
      </c>
      <c r="Q95" s="40" t="s">
        <v>1594</v>
      </c>
      <c r="R95" s="40" t="s">
        <v>1382</v>
      </c>
    </row>
    <row r="96" spans="1:18" x14ac:dyDescent="0.25">
      <c r="A96" s="32" t="s">
        <v>455</v>
      </c>
      <c r="B96" s="33" t="s">
        <v>1595</v>
      </c>
      <c r="C96" s="33" t="s">
        <v>1445</v>
      </c>
      <c r="D96" s="34">
        <f>IF($M96&gt;0,$M96,3.64)</f>
        <v>3.64</v>
      </c>
      <c r="E96" s="34">
        <f>IF($O96&gt;0,$O96,0.49)</f>
        <v>0.49</v>
      </c>
      <c r="F96" s="35">
        <v>2710</v>
      </c>
      <c r="G96" s="33" t="s">
        <v>1379</v>
      </c>
      <c r="H96" s="36" t="str">
        <f>IF($M96&gt;0,IF($L96&lt;&gt;1,$R96,IFERROR(INDEX('JLR Materials'!$D$2:$D$20001,MATCH($K96,'JLR Materials'!$A$2:$A$20001,0)),$R96)),$R96)</f>
        <v>2026-09</v>
      </c>
      <c r="I96" s="36" t="str">
        <f>IF($M96&gt;0,"JLR rate card — material code "&amp;$K96,$Q96)</f>
        <v>UK Al auto sheet Jul 2026. 6111 T4 — higher-strength outer skin for dent resistance; NA OEM closures. Yield ~160 MPa (T4). | Refresh 2026-09: −£0.060/kg from 0.97kg al £2.910→£2.849/kg; premiums held</v>
      </c>
      <c r="J96" s="33" t="s">
        <v>1393</v>
      </c>
      <c r="K96" s="37" t="str">
        <f>IFERROR(INDEX(Mapping!$C$2:$C$549,MATCH($A96,Mapping!$A$2:$A$549,0)),"")</f>
        <v/>
      </c>
      <c r="L96" s="37">
        <f>IF($K96="",0,COUNTIFS('JLR Materials'!$A$2:$A$20001,$K96,'JLR Materials'!$C$2:$C$20001,IF(Settings!$B$2="","&lt;&gt;",Settings!$B$2),'JLR Materials'!$D$2:$D$20001,IF(Settings!$B$4="","&lt;&gt;",Settings!$B$4)))</f>
        <v>0</v>
      </c>
      <c r="M96" s="38">
        <f>IF($L96&lt;&gt;1,0,SUMIFS('JLR Materials'!$E$2:$E$20001,'JLR Materials'!$A$2:$A$20001,$K96,'JLR Materials'!$C$2:$C$20001,IF(Settings!$B$2="","&lt;&gt;",Settings!$B$2),'JLR Materials'!$D$2:$D$20001,IF(Settings!$B$4="","&lt;&gt;",Settings!$B$4)))</f>
        <v>0</v>
      </c>
      <c r="N96" s="39">
        <f>IF($L96&lt;&gt;1,0,SUMIFS('JLR Materials'!$F$2:$F$20001,'JLR Materials'!$A$2:$A$20001,$K96,'JLR Materials'!$C$2:$C$20001,IF(Settings!$B$2="","&lt;&gt;",Settings!$B$2),'JLR Materials'!$D$2:$D$20001,IF(Settings!$B$4="","&lt;&gt;",Settings!$B$4)))</f>
        <v>0</v>
      </c>
      <c r="O96" s="38">
        <f>IF($N96=0,0,IF(Settings!$B$5="percent",$M96*$N96/100,$N96))</f>
        <v>0</v>
      </c>
      <c r="P96" s="39">
        <f>IF($L96&lt;&gt;1,0,SUMIFS('JLR Materials'!$G$2:$G$20001,'JLR Materials'!$A$2:$A$20001,$K96,'JLR Materials'!$C$2:$C$20001,IF(Settings!$B$2="","&lt;&gt;",Settings!$B$2),'JLR Materials'!$D$2:$D$20001,IF(Settings!$B$4="","&lt;&gt;",Settings!$B$4)))</f>
        <v>0</v>
      </c>
      <c r="Q96" s="40" t="s">
        <v>1596</v>
      </c>
      <c r="R96" s="40" t="s">
        <v>1382</v>
      </c>
    </row>
    <row r="97" spans="1:18" x14ac:dyDescent="0.25">
      <c r="A97" s="32" t="s">
        <v>457</v>
      </c>
      <c r="B97" s="33" t="s">
        <v>1597</v>
      </c>
      <c r="C97" s="33" t="s">
        <v>1445</v>
      </c>
      <c r="D97" s="34">
        <f>IF($M97&gt;0,$M97,6.8)</f>
        <v>6.8</v>
      </c>
      <c r="E97" s="34">
        <f>IF($O97&gt;0,$O97,0.55)</f>
        <v>0.55</v>
      </c>
      <c r="F97" s="35">
        <v>2810</v>
      </c>
      <c r="G97" s="33" t="s">
        <v>1379</v>
      </c>
      <c r="H97" s="36" t="str">
        <f>IF($M97&gt;0,IF($L97&lt;&gt;1,$R97,IFERROR(INDEX('JLR Materials'!$D$2:$D$20001,MATCH($K97,'JLR Materials'!$A$2:$A$20001,0)),$R97)),$R97)</f>
        <v>2026-09</v>
      </c>
      <c r="I97" s="36" t="str">
        <f>IF($M97&gt;0,"JLR rate card — material code "&amp;$K97,$Q97)</f>
        <v>UK Al plate Jul 2026. 7075 T6 — aerospace-grade high-strength structural (bumper beams, reinforcements). Poor formability/weldability; cold form in W-temper. Yield ~505 MPa. | Refresh 2026-09: +£0.004/kg from 0.89kg al £2.910→£2.849/kg, 0.06kg zn £2.164→£2.913/kg, 0.02kg cu £10.070→£10.768/kg; premiums held</v>
      </c>
      <c r="J97" s="33" t="s">
        <v>1393</v>
      </c>
      <c r="K97" s="37" t="str">
        <f>IFERROR(INDEX(Mapping!$C$2:$C$549,MATCH($A97,Mapping!$A$2:$A$549,0)),"")</f>
        <v/>
      </c>
      <c r="L97" s="37">
        <f>IF($K97="",0,COUNTIFS('JLR Materials'!$A$2:$A$20001,$K97,'JLR Materials'!$C$2:$C$20001,IF(Settings!$B$2="","&lt;&gt;",Settings!$B$2),'JLR Materials'!$D$2:$D$20001,IF(Settings!$B$4="","&lt;&gt;",Settings!$B$4)))</f>
        <v>0</v>
      </c>
      <c r="M97" s="38">
        <f>IF($L97&lt;&gt;1,0,SUMIFS('JLR Materials'!$E$2:$E$20001,'JLR Materials'!$A$2:$A$20001,$K97,'JLR Materials'!$C$2:$C$20001,IF(Settings!$B$2="","&lt;&gt;",Settings!$B$2),'JLR Materials'!$D$2:$D$20001,IF(Settings!$B$4="","&lt;&gt;",Settings!$B$4)))</f>
        <v>0</v>
      </c>
      <c r="N97" s="39">
        <f>IF($L97&lt;&gt;1,0,SUMIFS('JLR Materials'!$F$2:$F$20001,'JLR Materials'!$A$2:$A$20001,$K97,'JLR Materials'!$C$2:$C$20001,IF(Settings!$B$2="","&lt;&gt;",Settings!$B$2),'JLR Materials'!$D$2:$D$20001,IF(Settings!$B$4="","&lt;&gt;",Settings!$B$4)))</f>
        <v>0</v>
      </c>
      <c r="O97" s="38">
        <f>IF($N97=0,0,IF(Settings!$B$5="percent",$M97*$N97/100,$N97))</f>
        <v>0</v>
      </c>
      <c r="P97" s="39">
        <f>IF($L97&lt;&gt;1,0,SUMIFS('JLR Materials'!$G$2:$G$20001,'JLR Materials'!$A$2:$A$20001,$K97,'JLR Materials'!$C$2:$C$20001,IF(Settings!$B$2="","&lt;&gt;",Settings!$B$2),'JLR Materials'!$D$2:$D$20001,IF(Settings!$B$4="","&lt;&gt;",Settings!$B$4)))</f>
        <v>0</v>
      </c>
      <c r="Q97" s="40" t="s">
        <v>1598</v>
      </c>
      <c r="R97" s="40" t="s">
        <v>1382</v>
      </c>
    </row>
    <row r="98" spans="1:18" x14ac:dyDescent="0.25">
      <c r="A98" s="32" t="s">
        <v>459</v>
      </c>
      <c r="B98" s="33" t="s">
        <v>1599</v>
      </c>
      <c r="C98" s="33" t="s">
        <v>1600</v>
      </c>
      <c r="D98" s="34">
        <f>IF($M98&gt;0,$M98,1.1)</f>
        <v>1.1</v>
      </c>
      <c r="E98" s="34">
        <f>IF($O98&gt;0,$O98,0.21)</f>
        <v>0.21</v>
      </c>
      <c r="F98" s="35">
        <v>7850</v>
      </c>
      <c r="G98" s="33" t="s">
        <v>1379</v>
      </c>
      <c r="H98" s="36" t="str">
        <f>IF($M98&gt;0,IF($L98&lt;&gt;1,$R98,IFERROR(INDEX('JLR Materials'!$D$2:$D$20001,MATCH($K98,'JLR Materials'!$A$2:$A$20001,0)),$R98)),$R98)</f>
        <v>2026-09</v>
      </c>
      <c r="I98" s="36" t="str">
        <f>IF($M98&gt;0,"JLR rate card — material code "&amp;$K98,$Q98)</f>
        <v>UK green-steel offer Jul 2026. Hydrogen direct-reduced / high-scrap EAF route — DC01-equivalent properties at ~70–90% lower embodied CO₂. Premium ~15–25% over conventional. Yield ~140 MPa. | Refresh 2026-09: +£0.049/kg from 1kg crc £0.668→£0.717/kg; premiums held</v>
      </c>
      <c r="J98" s="33" t="s">
        <v>1393</v>
      </c>
      <c r="K98" s="37" t="str">
        <f>IFERROR(INDEX(Mapping!$C$2:$C$549,MATCH($A98,Mapping!$A$2:$A$549,0)),"")</f>
        <v/>
      </c>
      <c r="L98" s="37">
        <f>IF($K98="",0,COUNTIFS('JLR Materials'!$A$2:$A$20001,$K98,'JLR Materials'!$C$2:$C$20001,IF(Settings!$B$2="","&lt;&gt;",Settings!$B$2),'JLR Materials'!$D$2:$D$20001,IF(Settings!$B$4="","&lt;&gt;",Settings!$B$4)))</f>
        <v>0</v>
      </c>
      <c r="M98" s="38">
        <f>IF($L98&lt;&gt;1,0,SUMIFS('JLR Materials'!$E$2:$E$20001,'JLR Materials'!$A$2:$A$20001,$K98,'JLR Materials'!$C$2:$C$20001,IF(Settings!$B$2="","&lt;&gt;",Settings!$B$2),'JLR Materials'!$D$2:$D$20001,IF(Settings!$B$4="","&lt;&gt;",Settings!$B$4)))</f>
        <v>0</v>
      </c>
      <c r="N98" s="39">
        <f>IF($L98&lt;&gt;1,0,SUMIFS('JLR Materials'!$F$2:$F$20001,'JLR Materials'!$A$2:$A$20001,$K98,'JLR Materials'!$C$2:$C$20001,IF(Settings!$B$2="","&lt;&gt;",Settings!$B$2),'JLR Materials'!$D$2:$D$20001,IF(Settings!$B$4="","&lt;&gt;",Settings!$B$4)))</f>
        <v>0</v>
      </c>
      <c r="O98" s="38">
        <f>IF($N98=0,0,IF(Settings!$B$5="percent",$M98*$N98/100,$N98))</f>
        <v>0</v>
      </c>
      <c r="P98" s="39">
        <f>IF($L98&lt;&gt;1,0,SUMIFS('JLR Materials'!$G$2:$G$20001,'JLR Materials'!$A$2:$A$20001,$K98,'JLR Materials'!$C$2:$C$20001,IF(Settings!$B$2="","&lt;&gt;",Settings!$B$2),'JLR Materials'!$D$2:$D$20001,IF(Settings!$B$4="","&lt;&gt;",Settings!$B$4)))</f>
        <v>0</v>
      </c>
      <c r="Q98" s="40" t="s">
        <v>1601</v>
      </c>
      <c r="R98" s="40" t="s">
        <v>1382</v>
      </c>
    </row>
    <row r="99" spans="1:18" x14ac:dyDescent="0.25">
      <c r="A99" s="32" t="s">
        <v>461</v>
      </c>
      <c r="B99" s="33" t="s">
        <v>1602</v>
      </c>
      <c r="C99" s="33" t="s">
        <v>1445</v>
      </c>
      <c r="D99" s="34">
        <f>IF($M99&gt;0,$M99,2.55)</f>
        <v>2.55</v>
      </c>
      <c r="E99" s="34">
        <f>IF($O99&gt;0,$O99,0.49)</f>
        <v>0.49</v>
      </c>
      <c r="F99" s="35">
        <v>2670</v>
      </c>
      <c r="G99" s="33" t="s">
        <v>1379</v>
      </c>
      <c r="H99" s="36" t="str">
        <f>IF($M99&gt;0,IF($L99&lt;&gt;1,$R99,IFERROR(INDEX('JLR Materials'!$D$2:$D$20001,MATCH($K99,'JLR Materials'!$A$2:$A$20001,0)),$R99)),$R99)</f>
        <v>2026-09</v>
      </c>
      <c r="I99" s="36" t="str">
        <f>IF($M99&gt;0,"JLR rate card — material code "&amp;$K99,$Q99)</f>
        <v>UK secondary-Al sheet Jul 2026. High recycled-content 5xxx — non-visible inner panels/brackets; ~5% cheaper and far lower CO₂ than primary. Slightly wider property tolerance. Yield ~130 MPa. | Refresh 2026-09: −£0.052/kg from 0.85kg al £2.910→£2.849/kg; premiums held</v>
      </c>
      <c r="J99" s="33" t="s">
        <v>1393</v>
      </c>
      <c r="K99" s="37" t="str">
        <f>IFERROR(INDEX(Mapping!$C$2:$C$549,MATCH($A99,Mapping!$A$2:$A$549,0)),"")</f>
        <v/>
      </c>
      <c r="L99" s="37">
        <f>IF($K99="",0,COUNTIFS('JLR Materials'!$A$2:$A$20001,$K99,'JLR Materials'!$C$2:$C$20001,IF(Settings!$B$2="","&lt;&gt;",Settings!$B$2),'JLR Materials'!$D$2:$D$20001,IF(Settings!$B$4="","&lt;&gt;",Settings!$B$4)))</f>
        <v>0</v>
      </c>
      <c r="M99" s="38">
        <f>IF($L99&lt;&gt;1,0,SUMIFS('JLR Materials'!$E$2:$E$20001,'JLR Materials'!$A$2:$A$20001,$K99,'JLR Materials'!$C$2:$C$20001,IF(Settings!$B$2="","&lt;&gt;",Settings!$B$2),'JLR Materials'!$D$2:$D$20001,IF(Settings!$B$4="","&lt;&gt;",Settings!$B$4)))</f>
        <v>0</v>
      </c>
      <c r="N99" s="39">
        <f>IF($L99&lt;&gt;1,0,SUMIFS('JLR Materials'!$F$2:$F$20001,'JLR Materials'!$A$2:$A$20001,$K99,'JLR Materials'!$C$2:$C$20001,IF(Settings!$B$2="","&lt;&gt;",Settings!$B$2),'JLR Materials'!$D$2:$D$20001,IF(Settings!$B$4="","&lt;&gt;",Settings!$B$4)))</f>
        <v>0</v>
      </c>
      <c r="O99" s="38">
        <f>IF($N99=0,0,IF(Settings!$B$5="percent",$M99*$N99/100,$N99))</f>
        <v>0</v>
      </c>
      <c r="P99" s="39">
        <f>IF($L99&lt;&gt;1,0,SUMIFS('JLR Materials'!$G$2:$G$20001,'JLR Materials'!$A$2:$A$20001,$K99,'JLR Materials'!$C$2:$C$20001,IF(Settings!$B$2="","&lt;&gt;",Settings!$B$2),'JLR Materials'!$D$2:$D$20001,IF(Settings!$B$4="","&lt;&gt;",Settings!$B$4)))</f>
        <v>0</v>
      </c>
      <c r="Q99" s="40" t="s">
        <v>1603</v>
      </c>
      <c r="R99" s="40" t="s">
        <v>1382</v>
      </c>
    </row>
    <row r="100" spans="1:18" x14ac:dyDescent="0.25">
      <c r="A100" s="32" t="s">
        <v>463</v>
      </c>
      <c r="B100" s="33" t="s">
        <v>1604</v>
      </c>
      <c r="C100" s="33" t="s">
        <v>1605</v>
      </c>
      <c r="D100" s="34">
        <f>IF($M100&gt;0,$M100,1.15)</f>
        <v>1.15</v>
      </c>
      <c r="E100" s="34">
        <f>IF($O100&gt;0,$O100,0.1)</f>
        <v>0.1</v>
      </c>
      <c r="F100" s="35">
        <v>900</v>
      </c>
      <c r="G100" s="33" t="s">
        <v>1379</v>
      </c>
      <c r="H100" s="36" t="str">
        <f>IF($M100&gt;0,IF($L100&lt;&gt;1,$R100,IFERROR(INDEX('JLR Materials'!$D$2:$D$20001,MATCH($K100,'JLR Materials'!$A$2:$A$20001,0)),$R100)),$R100)</f>
        <v>2026-09</v>
      </c>
      <c r="I100" s="36" t="str">
        <f>IF($M100&gt;0,"JLR rate card — material code "&amp;$K100,$Q100)</f>
        <v>UK resin distributor, Jun 2026 Index-anchored 2026-07 (see RESIN PRICING BASIS). | Refresh 2026-09: +£0.027/kg from 1kg pp £0.960→£0.987/kg; premiums held</v>
      </c>
      <c r="J100" s="33" t="s">
        <v>1380</v>
      </c>
      <c r="K100" s="37" t="str">
        <f>IFERROR(INDEX(Mapping!$C$2:$C$549,MATCH($A100,Mapping!$A$2:$A$549,0)),"")</f>
        <v/>
      </c>
      <c r="L100" s="37">
        <f>IF($K100="",0,COUNTIFS('JLR Materials'!$A$2:$A$20001,$K100,'JLR Materials'!$C$2:$C$20001,IF(Settings!$B$2="","&lt;&gt;",Settings!$B$2),'JLR Materials'!$D$2:$D$20001,IF(Settings!$B$4="","&lt;&gt;",Settings!$B$4)))</f>
        <v>0</v>
      </c>
      <c r="M100" s="38">
        <f>IF($L100&lt;&gt;1,0,SUMIFS('JLR Materials'!$E$2:$E$20001,'JLR Materials'!$A$2:$A$20001,$K100,'JLR Materials'!$C$2:$C$20001,IF(Settings!$B$2="","&lt;&gt;",Settings!$B$2),'JLR Materials'!$D$2:$D$20001,IF(Settings!$B$4="","&lt;&gt;",Settings!$B$4)))</f>
        <v>0</v>
      </c>
      <c r="N100" s="39">
        <f>IF($L100&lt;&gt;1,0,SUMIFS('JLR Materials'!$F$2:$F$20001,'JLR Materials'!$A$2:$A$20001,$K100,'JLR Materials'!$C$2:$C$20001,IF(Settings!$B$2="","&lt;&gt;",Settings!$B$2),'JLR Materials'!$D$2:$D$20001,IF(Settings!$B$4="","&lt;&gt;",Settings!$B$4)))</f>
        <v>0</v>
      </c>
      <c r="O100" s="38">
        <f>IF($N100=0,0,IF(Settings!$B$5="percent",$M100*$N100/100,$N100))</f>
        <v>0</v>
      </c>
      <c r="P100" s="39">
        <f>IF($L100&lt;&gt;1,0,SUMIFS('JLR Materials'!$G$2:$G$20001,'JLR Materials'!$A$2:$A$20001,$K100,'JLR Materials'!$C$2:$C$20001,IF(Settings!$B$2="","&lt;&gt;",Settings!$B$2),'JLR Materials'!$D$2:$D$20001,IF(Settings!$B$4="","&lt;&gt;",Settings!$B$4)))</f>
        <v>0</v>
      </c>
      <c r="Q100" s="40" t="s">
        <v>1606</v>
      </c>
      <c r="R100" s="40" t="s">
        <v>1382</v>
      </c>
    </row>
    <row r="101" spans="1:18" x14ac:dyDescent="0.25">
      <c r="A101" s="32" t="s">
        <v>465</v>
      </c>
      <c r="B101" s="33" t="s">
        <v>1607</v>
      </c>
      <c r="C101" s="33" t="s">
        <v>1605</v>
      </c>
      <c r="D101" s="34">
        <f>IF($M101&gt;0,$M101,1.62)</f>
        <v>1.62</v>
      </c>
      <c r="E101" s="34">
        <f>IF($O101&gt;0,$O101,0.1)</f>
        <v>0.1</v>
      </c>
      <c r="F101" s="35">
        <v>1050</v>
      </c>
      <c r="G101" s="33" t="s">
        <v>1379</v>
      </c>
      <c r="H101" s="36" t="str">
        <f>IF($M101&gt;0,IF($L101&lt;&gt;1,$R101,IFERROR(INDEX('JLR Materials'!$D$2:$D$20001,MATCH($K101,'JLR Materials'!$A$2:$A$20001,0)),$R101)),$R101)</f>
        <v>2026-09</v>
      </c>
      <c r="I101" s="36" t="str">
        <f>IF($M101&gt;0,"JLR rate card — material code "&amp;$K101,$Q101)</f>
        <v>UK resin distributor, Jun 2026 Index-anchored 2026-07 (see RESIN PRICING BASIS). | Refresh 2026-09: −£0.065/kg from 1kg abs £0.775→£0.710/kg; premiums held</v>
      </c>
      <c r="J101" s="33" t="s">
        <v>1380</v>
      </c>
      <c r="K101" s="37" t="str">
        <f>IFERROR(INDEX(Mapping!$C$2:$C$549,MATCH($A101,Mapping!$A$2:$A$549,0)),"")</f>
        <v/>
      </c>
      <c r="L101" s="37">
        <f>IF($K101="",0,COUNTIFS('JLR Materials'!$A$2:$A$20001,$K101,'JLR Materials'!$C$2:$C$20001,IF(Settings!$B$2="","&lt;&gt;",Settings!$B$2),'JLR Materials'!$D$2:$D$20001,IF(Settings!$B$4="","&lt;&gt;",Settings!$B$4)))</f>
        <v>0</v>
      </c>
      <c r="M101" s="38">
        <f>IF($L101&lt;&gt;1,0,SUMIFS('JLR Materials'!$E$2:$E$20001,'JLR Materials'!$A$2:$A$20001,$K101,'JLR Materials'!$C$2:$C$20001,IF(Settings!$B$2="","&lt;&gt;",Settings!$B$2),'JLR Materials'!$D$2:$D$20001,IF(Settings!$B$4="","&lt;&gt;",Settings!$B$4)))</f>
        <v>0</v>
      </c>
      <c r="N101" s="39">
        <f>IF($L101&lt;&gt;1,0,SUMIFS('JLR Materials'!$F$2:$F$20001,'JLR Materials'!$A$2:$A$20001,$K101,'JLR Materials'!$C$2:$C$20001,IF(Settings!$B$2="","&lt;&gt;",Settings!$B$2),'JLR Materials'!$D$2:$D$20001,IF(Settings!$B$4="","&lt;&gt;",Settings!$B$4)))</f>
        <v>0</v>
      </c>
      <c r="O101" s="38">
        <f>IF($N101=0,0,IF(Settings!$B$5="percent",$M101*$N101/100,$N101))</f>
        <v>0</v>
      </c>
      <c r="P101" s="39">
        <f>IF($L101&lt;&gt;1,0,SUMIFS('JLR Materials'!$G$2:$G$20001,'JLR Materials'!$A$2:$A$20001,$K101,'JLR Materials'!$C$2:$C$20001,IF(Settings!$B$2="","&lt;&gt;",Settings!$B$2),'JLR Materials'!$D$2:$D$20001,IF(Settings!$B$4="","&lt;&gt;",Settings!$B$4)))</f>
        <v>0</v>
      </c>
      <c r="Q101" s="40" t="s">
        <v>1608</v>
      </c>
      <c r="R101" s="40" t="s">
        <v>1382</v>
      </c>
    </row>
    <row r="102" spans="1:18" x14ac:dyDescent="0.25">
      <c r="A102" s="32" t="s">
        <v>467</v>
      </c>
      <c r="B102" s="33" t="s">
        <v>1609</v>
      </c>
      <c r="C102" s="33" t="s">
        <v>1605</v>
      </c>
      <c r="D102" s="34">
        <f>IF($M102&gt;0,$M102,3.1)</f>
        <v>3.1</v>
      </c>
      <c r="E102" s="34">
        <f>IF($O102&gt;0,$O102,0.05)</f>
        <v>0.05</v>
      </c>
      <c r="F102" s="35">
        <v>1300</v>
      </c>
      <c r="G102" s="33" t="s">
        <v>1379</v>
      </c>
      <c r="H102" s="36" t="str">
        <f>IF($M102&gt;0,IF($L102&lt;&gt;1,$R102,IFERROR(INDEX('JLR Materials'!$D$2:$D$20001,MATCH($K102,'JLR Materials'!$A$2:$A$20001,0)),$R102)),$R102)</f>
        <v>2026-09</v>
      </c>
      <c r="I102" s="36" t="str">
        <f>IF($M102&gt;0,"JLR rate card — material code "&amp;$K102,$Q102)</f>
        <v>UK resin distributor, Jun 2026 Index-anchored 2026-07 (see RESIN PRICING BASIS). | Refresh 2026-09: NOT SOURCED — pa66: Not sourced this period: engineering resin prices are paywalled (PIE/ICIS). Direction only: PC rising through Aug 2026, PA6 rebounding, PA66 under pressure, PET declining — no like-for-like June→Sep figures. Held at the June 2026 price.</v>
      </c>
      <c r="J102" s="33" t="s">
        <v>1380</v>
      </c>
      <c r="K102" s="37" t="str">
        <f>IFERROR(INDEX(Mapping!$C$2:$C$549,MATCH($A102,Mapping!$A$2:$A$549,0)),"")</f>
        <v/>
      </c>
      <c r="L102" s="37">
        <f>IF($K102="",0,COUNTIFS('JLR Materials'!$A$2:$A$20001,$K102,'JLR Materials'!$C$2:$C$20001,IF(Settings!$B$2="","&lt;&gt;",Settings!$B$2),'JLR Materials'!$D$2:$D$20001,IF(Settings!$B$4="","&lt;&gt;",Settings!$B$4)))</f>
        <v>0</v>
      </c>
      <c r="M102" s="38">
        <f>IF($L102&lt;&gt;1,0,SUMIFS('JLR Materials'!$E$2:$E$20001,'JLR Materials'!$A$2:$A$20001,$K102,'JLR Materials'!$C$2:$C$20001,IF(Settings!$B$2="","&lt;&gt;",Settings!$B$2),'JLR Materials'!$D$2:$D$20001,IF(Settings!$B$4="","&lt;&gt;",Settings!$B$4)))</f>
        <v>0</v>
      </c>
      <c r="N102" s="39">
        <f>IF($L102&lt;&gt;1,0,SUMIFS('JLR Materials'!$F$2:$F$20001,'JLR Materials'!$A$2:$A$20001,$K102,'JLR Materials'!$C$2:$C$20001,IF(Settings!$B$2="","&lt;&gt;",Settings!$B$2),'JLR Materials'!$D$2:$D$20001,IF(Settings!$B$4="","&lt;&gt;",Settings!$B$4)))</f>
        <v>0</v>
      </c>
      <c r="O102" s="38">
        <f>IF($N102=0,0,IF(Settings!$B$5="percent",$M102*$N102/100,$N102))</f>
        <v>0</v>
      </c>
      <c r="P102" s="39">
        <f>IF($L102&lt;&gt;1,0,SUMIFS('JLR Materials'!$G$2:$G$20001,'JLR Materials'!$A$2:$A$20001,$K102,'JLR Materials'!$C$2:$C$20001,IF(Settings!$B$2="","&lt;&gt;",Settings!$B$2),'JLR Materials'!$D$2:$D$20001,IF(Settings!$B$4="","&lt;&gt;",Settings!$B$4)))</f>
        <v>0</v>
      </c>
      <c r="Q102" s="40" t="s">
        <v>1610</v>
      </c>
      <c r="R102" s="40" t="s">
        <v>1382</v>
      </c>
    </row>
    <row r="103" spans="1:18" x14ac:dyDescent="0.25">
      <c r="A103" s="32" t="s">
        <v>469</v>
      </c>
      <c r="B103" s="33" t="s">
        <v>1611</v>
      </c>
      <c r="C103" s="33" t="s">
        <v>1605</v>
      </c>
      <c r="D103" s="34">
        <f>IF($M103&gt;0,$M103,2.52)</f>
        <v>2.52</v>
      </c>
      <c r="E103" s="34">
        <f>IF($O103&gt;0,$O103,0.08)</f>
        <v>0.08</v>
      </c>
      <c r="F103" s="35">
        <v>1200</v>
      </c>
      <c r="G103" s="33" t="s">
        <v>1379</v>
      </c>
      <c r="H103" s="36" t="str">
        <f>IF($M103&gt;0,IF($L103&lt;&gt;1,$R103,IFERROR(INDEX('JLR Materials'!$D$2:$D$20001,MATCH($K103,'JLR Materials'!$A$2:$A$20001,0)),$R103)),$R103)</f>
        <v>2026-09</v>
      </c>
      <c r="I103" s="36" t="str">
        <f>IF($M103&gt;0,"JLR rate card — material code "&amp;$K103,$Q103)</f>
        <v>UK resin distributor, Jun 2026 Index-anchored 2026-07 (see RESIN PRICING BASIS). | Refresh 2026-09: NOT SOURCED — pc: Not sourced this period: engineering resin prices are paywalled (PIE/ICIS). Direction only: PC rising through Aug 2026, PA6 rebounding, PA66 under pressure, PET declining — no like-for-like June→Sep figures. Held at the June 2026 price.</v>
      </c>
      <c r="J103" s="33" t="s">
        <v>1380</v>
      </c>
      <c r="K103" s="37" t="str">
        <f>IFERROR(INDEX(Mapping!$C$2:$C$549,MATCH($A103,Mapping!$A$2:$A$549,0)),"")</f>
        <v/>
      </c>
      <c r="L103" s="37">
        <f>IF($K103="",0,COUNTIFS('JLR Materials'!$A$2:$A$20001,$K103,'JLR Materials'!$C$2:$C$20001,IF(Settings!$B$2="","&lt;&gt;",Settings!$B$2),'JLR Materials'!$D$2:$D$20001,IF(Settings!$B$4="","&lt;&gt;",Settings!$B$4)))</f>
        <v>0</v>
      </c>
      <c r="M103" s="38">
        <f>IF($L103&lt;&gt;1,0,SUMIFS('JLR Materials'!$E$2:$E$20001,'JLR Materials'!$A$2:$A$20001,$K103,'JLR Materials'!$C$2:$C$20001,IF(Settings!$B$2="","&lt;&gt;",Settings!$B$2),'JLR Materials'!$D$2:$D$20001,IF(Settings!$B$4="","&lt;&gt;",Settings!$B$4)))</f>
        <v>0</v>
      </c>
      <c r="N103" s="39">
        <f>IF($L103&lt;&gt;1,0,SUMIFS('JLR Materials'!$F$2:$F$20001,'JLR Materials'!$A$2:$A$20001,$K103,'JLR Materials'!$C$2:$C$20001,IF(Settings!$B$2="","&lt;&gt;",Settings!$B$2),'JLR Materials'!$D$2:$D$20001,IF(Settings!$B$4="","&lt;&gt;",Settings!$B$4)))</f>
        <v>0</v>
      </c>
      <c r="O103" s="38">
        <f>IF($N103=0,0,IF(Settings!$B$5="percent",$M103*$N103/100,$N103))</f>
        <v>0</v>
      </c>
      <c r="P103" s="39">
        <f>IF($L103&lt;&gt;1,0,SUMIFS('JLR Materials'!$G$2:$G$20001,'JLR Materials'!$A$2:$A$20001,$K103,'JLR Materials'!$C$2:$C$20001,IF(Settings!$B$2="","&lt;&gt;",Settings!$B$2),'JLR Materials'!$D$2:$D$20001,IF(Settings!$B$4="","&lt;&gt;",Settings!$B$4)))</f>
        <v>0</v>
      </c>
      <c r="Q103" s="40" t="s">
        <v>1612</v>
      </c>
      <c r="R103" s="40" t="s">
        <v>1382</v>
      </c>
    </row>
    <row r="104" spans="1:18" x14ac:dyDescent="0.25">
      <c r="A104" s="32" t="s">
        <v>471</v>
      </c>
      <c r="B104" s="33" t="s">
        <v>1613</v>
      </c>
      <c r="C104" s="33" t="s">
        <v>1605</v>
      </c>
      <c r="D104" s="34">
        <f>IF($M104&gt;0,$M104,1.05)</f>
        <v>1.05</v>
      </c>
      <c r="E104" s="34">
        <f>IF($O104&gt;0,$O104,0.12)</f>
        <v>0.12</v>
      </c>
      <c r="F104" s="35">
        <v>960</v>
      </c>
      <c r="G104" s="33" t="s">
        <v>1379</v>
      </c>
      <c r="H104" s="36" t="str">
        <f>IF($M104&gt;0,IF($L104&lt;&gt;1,$R104,IFERROR(INDEX('JLR Materials'!$D$2:$D$20001,MATCH($K104,'JLR Materials'!$A$2:$A$20001,0)),$R104)),$R104)</f>
        <v>2026-09</v>
      </c>
      <c r="I104" s="36" t="str">
        <f>IF($M104&gt;0,"JLR rate card — material code "&amp;$K104,$Q104)</f>
        <v>UK resin distributor, Jun 2026 Index-anchored 2026-07 (see RESIN PRICING BASIS). | Refresh 2026-09: −£0.013/kg from 1kg hdpe £1.060→£1.047/kg; premiums held</v>
      </c>
      <c r="J104" s="33" t="s">
        <v>1380</v>
      </c>
      <c r="K104" s="37" t="str">
        <f>IFERROR(INDEX(Mapping!$C$2:$C$549,MATCH($A104,Mapping!$A$2:$A$549,0)),"")</f>
        <v/>
      </c>
      <c r="L104" s="37">
        <f>IF($K104="",0,COUNTIFS('JLR Materials'!$A$2:$A$20001,$K104,'JLR Materials'!$C$2:$C$20001,IF(Settings!$B$2="","&lt;&gt;",Settings!$B$2),'JLR Materials'!$D$2:$D$20001,IF(Settings!$B$4="","&lt;&gt;",Settings!$B$4)))</f>
        <v>0</v>
      </c>
      <c r="M104" s="38">
        <f>IF($L104&lt;&gt;1,0,SUMIFS('JLR Materials'!$E$2:$E$20001,'JLR Materials'!$A$2:$A$20001,$K104,'JLR Materials'!$C$2:$C$20001,IF(Settings!$B$2="","&lt;&gt;",Settings!$B$2),'JLR Materials'!$D$2:$D$20001,IF(Settings!$B$4="","&lt;&gt;",Settings!$B$4)))</f>
        <v>0</v>
      </c>
      <c r="N104" s="39">
        <f>IF($L104&lt;&gt;1,0,SUMIFS('JLR Materials'!$F$2:$F$20001,'JLR Materials'!$A$2:$A$20001,$K104,'JLR Materials'!$C$2:$C$20001,IF(Settings!$B$2="","&lt;&gt;",Settings!$B$2),'JLR Materials'!$D$2:$D$20001,IF(Settings!$B$4="","&lt;&gt;",Settings!$B$4)))</f>
        <v>0</v>
      </c>
      <c r="O104" s="38">
        <f>IF($N104=0,0,IF(Settings!$B$5="percent",$M104*$N104/100,$N104))</f>
        <v>0</v>
      </c>
      <c r="P104" s="39">
        <f>IF($L104&lt;&gt;1,0,SUMIFS('JLR Materials'!$G$2:$G$20001,'JLR Materials'!$A$2:$A$20001,$K104,'JLR Materials'!$C$2:$C$20001,IF(Settings!$B$2="","&lt;&gt;",Settings!$B$2),'JLR Materials'!$D$2:$D$20001,IF(Settings!$B$4="","&lt;&gt;",Settings!$B$4)))</f>
        <v>0</v>
      </c>
      <c r="Q104" s="40" t="s">
        <v>1614</v>
      </c>
      <c r="R104" s="40" t="s">
        <v>1382</v>
      </c>
    </row>
    <row r="105" spans="1:18" x14ac:dyDescent="0.25">
      <c r="A105" s="32" t="s">
        <v>473</v>
      </c>
      <c r="B105" s="33" t="s">
        <v>1615</v>
      </c>
      <c r="C105" s="33" t="s">
        <v>1605</v>
      </c>
      <c r="D105" s="34">
        <f>IF($M105&gt;0,$M105,2.05)</f>
        <v>2.05</v>
      </c>
      <c r="E105" s="34">
        <f>IF($O105&gt;0,$O105,0.05)</f>
        <v>0.05</v>
      </c>
      <c r="F105" s="35">
        <v>1410</v>
      </c>
      <c r="G105" s="33" t="s">
        <v>1379</v>
      </c>
      <c r="H105" s="36" t="str">
        <f>IF($M105&gt;0,IF($L105&lt;&gt;1,$R105,IFERROR(INDEX('JLR Materials'!$D$2:$D$20001,MATCH($K105,'JLR Materials'!$A$2:$A$20001,0)),$R105)),$R105)</f>
        <v>2026-09</v>
      </c>
      <c r="I105" s="36" t="str">
        <f>IF($M105&gt;0,"JLR rate card — material code "&amp;$K105,$Q105)</f>
        <v>UK resin distributor, Jun 2026. coolFactor ~2.8 s/mm² Index-anchored 2026-07 (see RESIN PRICING BASIS). | Refresh 2026-09: NOT SOURCED — pom: Not sourced this period: engineering resin prices are paywalled (PIE/ICIS). Direction only: PC rising through Aug 2026, PA6 rebounding, PA66 under pressure, PET declining — no like-for-like June→Sep figures. Held at the June 2026 price.</v>
      </c>
      <c r="J105" s="33" t="s">
        <v>1380</v>
      </c>
      <c r="K105" s="37" t="str">
        <f>IFERROR(INDEX(Mapping!$C$2:$C$549,MATCH($A105,Mapping!$A$2:$A$549,0)),"")</f>
        <v/>
      </c>
      <c r="L105" s="37">
        <f>IF($K105="",0,COUNTIFS('JLR Materials'!$A$2:$A$20001,$K105,'JLR Materials'!$C$2:$C$20001,IF(Settings!$B$2="","&lt;&gt;",Settings!$B$2),'JLR Materials'!$D$2:$D$20001,IF(Settings!$B$4="","&lt;&gt;",Settings!$B$4)))</f>
        <v>0</v>
      </c>
      <c r="M105" s="38">
        <f>IF($L105&lt;&gt;1,0,SUMIFS('JLR Materials'!$E$2:$E$20001,'JLR Materials'!$A$2:$A$20001,$K105,'JLR Materials'!$C$2:$C$20001,IF(Settings!$B$2="","&lt;&gt;",Settings!$B$2),'JLR Materials'!$D$2:$D$20001,IF(Settings!$B$4="","&lt;&gt;",Settings!$B$4)))</f>
        <v>0</v>
      </c>
      <c r="N105" s="39">
        <f>IF($L105&lt;&gt;1,0,SUMIFS('JLR Materials'!$F$2:$F$20001,'JLR Materials'!$A$2:$A$20001,$K105,'JLR Materials'!$C$2:$C$20001,IF(Settings!$B$2="","&lt;&gt;",Settings!$B$2),'JLR Materials'!$D$2:$D$20001,IF(Settings!$B$4="","&lt;&gt;",Settings!$B$4)))</f>
        <v>0</v>
      </c>
      <c r="O105" s="38">
        <f>IF($N105=0,0,IF(Settings!$B$5="percent",$M105*$N105/100,$N105))</f>
        <v>0</v>
      </c>
      <c r="P105" s="39">
        <f>IF($L105&lt;&gt;1,0,SUMIFS('JLR Materials'!$G$2:$G$20001,'JLR Materials'!$A$2:$A$20001,$K105,'JLR Materials'!$C$2:$C$20001,IF(Settings!$B$2="","&lt;&gt;",Settings!$B$2),'JLR Materials'!$D$2:$D$20001,IF(Settings!$B$4="","&lt;&gt;",Settings!$B$4)))</f>
        <v>0</v>
      </c>
      <c r="Q105" s="40" t="s">
        <v>1616</v>
      </c>
      <c r="R105" s="40" t="s">
        <v>1382</v>
      </c>
    </row>
    <row r="106" spans="1:18" x14ac:dyDescent="0.25">
      <c r="A106" s="32" t="s">
        <v>475</v>
      </c>
      <c r="B106" s="33" t="s">
        <v>1617</v>
      </c>
      <c r="C106" s="33" t="s">
        <v>1605</v>
      </c>
      <c r="D106" s="34">
        <f>IF($M106&gt;0,$M106,3.1)</f>
        <v>3.1</v>
      </c>
      <c r="E106" s="34">
        <f>IF($O106&gt;0,$O106,0.05)</f>
        <v>0.05</v>
      </c>
      <c r="F106" s="35">
        <v>1520</v>
      </c>
      <c r="G106" s="33" t="s">
        <v>1379</v>
      </c>
      <c r="H106" s="36" t="str">
        <f>IF($M106&gt;0,IF($L106&lt;&gt;1,$R106,IFERROR(INDEX('JLR Materials'!$D$2:$D$20001,MATCH($K106,'JLR Materials'!$A$2:$A$20001,0)),$R106)),$R106)</f>
        <v>2026-09</v>
      </c>
      <c r="I106" s="36" t="str">
        <f>IF($M106&gt;0,"JLR rate card — material code "&amp;$K106,$Q106)</f>
        <v>UK resin distributor, Jun 2026. Common connector/housing material. Index-anchored 2026-07 (see RESIN PRICING BASIS). | Refresh 2026-09: NOT SOURCED — pbt: Not sourced this period: engineering resin prices are paywalled (PIE/ICIS). Direction only: PC rising through Aug 2026, PA6 rebounding, PA66 under pressure, PET declining — no like-for-like June→Sep figures. Held at the June 2026 price.</v>
      </c>
      <c r="J106" s="33" t="s">
        <v>1380</v>
      </c>
      <c r="K106" s="37" t="str">
        <f>IFERROR(INDEX(Mapping!$C$2:$C$549,MATCH($A106,Mapping!$A$2:$A$549,0)),"")</f>
        <v/>
      </c>
      <c r="L106" s="37">
        <f>IF($K106="",0,COUNTIFS('JLR Materials'!$A$2:$A$20001,$K106,'JLR Materials'!$C$2:$C$20001,IF(Settings!$B$2="","&lt;&gt;",Settings!$B$2),'JLR Materials'!$D$2:$D$20001,IF(Settings!$B$4="","&lt;&gt;",Settings!$B$4)))</f>
        <v>0</v>
      </c>
      <c r="M106" s="38">
        <f>IF($L106&lt;&gt;1,0,SUMIFS('JLR Materials'!$E$2:$E$20001,'JLR Materials'!$A$2:$A$20001,$K106,'JLR Materials'!$C$2:$C$20001,IF(Settings!$B$2="","&lt;&gt;",Settings!$B$2),'JLR Materials'!$D$2:$D$20001,IF(Settings!$B$4="","&lt;&gt;",Settings!$B$4)))</f>
        <v>0</v>
      </c>
      <c r="N106" s="39">
        <f>IF($L106&lt;&gt;1,0,SUMIFS('JLR Materials'!$F$2:$F$20001,'JLR Materials'!$A$2:$A$20001,$K106,'JLR Materials'!$C$2:$C$20001,IF(Settings!$B$2="","&lt;&gt;",Settings!$B$2),'JLR Materials'!$D$2:$D$20001,IF(Settings!$B$4="","&lt;&gt;",Settings!$B$4)))</f>
        <v>0</v>
      </c>
      <c r="O106" s="38">
        <f>IF($N106=0,0,IF(Settings!$B$5="percent",$M106*$N106/100,$N106))</f>
        <v>0</v>
      </c>
      <c r="P106" s="39">
        <f>IF($L106&lt;&gt;1,0,SUMIFS('JLR Materials'!$G$2:$G$20001,'JLR Materials'!$A$2:$A$20001,$K106,'JLR Materials'!$C$2:$C$20001,IF(Settings!$B$2="","&lt;&gt;",Settings!$B$2),'JLR Materials'!$D$2:$D$20001,IF(Settings!$B$4="","&lt;&gt;",Settings!$B$4)))</f>
        <v>0</v>
      </c>
      <c r="Q106" s="40" t="s">
        <v>1618</v>
      </c>
      <c r="R106" s="40" t="s">
        <v>1382</v>
      </c>
    </row>
    <row r="107" spans="1:18" x14ac:dyDescent="0.25">
      <c r="A107" s="32" t="s">
        <v>477</v>
      </c>
      <c r="B107" s="33" t="s">
        <v>1619</v>
      </c>
      <c r="C107" s="33" t="s">
        <v>1620</v>
      </c>
      <c r="D107" s="34">
        <f>IF($M107&gt;0,$M107,2.52)</f>
        <v>2.52</v>
      </c>
      <c r="E107" s="34">
        <f>IF($O107&gt;0,$O107,0.05)</f>
        <v>0.05</v>
      </c>
      <c r="F107" s="35">
        <v>1200</v>
      </c>
      <c r="G107" s="33" t="s">
        <v>1379</v>
      </c>
      <c r="H107" s="36" t="str">
        <f>IF($M107&gt;0,IF($L107&lt;&gt;1,$R107,IFERROR(INDEX('JLR Materials'!$D$2:$D$20001,MATCH($K107,'JLR Materials'!$A$2:$A$20001,0)),$R107)),$R107)</f>
        <v>2026-09</v>
      </c>
      <c r="I107" s="36" t="str">
        <f>IF($M107&gt;0,"JLR rate card — material code "&amp;$K107,$Q107)</f>
        <v>UK resin distributor, Jun 2026. coolFactor ~4.0 s/mm² Index-anchored 2026-07 (see RESIN PRICING BASIS). | Refresh 2026-09: NOT SOURCED — tpu: Not sourced this period: engineering resin prices are paywalled (PIE/ICIS). Direction only: PC rising through Aug 2026, PA6 rebounding, PA66 under pressure, PET declining — no like-for-like June→Sep figures. Held at the June 2026 price.</v>
      </c>
      <c r="J107" s="33" t="s">
        <v>1393</v>
      </c>
      <c r="K107" s="37" t="str">
        <f>IFERROR(INDEX(Mapping!$C$2:$C$549,MATCH($A107,Mapping!$A$2:$A$549,0)),"")</f>
        <v/>
      </c>
      <c r="L107" s="37">
        <f>IF($K107="",0,COUNTIFS('JLR Materials'!$A$2:$A$20001,$K107,'JLR Materials'!$C$2:$C$20001,IF(Settings!$B$2="","&lt;&gt;",Settings!$B$2),'JLR Materials'!$D$2:$D$20001,IF(Settings!$B$4="","&lt;&gt;",Settings!$B$4)))</f>
        <v>0</v>
      </c>
      <c r="M107" s="38">
        <f>IF($L107&lt;&gt;1,0,SUMIFS('JLR Materials'!$E$2:$E$20001,'JLR Materials'!$A$2:$A$20001,$K107,'JLR Materials'!$C$2:$C$20001,IF(Settings!$B$2="","&lt;&gt;",Settings!$B$2),'JLR Materials'!$D$2:$D$20001,IF(Settings!$B$4="","&lt;&gt;",Settings!$B$4)))</f>
        <v>0</v>
      </c>
      <c r="N107" s="39">
        <f>IF($L107&lt;&gt;1,0,SUMIFS('JLR Materials'!$F$2:$F$20001,'JLR Materials'!$A$2:$A$20001,$K107,'JLR Materials'!$C$2:$C$20001,IF(Settings!$B$2="","&lt;&gt;",Settings!$B$2),'JLR Materials'!$D$2:$D$20001,IF(Settings!$B$4="","&lt;&gt;",Settings!$B$4)))</f>
        <v>0</v>
      </c>
      <c r="O107" s="38">
        <f>IF($N107=0,0,IF(Settings!$B$5="percent",$M107*$N107/100,$N107))</f>
        <v>0</v>
      </c>
      <c r="P107" s="39">
        <f>IF($L107&lt;&gt;1,0,SUMIFS('JLR Materials'!$G$2:$G$20001,'JLR Materials'!$A$2:$A$20001,$K107,'JLR Materials'!$C$2:$C$20001,IF(Settings!$B$2="","&lt;&gt;",Settings!$B$2),'JLR Materials'!$D$2:$D$20001,IF(Settings!$B$4="","&lt;&gt;",Settings!$B$4)))</f>
        <v>0</v>
      </c>
      <c r="Q107" s="40" t="s">
        <v>1621</v>
      </c>
      <c r="R107" s="40" t="s">
        <v>1382</v>
      </c>
    </row>
    <row r="108" spans="1:18" x14ac:dyDescent="0.25">
      <c r="A108" s="32" t="s">
        <v>479</v>
      </c>
      <c r="B108" s="33" t="s">
        <v>1622</v>
      </c>
      <c r="C108" s="33" t="s">
        <v>1605</v>
      </c>
      <c r="D108" s="34">
        <f>IF($M108&gt;0,$M108,1.09)</f>
        <v>1.09</v>
      </c>
      <c r="E108" s="34">
        <f>IF($O108&gt;0,$O108,0.1)</f>
        <v>0.1</v>
      </c>
      <c r="F108" s="35">
        <v>910</v>
      </c>
      <c r="G108" s="33" t="s">
        <v>1379</v>
      </c>
      <c r="H108" s="36" t="str">
        <f>IF($M108&gt;0,IF($L108&lt;&gt;1,$R108,IFERROR(INDEX('JLR Materials'!$D$2:$D$20001,MATCH($K108,'JLR Materials'!$A$2:$A$20001,0)),$R108)),$R108)</f>
        <v>2026-09</v>
      </c>
      <c r="I108" s="36" t="str">
        <f>IF($M108&gt;0,"JLR rate card — material code "&amp;$K108,$Q108)</f>
        <v>UK resin distributor Jun 2026. EBM film bags. coolFactor ~3.5 s/mm² Index-anchored 2026-07 (see RESIN PRICING BASIS). | Refresh 2026-09: +£0.217/kg from 1kg ldpe £0.870→£1.087/kg; premiums held</v>
      </c>
      <c r="J108" s="33" t="s">
        <v>1380</v>
      </c>
      <c r="K108" s="37" t="str">
        <f>IFERROR(INDEX(Mapping!$C$2:$C$549,MATCH($A108,Mapping!$A$2:$A$549,0)),"")</f>
        <v/>
      </c>
      <c r="L108" s="37">
        <f>IF($K108="",0,COUNTIFS('JLR Materials'!$A$2:$A$20001,$K108,'JLR Materials'!$C$2:$C$20001,IF(Settings!$B$2="","&lt;&gt;",Settings!$B$2),'JLR Materials'!$D$2:$D$20001,IF(Settings!$B$4="","&lt;&gt;",Settings!$B$4)))</f>
        <v>0</v>
      </c>
      <c r="M108" s="38">
        <f>IF($L108&lt;&gt;1,0,SUMIFS('JLR Materials'!$E$2:$E$20001,'JLR Materials'!$A$2:$A$20001,$K108,'JLR Materials'!$C$2:$C$20001,IF(Settings!$B$2="","&lt;&gt;",Settings!$B$2),'JLR Materials'!$D$2:$D$20001,IF(Settings!$B$4="","&lt;&gt;",Settings!$B$4)))</f>
        <v>0</v>
      </c>
      <c r="N108" s="39">
        <f>IF($L108&lt;&gt;1,0,SUMIFS('JLR Materials'!$F$2:$F$20001,'JLR Materials'!$A$2:$A$20001,$K108,'JLR Materials'!$C$2:$C$20001,IF(Settings!$B$2="","&lt;&gt;",Settings!$B$2),'JLR Materials'!$D$2:$D$20001,IF(Settings!$B$4="","&lt;&gt;",Settings!$B$4)))</f>
        <v>0</v>
      </c>
      <c r="O108" s="38">
        <f>IF($N108=0,0,IF(Settings!$B$5="percent",$M108*$N108/100,$N108))</f>
        <v>0</v>
      </c>
      <c r="P108" s="39">
        <f>IF($L108&lt;&gt;1,0,SUMIFS('JLR Materials'!$G$2:$G$20001,'JLR Materials'!$A$2:$A$20001,$K108,'JLR Materials'!$C$2:$C$20001,IF(Settings!$B$2="","&lt;&gt;",Settings!$B$2),'JLR Materials'!$D$2:$D$20001,IF(Settings!$B$4="","&lt;&gt;",Settings!$B$4)))</f>
        <v>0</v>
      </c>
      <c r="Q108" s="40" t="s">
        <v>1623</v>
      </c>
      <c r="R108" s="40" t="s">
        <v>1382</v>
      </c>
    </row>
    <row r="109" spans="1:18" x14ac:dyDescent="0.25">
      <c r="A109" s="32" t="s">
        <v>481</v>
      </c>
      <c r="B109" s="33" t="s">
        <v>1624</v>
      </c>
      <c r="C109" s="33" t="s">
        <v>1605</v>
      </c>
      <c r="D109" s="34">
        <f>IF($M109&gt;0,$M109,1.05)</f>
        <v>1.05</v>
      </c>
      <c r="E109" s="34">
        <f>IF($O109&gt;0,$O109,0.09)</f>
        <v>0.09</v>
      </c>
      <c r="F109" s="35">
        <v>920</v>
      </c>
      <c r="G109" s="33" t="s">
        <v>1379</v>
      </c>
      <c r="H109" s="36" t="str">
        <f>IF($M109&gt;0,IF($L109&lt;&gt;1,$R109,IFERROR(INDEX('JLR Materials'!$D$2:$D$20001,MATCH($K109,'JLR Materials'!$A$2:$A$20001,0)),$R109)),$R109)</f>
        <v>2026-09</v>
      </c>
      <c r="I109" s="36" t="str">
        <f>IF($M109&gt;0,"JLR rate card — material code "&amp;$K109,$Q109)</f>
        <v>UK resin distributor Jun 2026. Stretch/packaging film, rotomoulding. coolFactor ~3.5 s/mm² Index-anchored 2026-07 (see RESIN PRICING BASIS). | Refresh 2026-09: +£0.117/kg from 1kg lldpe £0.930→£1.047/kg; premiums held</v>
      </c>
      <c r="J109" s="33" t="s">
        <v>1380</v>
      </c>
      <c r="K109" s="37" t="str">
        <f>IFERROR(INDEX(Mapping!$C$2:$C$549,MATCH($A109,Mapping!$A$2:$A$549,0)),"")</f>
        <v/>
      </c>
      <c r="L109" s="37">
        <f>IF($K109="",0,COUNTIFS('JLR Materials'!$A$2:$A$20001,$K109,'JLR Materials'!$C$2:$C$20001,IF(Settings!$B$2="","&lt;&gt;",Settings!$B$2),'JLR Materials'!$D$2:$D$20001,IF(Settings!$B$4="","&lt;&gt;",Settings!$B$4)))</f>
        <v>0</v>
      </c>
      <c r="M109" s="38">
        <f>IF($L109&lt;&gt;1,0,SUMIFS('JLR Materials'!$E$2:$E$20001,'JLR Materials'!$A$2:$A$20001,$K109,'JLR Materials'!$C$2:$C$20001,IF(Settings!$B$2="","&lt;&gt;",Settings!$B$2),'JLR Materials'!$D$2:$D$20001,IF(Settings!$B$4="","&lt;&gt;",Settings!$B$4)))</f>
        <v>0</v>
      </c>
      <c r="N109" s="39">
        <f>IF($L109&lt;&gt;1,0,SUMIFS('JLR Materials'!$F$2:$F$20001,'JLR Materials'!$A$2:$A$20001,$K109,'JLR Materials'!$C$2:$C$20001,IF(Settings!$B$2="","&lt;&gt;",Settings!$B$2),'JLR Materials'!$D$2:$D$20001,IF(Settings!$B$4="","&lt;&gt;",Settings!$B$4)))</f>
        <v>0</v>
      </c>
      <c r="O109" s="38">
        <f>IF($N109=0,0,IF(Settings!$B$5="percent",$M109*$N109/100,$N109))</f>
        <v>0</v>
      </c>
      <c r="P109" s="39">
        <f>IF($L109&lt;&gt;1,0,SUMIFS('JLR Materials'!$G$2:$G$20001,'JLR Materials'!$A$2:$A$20001,$K109,'JLR Materials'!$C$2:$C$20001,IF(Settings!$B$2="","&lt;&gt;",Settings!$B$2),'JLR Materials'!$D$2:$D$20001,IF(Settings!$B$4="","&lt;&gt;",Settings!$B$4)))</f>
        <v>0</v>
      </c>
      <c r="Q109" s="40" t="s">
        <v>1625</v>
      </c>
      <c r="R109" s="40" t="s">
        <v>1382</v>
      </c>
    </row>
    <row r="110" spans="1:18" x14ac:dyDescent="0.25">
      <c r="A110" s="32" t="s">
        <v>483</v>
      </c>
      <c r="B110" s="33" t="s">
        <v>1626</v>
      </c>
      <c r="C110" s="33" t="s">
        <v>1605</v>
      </c>
      <c r="D110" s="34">
        <f>IF($M110&gt;0,$M110,0.99)</f>
        <v>0.99</v>
      </c>
      <c r="E110" s="34">
        <f>IF($O110&gt;0,$O110,0.1)</f>
        <v>0.1</v>
      </c>
      <c r="F110" s="35">
        <v>905</v>
      </c>
      <c r="G110" s="33" t="s">
        <v>1379</v>
      </c>
      <c r="H110" s="36" t="str">
        <f>IF($M110&gt;0,IF($L110&lt;&gt;1,$R110,IFERROR(INDEX('JLR Materials'!$D$2:$D$20001,MATCH($K110,'JLR Materials'!$A$2:$A$20001,0)),$R110)),$R110)</f>
        <v>2026-09</v>
      </c>
      <c r="I110" s="36" t="str">
        <f>IF($M110&gt;0,"JLR rate card — material code "&amp;$K110,$Q110)</f>
        <v>UK resin distributor Jun 2026. High stiffness housings, caps. coolFactor ~3.16 s/mm² Index-anchored 2026-07 (see RESIN PRICING BASIS). | Refresh 2026-09: +£0.027/kg from 1kg pp £0.960→£0.987/kg; premiums held</v>
      </c>
      <c r="J110" s="33" t="s">
        <v>1380</v>
      </c>
      <c r="K110" s="37" t="str">
        <f>IFERROR(INDEX(Mapping!$C$2:$C$549,MATCH($A110,Mapping!$A$2:$A$549,0)),"")</f>
        <v/>
      </c>
      <c r="L110" s="37">
        <f>IF($K110="",0,COUNTIFS('JLR Materials'!$A$2:$A$20001,$K110,'JLR Materials'!$C$2:$C$20001,IF(Settings!$B$2="","&lt;&gt;",Settings!$B$2),'JLR Materials'!$D$2:$D$20001,IF(Settings!$B$4="","&lt;&gt;",Settings!$B$4)))</f>
        <v>0</v>
      </c>
      <c r="M110" s="38">
        <f>IF($L110&lt;&gt;1,0,SUMIFS('JLR Materials'!$E$2:$E$20001,'JLR Materials'!$A$2:$A$20001,$K110,'JLR Materials'!$C$2:$C$20001,IF(Settings!$B$2="","&lt;&gt;",Settings!$B$2),'JLR Materials'!$D$2:$D$20001,IF(Settings!$B$4="","&lt;&gt;",Settings!$B$4)))</f>
        <v>0</v>
      </c>
      <c r="N110" s="39">
        <f>IF($L110&lt;&gt;1,0,SUMIFS('JLR Materials'!$F$2:$F$20001,'JLR Materials'!$A$2:$A$20001,$K110,'JLR Materials'!$C$2:$C$20001,IF(Settings!$B$2="","&lt;&gt;",Settings!$B$2),'JLR Materials'!$D$2:$D$20001,IF(Settings!$B$4="","&lt;&gt;",Settings!$B$4)))</f>
        <v>0</v>
      </c>
      <c r="O110" s="38">
        <f>IF($N110=0,0,IF(Settings!$B$5="percent",$M110*$N110/100,$N110))</f>
        <v>0</v>
      </c>
      <c r="P110" s="39">
        <f>IF($L110&lt;&gt;1,0,SUMIFS('JLR Materials'!$G$2:$G$20001,'JLR Materials'!$A$2:$A$20001,$K110,'JLR Materials'!$C$2:$C$20001,IF(Settings!$B$2="","&lt;&gt;",Settings!$B$2),'JLR Materials'!$D$2:$D$20001,IF(Settings!$B$4="","&lt;&gt;",Settings!$B$4)))</f>
        <v>0</v>
      </c>
      <c r="Q110" s="40" t="s">
        <v>1627</v>
      </c>
      <c r="R110" s="40" t="s">
        <v>1382</v>
      </c>
    </row>
    <row r="111" spans="1:18" x14ac:dyDescent="0.25">
      <c r="A111" s="32" t="s">
        <v>485</v>
      </c>
      <c r="B111" s="33" t="s">
        <v>1628</v>
      </c>
      <c r="C111" s="33" t="s">
        <v>1605</v>
      </c>
      <c r="D111" s="34">
        <f>IF($M111&gt;0,$M111,1.04)</f>
        <v>1.04</v>
      </c>
      <c r="E111" s="34">
        <f>IF($O111&gt;0,$O111,0.1)</f>
        <v>0.1</v>
      </c>
      <c r="F111" s="35">
        <v>900</v>
      </c>
      <c r="G111" s="33" t="s">
        <v>1379</v>
      </c>
      <c r="H111" s="36" t="str">
        <f>IF($M111&gt;0,IF($L111&lt;&gt;1,$R111,IFERROR(INDEX('JLR Materials'!$D$2:$D$20001,MATCH($K111,'JLR Materials'!$A$2:$A$20001,0)),$R111)),$R111)</f>
        <v>2026-09</v>
      </c>
      <c r="I111" s="36" t="str">
        <f>IF($M111&gt;0,"JLR rate card — material code "&amp;$K111,$Q111)</f>
        <v>UK resin distributor Jun 2026. Bumpers, battery cases. coolFactor ~3.16 s/mm² Index-anchored 2026-07 (see RESIN PRICING BASIS). | Refresh 2026-09: +£0.027/kg from 1kg pp £0.960→£0.987/kg; premiums held</v>
      </c>
      <c r="J111" s="33" t="s">
        <v>1380</v>
      </c>
      <c r="K111" s="37" t="str">
        <f>IFERROR(INDEX(Mapping!$C$2:$C$549,MATCH($A111,Mapping!$A$2:$A$549,0)),"")</f>
        <v/>
      </c>
      <c r="L111" s="37">
        <f>IF($K111="",0,COUNTIFS('JLR Materials'!$A$2:$A$20001,$K111,'JLR Materials'!$C$2:$C$20001,IF(Settings!$B$2="","&lt;&gt;",Settings!$B$2),'JLR Materials'!$D$2:$D$20001,IF(Settings!$B$4="","&lt;&gt;",Settings!$B$4)))</f>
        <v>0</v>
      </c>
      <c r="M111" s="38">
        <f>IF($L111&lt;&gt;1,0,SUMIFS('JLR Materials'!$E$2:$E$20001,'JLR Materials'!$A$2:$A$20001,$K111,'JLR Materials'!$C$2:$C$20001,IF(Settings!$B$2="","&lt;&gt;",Settings!$B$2),'JLR Materials'!$D$2:$D$20001,IF(Settings!$B$4="","&lt;&gt;",Settings!$B$4)))</f>
        <v>0</v>
      </c>
      <c r="N111" s="39">
        <f>IF($L111&lt;&gt;1,0,SUMIFS('JLR Materials'!$F$2:$F$20001,'JLR Materials'!$A$2:$A$20001,$K111,'JLR Materials'!$C$2:$C$20001,IF(Settings!$B$2="","&lt;&gt;",Settings!$B$2),'JLR Materials'!$D$2:$D$20001,IF(Settings!$B$4="","&lt;&gt;",Settings!$B$4)))</f>
        <v>0</v>
      </c>
      <c r="O111" s="38">
        <f>IF($N111=0,0,IF(Settings!$B$5="percent",$M111*$N111/100,$N111))</f>
        <v>0</v>
      </c>
      <c r="P111" s="39">
        <f>IF($L111&lt;&gt;1,0,SUMIFS('JLR Materials'!$G$2:$G$20001,'JLR Materials'!$A$2:$A$20001,$K111,'JLR Materials'!$C$2:$C$20001,IF(Settings!$B$2="","&lt;&gt;",Settings!$B$2),'JLR Materials'!$D$2:$D$20001,IF(Settings!$B$4="","&lt;&gt;",Settings!$B$4)))</f>
        <v>0</v>
      </c>
      <c r="Q111" s="40" t="s">
        <v>1629</v>
      </c>
      <c r="R111" s="40" t="s">
        <v>1382</v>
      </c>
    </row>
    <row r="112" spans="1:18" x14ac:dyDescent="0.25">
      <c r="A112" s="32" t="s">
        <v>487</v>
      </c>
      <c r="B112" s="33" t="s">
        <v>1630</v>
      </c>
      <c r="C112" s="33" t="s">
        <v>1605</v>
      </c>
      <c r="D112" s="34">
        <f>IF($M112&gt;0,$M112,1.87)</f>
        <v>1.87</v>
      </c>
      <c r="E112" s="34">
        <f>IF($O112&gt;0,$O112,0.08)</f>
        <v>0.08</v>
      </c>
      <c r="F112" s="35">
        <v>1120</v>
      </c>
      <c r="G112" s="33" t="s">
        <v>1379</v>
      </c>
      <c r="H112" s="36" t="str">
        <f>IF($M112&gt;0,IF($L112&lt;&gt;1,$R112,IFERROR(INDEX('JLR Materials'!$D$2:$D$20001,MATCH($K112,'JLR Materials'!$A$2:$A$20001,0)),$R112)),$R112)</f>
        <v>2026-09</v>
      </c>
      <c r="I112" s="36" t="str">
        <f>IF($M112&gt;0,"JLR rate card — material code "&amp;$K112,$Q112)</f>
        <v>UK resin distributor Jun 2026. 30% short-glass PP — stiff housings, fan shrouds, pump bodies, brackets. coolFactor ~3.0 s/mm² Index-anchored 2026-07 (see RESIN PRICING BASIS). | Refresh 2026-09: +£0.019/kg from 0.7kg pp £0.960→£0.987/kg; premiums held</v>
      </c>
      <c r="J112" s="33" t="s">
        <v>1393</v>
      </c>
      <c r="K112" s="37" t="str">
        <f>IFERROR(INDEX(Mapping!$C$2:$C$549,MATCH($A112,Mapping!$A$2:$A$549,0)),"")</f>
        <v/>
      </c>
      <c r="L112" s="37">
        <f>IF($K112="",0,COUNTIFS('JLR Materials'!$A$2:$A$20001,$K112,'JLR Materials'!$C$2:$C$20001,IF(Settings!$B$2="","&lt;&gt;",Settings!$B$2),'JLR Materials'!$D$2:$D$20001,IF(Settings!$B$4="","&lt;&gt;",Settings!$B$4)))</f>
        <v>0</v>
      </c>
      <c r="M112" s="38">
        <f>IF($L112&lt;&gt;1,0,SUMIFS('JLR Materials'!$E$2:$E$20001,'JLR Materials'!$A$2:$A$20001,$K112,'JLR Materials'!$C$2:$C$20001,IF(Settings!$B$2="","&lt;&gt;",Settings!$B$2),'JLR Materials'!$D$2:$D$20001,IF(Settings!$B$4="","&lt;&gt;",Settings!$B$4)))</f>
        <v>0</v>
      </c>
      <c r="N112" s="39">
        <f>IF($L112&lt;&gt;1,0,SUMIFS('JLR Materials'!$F$2:$F$20001,'JLR Materials'!$A$2:$A$20001,$K112,'JLR Materials'!$C$2:$C$20001,IF(Settings!$B$2="","&lt;&gt;",Settings!$B$2),'JLR Materials'!$D$2:$D$20001,IF(Settings!$B$4="","&lt;&gt;",Settings!$B$4)))</f>
        <v>0</v>
      </c>
      <c r="O112" s="38">
        <f>IF($N112=0,0,IF(Settings!$B$5="percent",$M112*$N112/100,$N112))</f>
        <v>0</v>
      </c>
      <c r="P112" s="39">
        <f>IF($L112&lt;&gt;1,0,SUMIFS('JLR Materials'!$G$2:$G$20001,'JLR Materials'!$A$2:$A$20001,$K112,'JLR Materials'!$C$2:$C$20001,IF(Settings!$B$2="","&lt;&gt;",Settings!$B$2),'JLR Materials'!$D$2:$D$20001,IF(Settings!$B$4="","&lt;&gt;",Settings!$B$4)))</f>
        <v>0</v>
      </c>
      <c r="Q112" s="40" t="s">
        <v>1631</v>
      </c>
      <c r="R112" s="40" t="s">
        <v>1382</v>
      </c>
    </row>
    <row r="113" spans="1:18" x14ac:dyDescent="0.25">
      <c r="A113" s="32" t="s">
        <v>489</v>
      </c>
      <c r="B113" s="33" t="s">
        <v>1632</v>
      </c>
      <c r="C113" s="33" t="s">
        <v>1605</v>
      </c>
      <c r="D113" s="34">
        <f>IF($M113&gt;0,$M113,1.21)</f>
        <v>1.21</v>
      </c>
      <c r="E113" s="34">
        <f>IF($O113&gt;0,$O113,0.08)</f>
        <v>0.08</v>
      </c>
      <c r="F113" s="35">
        <v>1380</v>
      </c>
      <c r="G113" s="33" t="s">
        <v>1379</v>
      </c>
      <c r="H113" s="36" t="str">
        <f>IF($M113&gt;0,IF($L113&lt;&gt;1,$R113,IFERROR(INDEX('JLR Materials'!$D$2:$D$20001,MATCH($K113,'JLR Materials'!$A$2:$A$20001,0)),$R113)),$R113)</f>
        <v>2026-09</v>
      </c>
      <c r="I113" s="36" t="str">
        <f>IF($M113&gt;0,"JLR rate card — material code "&amp;$K113,$Q113)</f>
        <v>UK resin distributor Jun 2026. SBM beverage bottles. coolFactor ~3.0 s/mm² Index-anchored 2026-07 (see RESIN PRICING BASIS). | Refresh 2026-09: NOT SOURCED — pet: Not sourced this period: engineering resin prices are paywalled (PIE/ICIS). Direction only: PC rising through Aug 2026, PA6 rebounding, PA66 under pressure, PET declining — no like-for-like June→Sep figures. Held at the June 2026 price.</v>
      </c>
      <c r="J113" s="33" t="s">
        <v>1380</v>
      </c>
      <c r="K113" s="37" t="str">
        <f>IFERROR(INDEX(Mapping!$C$2:$C$549,MATCH($A113,Mapping!$A$2:$A$549,0)),"")</f>
        <v/>
      </c>
      <c r="L113" s="37">
        <f>IF($K113="",0,COUNTIFS('JLR Materials'!$A$2:$A$20001,$K113,'JLR Materials'!$C$2:$C$20001,IF(Settings!$B$2="","&lt;&gt;",Settings!$B$2),'JLR Materials'!$D$2:$D$20001,IF(Settings!$B$4="","&lt;&gt;",Settings!$B$4)))</f>
        <v>0</v>
      </c>
      <c r="M113" s="38">
        <f>IF($L113&lt;&gt;1,0,SUMIFS('JLR Materials'!$E$2:$E$20001,'JLR Materials'!$A$2:$A$20001,$K113,'JLR Materials'!$C$2:$C$20001,IF(Settings!$B$2="","&lt;&gt;",Settings!$B$2),'JLR Materials'!$D$2:$D$20001,IF(Settings!$B$4="","&lt;&gt;",Settings!$B$4)))</f>
        <v>0</v>
      </c>
      <c r="N113" s="39">
        <f>IF($L113&lt;&gt;1,0,SUMIFS('JLR Materials'!$F$2:$F$20001,'JLR Materials'!$A$2:$A$20001,$K113,'JLR Materials'!$C$2:$C$20001,IF(Settings!$B$2="","&lt;&gt;",Settings!$B$2),'JLR Materials'!$D$2:$D$20001,IF(Settings!$B$4="","&lt;&gt;",Settings!$B$4)))</f>
        <v>0</v>
      </c>
      <c r="O113" s="38">
        <f>IF($N113=0,0,IF(Settings!$B$5="percent",$M113*$N113/100,$N113))</f>
        <v>0</v>
      </c>
      <c r="P113" s="39">
        <f>IF($L113&lt;&gt;1,0,SUMIFS('JLR Materials'!$G$2:$G$20001,'JLR Materials'!$A$2:$A$20001,$K113,'JLR Materials'!$C$2:$C$20001,IF(Settings!$B$2="","&lt;&gt;",Settings!$B$2),'JLR Materials'!$D$2:$D$20001,IF(Settings!$B$4="","&lt;&gt;",Settings!$B$4)))</f>
        <v>0</v>
      </c>
      <c r="Q113" s="40" t="s">
        <v>1633</v>
      </c>
      <c r="R113" s="40" t="s">
        <v>1382</v>
      </c>
    </row>
    <row r="114" spans="1:18" x14ac:dyDescent="0.25">
      <c r="A114" s="32" t="s">
        <v>491</v>
      </c>
      <c r="B114" s="33" t="s">
        <v>1634</v>
      </c>
      <c r="C114" s="33" t="s">
        <v>1605</v>
      </c>
      <c r="D114" s="34">
        <f>IF($M114&gt;0,$M114,3.05)</f>
        <v>3.05</v>
      </c>
      <c r="E114" s="34">
        <f>IF($O114&gt;0,$O114,0.05)</f>
        <v>0.05</v>
      </c>
      <c r="F114" s="35">
        <v>1520</v>
      </c>
      <c r="G114" s="33" t="s">
        <v>1379</v>
      </c>
      <c r="H114" s="36" t="str">
        <f>IF($M114&gt;0,IF($L114&lt;&gt;1,$R114,IFERROR(INDEX('JLR Materials'!$D$2:$D$20001,MATCH($K114,'JLR Materials'!$A$2:$A$20001,0)),$R114)),$R114)</f>
        <v>2026-09</v>
      </c>
      <c r="I114" s="36" t="str">
        <f>IF($M114&gt;0,"JLR rate card — material code "&amp;$K114,$Q114)</f>
        <v>UK resin distributor Jun 2026. Gears, precision parts. coolFactor ~2.5 s/mm² Index-anchored 2026-07 (see RESIN PRICING BASIS). | Refresh 2026-09: NOT SOURCED — pet: Not sourced this period: engineering resin prices are paywalled (PIE/ICIS). Direction only: PC rising through Aug 2026, PA6 rebounding, PA66 under pressure, PET declining — no like-for-like June→Sep figures. Held at the June 2026 price.</v>
      </c>
      <c r="J114" s="33" t="s">
        <v>1380</v>
      </c>
      <c r="K114" s="37" t="str">
        <f>IFERROR(INDEX(Mapping!$C$2:$C$549,MATCH($A114,Mapping!$A$2:$A$549,0)),"")</f>
        <v/>
      </c>
      <c r="L114" s="37">
        <f>IF($K114="",0,COUNTIFS('JLR Materials'!$A$2:$A$20001,$K114,'JLR Materials'!$C$2:$C$20001,IF(Settings!$B$2="","&lt;&gt;",Settings!$B$2),'JLR Materials'!$D$2:$D$20001,IF(Settings!$B$4="","&lt;&gt;",Settings!$B$4)))</f>
        <v>0</v>
      </c>
      <c r="M114" s="38">
        <f>IF($L114&lt;&gt;1,0,SUMIFS('JLR Materials'!$E$2:$E$20001,'JLR Materials'!$A$2:$A$20001,$K114,'JLR Materials'!$C$2:$C$20001,IF(Settings!$B$2="","&lt;&gt;",Settings!$B$2),'JLR Materials'!$D$2:$D$20001,IF(Settings!$B$4="","&lt;&gt;",Settings!$B$4)))</f>
        <v>0</v>
      </c>
      <c r="N114" s="39">
        <f>IF($L114&lt;&gt;1,0,SUMIFS('JLR Materials'!$F$2:$F$20001,'JLR Materials'!$A$2:$A$20001,$K114,'JLR Materials'!$C$2:$C$20001,IF(Settings!$B$2="","&lt;&gt;",Settings!$B$2),'JLR Materials'!$D$2:$D$20001,IF(Settings!$B$4="","&lt;&gt;",Settings!$B$4)))</f>
        <v>0</v>
      </c>
      <c r="O114" s="38">
        <f>IF($N114=0,0,IF(Settings!$B$5="percent",$M114*$N114/100,$N114))</f>
        <v>0</v>
      </c>
      <c r="P114" s="39">
        <f>IF($L114&lt;&gt;1,0,SUMIFS('JLR Materials'!$G$2:$G$20001,'JLR Materials'!$A$2:$A$20001,$K114,'JLR Materials'!$C$2:$C$20001,IF(Settings!$B$2="","&lt;&gt;",Settings!$B$2),'JLR Materials'!$D$2:$D$20001,IF(Settings!$B$4="","&lt;&gt;",Settings!$B$4)))</f>
        <v>0</v>
      </c>
      <c r="Q114" s="40" t="s">
        <v>1635</v>
      </c>
      <c r="R114" s="40" t="s">
        <v>1382</v>
      </c>
    </row>
    <row r="115" spans="1:18" x14ac:dyDescent="0.25">
      <c r="A115" s="32" t="s">
        <v>493</v>
      </c>
      <c r="B115" s="33" t="s">
        <v>1636</v>
      </c>
      <c r="C115" s="33" t="s">
        <v>1605</v>
      </c>
      <c r="D115" s="34">
        <f>IF($M115&gt;0,$M115,0.76)</f>
        <v>0.76</v>
      </c>
      <c r="E115" s="34">
        <f>IF($O115&gt;0,$O115,0.05)</f>
        <v>0.05</v>
      </c>
      <c r="F115" s="35">
        <v>1400</v>
      </c>
      <c r="G115" s="33" t="s">
        <v>1379</v>
      </c>
      <c r="H115" s="36" t="str">
        <f>IF($M115&gt;0,IF($L115&lt;&gt;1,$R115,IFERROR(INDEX('JLR Materials'!$D$2:$D$20001,MATCH($K115,'JLR Materials'!$A$2:$A$20001,0)),$R115)),$R115)</f>
        <v>2026-09</v>
      </c>
      <c r="I115" s="36" t="str">
        <f>IF($M115&gt;0,"JLR rate card — material code "&amp;$K115,$Q115)</f>
        <v>UK resin distributor Jun 2026. Pipes, window profiles. coolFactor ~2.5 s/mm² Index-anchored 2026-07 (see RESIN PRICING BASIS). | Refresh 2026-09: −£0.066/kg from 0.85kg pvc £0.453→£0.375/kg; premiums held</v>
      </c>
      <c r="J115" s="33" t="s">
        <v>1380</v>
      </c>
      <c r="K115" s="37" t="str">
        <f>IFERROR(INDEX(Mapping!$C$2:$C$549,MATCH($A115,Mapping!$A$2:$A$549,0)),"")</f>
        <v/>
      </c>
      <c r="L115" s="37">
        <f>IF($K115="",0,COUNTIFS('JLR Materials'!$A$2:$A$20001,$K115,'JLR Materials'!$C$2:$C$20001,IF(Settings!$B$2="","&lt;&gt;",Settings!$B$2),'JLR Materials'!$D$2:$D$20001,IF(Settings!$B$4="","&lt;&gt;",Settings!$B$4)))</f>
        <v>0</v>
      </c>
      <c r="M115" s="38">
        <f>IF($L115&lt;&gt;1,0,SUMIFS('JLR Materials'!$E$2:$E$20001,'JLR Materials'!$A$2:$A$20001,$K115,'JLR Materials'!$C$2:$C$20001,IF(Settings!$B$2="","&lt;&gt;",Settings!$B$2),'JLR Materials'!$D$2:$D$20001,IF(Settings!$B$4="","&lt;&gt;",Settings!$B$4)))</f>
        <v>0</v>
      </c>
      <c r="N115" s="39">
        <f>IF($L115&lt;&gt;1,0,SUMIFS('JLR Materials'!$F$2:$F$20001,'JLR Materials'!$A$2:$A$20001,$K115,'JLR Materials'!$C$2:$C$20001,IF(Settings!$B$2="","&lt;&gt;",Settings!$B$2),'JLR Materials'!$D$2:$D$20001,IF(Settings!$B$4="","&lt;&gt;",Settings!$B$4)))</f>
        <v>0</v>
      </c>
      <c r="O115" s="38">
        <f>IF($N115=0,0,IF(Settings!$B$5="percent",$M115*$N115/100,$N115))</f>
        <v>0</v>
      </c>
      <c r="P115" s="39">
        <f>IF($L115&lt;&gt;1,0,SUMIFS('JLR Materials'!$G$2:$G$20001,'JLR Materials'!$A$2:$A$20001,$K115,'JLR Materials'!$C$2:$C$20001,IF(Settings!$B$2="","&lt;&gt;",Settings!$B$2),'JLR Materials'!$D$2:$D$20001,IF(Settings!$B$4="","&lt;&gt;",Settings!$B$4)))</f>
        <v>0</v>
      </c>
      <c r="Q115" s="40" t="s">
        <v>1637</v>
      </c>
      <c r="R115" s="40" t="s">
        <v>1382</v>
      </c>
    </row>
    <row r="116" spans="1:18" x14ac:dyDescent="0.25">
      <c r="A116" s="32" t="s">
        <v>495</v>
      </c>
      <c r="B116" s="33" t="s">
        <v>1638</v>
      </c>
      <c r="C116" s="33" t="s">
        <v>1605</v>
      </c>
      <c r="D116" s="34">
        <f>IF($M116&gt;0,$M116,1.11)</f>
        <v>1.11</v>
      </c>
      <c r="E116" s="34">
        <f>IF($O116&gt;0,$O116,0.05)</f>
        <v>0.05</v>
      </c>
      <c r="F116" s="35">
        <v>1250</v>
      </c>
      <c r="G116" s="33" t="s">
        <v>1379</v>
      </c>
      <c r="H116" s="36" t="str">
        <f>IF($M116&gt;0,IF($L116&lt;&gt;1,$R116,IFERROR(INDEX('JLR Materials'!$D$2:$D$20001,MATCH($K116,'JLR Materials'!$A$2:$A$20001,0)),$R116)),$R116)</f>
        <v>2026-09</v>
      </c>
      <c r="I116" s="36" t="str">
        <f>IF($M116&gt;0,"JLR rate card — material code "&amp;$K116,$Q116)</f>
        <v>UK resin distributor Jun 2026. Cables, hoses, medical tubing. coolFactor ~3.0 s/mm² Index-anchored 2026-07 (see RESIN PRICING BASIS). | Refresh 2026-09: −£0.047/kg from 0.6kg pvc £0.453→£0.375/kg; premiums held</v>
      </c>
      <c r="J116" s="33" t="s">
        <v>1380</v>
      </c>
      <c r="K116" s="37" t="str">
        <f>IFERROR(INDEX(Mapping!$C$2:$C$549,MATCH($A116,Mapping!$A$2:$A$549,0)),"")</f>
        <v/>
      </c>
      <c r="L116" s="37">
        <f>IF($K116="",0,COUNTIFS('JLR Materials'!$A$2:$A$20001,$K116,'JLR Materials'!$C$2:$C$20001,IF(Settings!$B$2="","&lt;&gt;",Settings!$B$2),'JLR Materials'!$D$2:$D$20001,IF(Settings!$B$4="","&lt;&gt;",Settings!$B$4)))</f>
        <v>0</v>
      </c>
      <c r="M116" s="38">
        <f>IF($L116&lt;&gt;1,0,SUMIFS('JLR Materials'!$E$2:$E$20001,'JLR Materials'!$A$2:$A$20001,$K116,'JLR Materials'!$C$2:$C$20001,IF(Settings!$B$2="","&lt;&gt;",Settings!$B$2),'JLR Materials'!$D$2:$D$20001,IF(Settings!$B$4="","&lt;&gt;",Settings!$B$4)))</f>
        <v>0</v>
      </c>
      <c r="N116" s="39">
        <f>IF($L116&lt;&gt;1,0,SUMIFS('JLR Materials'!$F$2:$F$20001,'JLR Materials'!$A$2:$A$20001,$K116,'JLR Materials'!$C$2:$C$20001,IF(Settings!$B$2="","&lt;&gt;",Settings!$B$2),'JLR Materials'!$D$2:$D$20001,IF(Settings!$B$4="","&lt;&gt;",Settings!$B$4)))</f>
        <v>0</v>
      </c>
      <c r="O116" s="38">
        <f>IF($N116=0,0,IF(Settings!$B$5="percent",$M116*$N116/100,$N116))</f>
        <v>0</v>
      </c>
      <c r="P116" s="39">
        <f>IF($L116&lt;&gt;1,0,SUMIFS('JLR Materials'!$G$2:$G$20001,'JLR Materials'!$A$2:$A$20001,$K116,'JLR Materials'!$C$2:$C$20001,IF(Settings!$B$2="","&lt;&gt;",Settings!$B$2),'JLR Materials'!$D$2:$D$20001,IF(Settings!$B$4="","&lt;&gt;",Settings!$B$4)))</f>
        <v>0</v>
      </c>
      <c r="Q116" s="40" t="s">
        <v>1639</v>
      </c>
      <c r="R116" s="40" t="s">
        <v>1382</v>
      </c>
    </row>
    <row r="117" spans="1:18" x14ac:dyDescent="0.25">
      <c r="A117" s="32" t="s">
        <v>497</v>
      </c>
      <c r="B117" s="33" t="s">
        <v>1640</v>
      </c>
      <c r="C117" s="33" t="s">
        <v>1605</v>
      </c>
      <c r="D117" s="34">
        <f>IF($M117&gt;0,$M117,1.37)</f>
        <v>1.37</v>
      </c>
      <c r="E117" s="34">
        <f>IF($O117&gt;0,$O117,0.11)</f>
        <v>0.11</v>
      </c>
      <c r="F117" s="35">
        <v>1050</v>
      </c>
      <c r="G117" s="33" t="s">
        <v>1379</v>
      </c>
      <c r="H117" s="36" t="str">
        <f>IF($M117&gt;0,IF($L117&lt;&gt;1,$R117,IFERROR(INDEX('JLR Materials'!$D$2:$D$20001,MATCH($K117,'JLR Materials'!$A$2:$A$20001,0)),$R117)),$R117)</f>
        <v>2026-09</v>
      </c>
      <c r="I117" s="36" t="str">
        <f>IF($M117&gt;0,"JLR rate card — material code "&amp;$K117,$Q117)</f>
        <v>UK resin distributor Jun 2026. Clear, rigid, brittle. CD cases, cutlery. coolFactor ~2.0 s/mm² Index-anchored 2026-07 (see RESIN PRICING BASIS). | Refresh 2026-09: +£0.369/kg from 1kg gpps £1.000→£1.369/kg; premiums held</v>
      </c>
      <c r="J117" s="33" t="s">
        <v>1380</v>
      </c>
      <c r="K117" s="37" t="str">
        <f>IFERROR(INDEX(Mapping!$C$2:$C$549,MATCH($A117,Mapping!$A$2:$A$549,0)),"")</f>
        <v/>
      </c>
      <c r="L117" s="37">
        <f>IF($K117="",0,COUNTIFS('JLR Materials'!$A$2:$A$20001,$K117,'JLR Materials'!$C$2:$C$20001,IF(Settings!$B$2="","&lt;&gt;",Settings!$B$2),'JLR Materials'!$D$2:$D$20001,IF(Settings!$B$4="","&lt;&gt;",Settings!$B$4)))</f>
        <v>0</v>
      </c>
      <c r="M117" s="38">
        <f>IF($L117&lt;&gt;1,0,SUMIFS('JLR Materials'!$E$2:$E$20001,'JLR Materials'!$A$2:$A$20001,$K117,'JLR Materials'!$C$2:$C$20001,IF(Settings!$B$2="","&lt;&gt;",Settings!$B$2),'JLR Materials'!$D$2:$D$20001,IF(Settings!$B$4="","&lt;&gt;",Settings!$B$4)))</f>
        <v>0</v>
      </c>
      <c r="N117" s="39">
        <f>IF($L117&lt;&gt;1,0,SUMIFS('JLR Materials'!$F$2:$F$20001,'JLR Materials'!$A$2:$A$20001,$K117,'JLR Materials'!$C$2:$C$20001,IF(Settings!$B$2="","&lt;&gt;",Settings!$B$2),'JLR Materials'!$D$2:$D$20001,IF(Settings!$B$4="","&lt;&gt;",Settings!$B$4)))</f>
        <v>0</v>
      </c>
      <c r="O117" s="38">
        <f>IF($N117=0,0,IF(Settings!$B$5="percent",$M117*$N117/100,$N117))</f>
        <v>0</v>
      </c>
      <c r="P117" s="39">
        <f>IF($L117&lt;&gt;1,0,SUMIFS('JLR Materials'!$G$2:$G$20001,'JLR Materials'!$A$2:$A$20001,$K117,'JLR Materials'!$C$2:$C$20001,IF(Settings!$B$2="","&lt;&gt;",Settings!$B$2),'JLR Materials'!$D$2:$D$20001,IF(Settings!$B$4="","&lt;&gt;",Settings!$B$4)))</f>
        <v>0</v>
      </c>
      <c r="Q117" s="40" t="s">
        <v>1641</v>
      </c>
      <c r="R117" s="40" t="s">
        <v>1382</v>
      </c>
    </row>
    <row r="118" spans="1:18" x14ac:dyDescent="0.25">
      <c r="A118" s="32" t="s">
        <v>499</v>
      </c>
      <c r="B118" s="33" t="s">
        <v>1642</v>
      </c>
      <c r="C118" s="33" t="s">
        <v>1605</v>
      </c>
      <c r="D118" s="34">
        <f>IF($M118&gt;0,$M118,1.37)</f>
        <v>1.37</v>
      </c>
      <c r="E118" s="34">
        <f>IF($O118&gt;0,$O118,0.11)</f>
        <v>0.11</v>
      </c>
      <c r="F118" s="35">
        <v>1040</v>
      </c>
      <c r="G118" s="33" t="s">
        <v>1379</v>
      </c>
      <c r="H118" s="36" t="str">
        <f>IF($M118&gt;0,IF($L118&lt;&gt;1,$R118,IFERROR(INDEX('JLR Materials'!$D$2:$D$20001,MATCH($K118,'JLR Materials'!$A$2:$A$20001,0)),$R118)),$R118)</f>
        <v>2026-09</v>
      </c>
      <c r="I118" s="36" t="str">
        <f>IF($M118&gt;0,"JLR rate card — material code "&amp;$K118,$Q118)</f>
        <v>UK resin distributor Jun 2026. TV housings, fridge liners, thermoforming sheet. coolFactor ~2.0 s/mm² Index-anchored 2026-07 (see RESIN PRICING BASIS). | Refresh 2026-09: +£0.399/kg from 1kg hips £0.970→£1.369/kg; premiums held</v>
      </c>
      <c r="J118" s="33" t="s">
        <v>1380</v>
      </c>
      <c r="K118" s="37" t="str">
        <f>IFERROR(INDEX(Mapping!$C$2:$C$549,MATCH($A118,Mapping!$A$2:$A$549,0)),"")</f>
        <v/>
      </c>
      <c r="L118" s="37">
        <f>IF($K118="",0,COUNTIFS('JLR Materials'!$A$2:$A$20001,$K118,'JLR Materials'!$C$2:$C$20001,IF(Settings!$B$2="","&lt;&gt;",Settings!$B$2),'JLR Materials'!$D$2:$D$20001,IF(Settings!$B$4="","&lt;&gt;",Settings!$B$4)))</f>
        <v>0</v>
      </c>
      <c r="M118" s="38">
        <f>IF($L118&lt;&gt;1,0,SUMIFS('JLR Materials'!$E$2:$E$20001,'JLR Materials'!$A$2:$A$20001,$K118,'JLR Materials'!$C$2:$C$20001,IF(Settings!$B$2="","&lt;&gt;",Settings!$B$2),'JLR Materials'!$D$2:$D$20001,IF(Settings!$B$4="","&lt;&gt;",Settings!$B$4)))</f>
        <v>0</v>
      </c>
      <c r="N118" s="39">
        <f>IF($L118&lt;&gt;1,0,SUMIFS('JLR Materials'!$F$2:$F$20001,'JLR Materials'!$A$2:$A$20001,$K118,'JLR Materials'!$C$2:$C$20001,IF(Settings!$B$2="","&lt;&gt;",Settings!$B$2),'JLR Materials'!$D$2:$D$20001,IF(Settings!$B$4="","&lt;&gt;",Settings!$B$4)))</f>
        <v>0</v>
      </c>
      <c r="O118" s="38">
        <f>IF($N118=0,0,IF(Settings!$B$5="percent",$M118*$N118/100,$N118))</f>
        <v>0</v>
      </c>
      <c r="P118" s="39">
        <f>IF($L118&lt;&gt;1,0,SUMIFS('JLR Materials'!$G$2:$G$20001,'JLR Materials'!$A$2:$A$20001,$K118,'JLR Materials'!$C$2:$C$20001,IF(Settings!$B$2="","&lt;&gt;",Settings!$B$2),'JLR Materials'!$D$2:$D$20001,IF(Settings!$B$4="","&lt;&gt;",Settings!$B$4)))</f>
        <v>0</v>
      </c>
      <c r="Q118" s="40" t="s">
        <v>1643</v>
      </c>
      <c r="R118" s="40" t="s">
        <v>1382</v>
      </c>
    </row>
    <row r="119" spans="1:18" x14ac:dyDescent="0.25">
      <c r="A119" s="32" t="s">
        <v>501</v>
      </c>
      <c r="B119" s="33" t="s">
        <v>1644</v>
      </c>
      <c r="C119" s="33" t="s">
        <v>1605</v>
      </c>
      <c r="D119" s="34">
        <f>IF($M119&gt;0,$M119,1.92)</f>
        <v>1.92</v>
      </c>
      <c r="E119" s="34">
        <f>IF($O119&gt;0,$O119,0.08)</f>
        <v>0.08</v>
      </c>
      <c r="F119" s="35">
        <v>1150</v>
      </c>
      <c r="G119" s="33" t="s">
        <v>1379</v>
      </c>
      <c r="H119" s="36" t="str">
        <f>IF($M119&gt;0,IF($L119&lt;&gt;1,$R119,IFERROR(INDEX('JLR Materials'!$D$2:$D$20001,MATCH($K119,'JLR Materials'!$A$2:$A$20001,0)),$R119)),$R119)</f>
        <v>2026-09</v>
      </c>
      <c r="I119" s="36" t="str">
        <f>IF($M119&gt;0,"JLR rate card — material code "&amp;$K119,$Q119)</f>
        <v>UK resin distributor Jun 2026. Automotive interior, electronics housings. coolFactor ~2.2 s/mm² Index-anchored 2026-07 (see RESIN PRICING BASIS). | Refresh 2026-09: −£0.026/kg from 0.6kg pc £1.000→£1.000/kg, 0.4kg abs £0.775→£0.710/kg; premiums held</v>
      </c>
      <c r="J119" s="33" t="s">
        <v>1380</v>
      </c>
      <c r="K119" s="37" t="str">
        <f>IFERROR(INDEX(Mapping!$C$2:$C$549,MATCH($A119,Mapping!$A$2:$A$549,0)),"")</f>
        <v/>
      </c>
      <c r="L119" s="37">
        <f>IF($K119="",0,COUNTIFS('JLR Materials'!$A$2:$A$20001,$K119,'JLR Materials'!$C$2:$C$20001,IF(Settings!$B$2="","&lt;&gt;",Settings!$B$2),'JLR Materials'!$D$2:$D$20001,IF(Settings!$B$4="","&lt;&gt;",Settings!$B$4)))</f>
        <v>0</v>
      </c>
      <c r="M119" s="38">
        <f>IF($L119&lt;&gt;1,0,SUMIFS('JLR Materials'!$E$2:$E$20001,'JLR Materials'!$A$2:$A$20001,$K119,'JLR Materials'!$C$2:$C$20001,IF(Settings!$B$2="","&lt;&gt;",Settings!$B$2),'JLR Materials'!$D$2:$D$20001,IF(Settings!$B$4="","&lt;&gt;",Settings!$B$4)))</f>
        <v>0</v>
      </c>
      <c r="N119" s="39">
        <f>IF($L119&lt;&gt;1,0,SUMIFS('JLR Materials'!$F$2:$F$20001,'JLR Materials'!$A$2:$A$20001,$K119,'JLR Materials'!$C$2:$C$20001,IF(Settings!$B$2="","&lt;&gt;",Settings!$B$2),'JLR Materials'!$D$2:$D$20001,IF(Settings!$B$4="","&lt;&gt;",Settings!$B$4)))</f>
        <v>0</v>
      </c>
      <c r="O119" s="38">
        <f>IF($N119=0,0,IF(Settings!$B$5="percent",$M119*$N119/100,$N119))</f>
        <v>0</v>
      </c>
      <c r="P119" s="39">
        <f>IF($L119&lt;&gt;1,0,SUMIFS('JLR Materials'!$G$2:$G$20001,'JLR Materials'!$A$2:$A$20001,$K119,'JLR Materials'!$C$2:$C$20001,IF(Settings!$B$2="","&lt;&gt;",Settings!$B$2),'JLR Materials'!$D$2:$D$20001,IF(Settings!$B$4="","&lt;&gt;",Settings!$B$4)))</f>
        <v>0</v>
      </c>
      <c r="Q119" s="40" t="s">
        <v>1645</v>
      </c>
      <c r="R119" s="40" t="s">
        <v>1382</v>
      </c>
    </row>
    <row r="120" spans="1:18" x14ac:dyDescent="0.25">
      <c r="A120" s="32" t="s">
        <v>503</v>
      </c>
      <c r="B120" s="33" t="s">
        <v>1646</v>
      </c>
      <c r="C120" s="33" t="s">
        <v>1605</v>
      </c>
      <c r="D120" s="34">
        <f>IF($M120&gt;0,$M120,1.68)</f>
        <v>1.68</v>
      </c>
      <c r="E120" s="34">
        <f>IF($O120&gt;0,$O120,0.06)</f>
        <v>0.06</v>
      </c>
      <c r="F120" s="35">
        <v>1130</v>
      </c>
      <c r="G120" s="33" t="s">
        <v>1379</v>
      </c>
      <c r="H120" s="36" t="str">
        <f>IF($M120&gt;0,IF($L120&lt;&gt;1,$R120,IFERROR(INDEX('JLR Materials'!$D$2:$D$20001,MATCH($K120,'JLR Materials'!$A$2:$A$20001,0)),$R120)),$R120)</f>
        <v>2026-09</v>
      </c>
      <c r="I120" s="36" t="str">
        <f>IF($M120&gt;0,"JLR rate card — material code "&amp;$K120,$Q120)</f>
        <v>UK resin distributor Jun 2026. Gears, under-hood. Moisture sensitive — dry before moulding. coolFactor ~2.0 s/mm² Index-anchored 2026-07 (see RESIN PRICING BASIS). | Refresh 2026-09: NOT SOURCED — pa6: Not sourced this period: engineering resin prices are paywalled (PIE/ICIS). Direction only: PC rising through Aug 2026, PA6 rebounding, PA66 under pressure, PET declining — no like-for-like June→Sep figures. Held at the June 2026 price.</v>
      </c>
      <c r="J120" s="33" t="s">
        <v>1380</v>
      </c>
      <c r="K120" s="37" t="str">
        <f>IFERROR(INDEX(Mapping!$C$2:$C$549,MATCH($A120,Mapping!$A$2:$A$549,0)),"")</f>
        <v/>
      </c>
      <c r="L120" s="37">
        <f>IF($K120="",0,COUNTIFS('JLR Materials'!$A$2:$A$20001,$K120,'JLR Materials'!$C$2:$C$20001,IF(Settings!$B$2="","&lt;&gt;",Settings!$B$2),'JLR Materials'!$D$2:$D$20001,IF(Settings!$B$4="","&lt;&gt;",Settings!$B$4)))</f>
        <v>0</v>
      </c>
      <c r="M120" s="38">
        <f>IF($L120&lt;&gt;1,0,SUMIFS('JLR Materials'!$E$2:$E$20001,'JLR Materials'!$A$2:$A$20001,$K120,'JLR Materials'!$C$2:$C$20001,IF(Settings!$B$2="","&lt;&gt;",Settings!$B$2),'JLR Materials'!$D$2:$D$20001,IF(Settings!$B$4="","&lt;&gt;",Settings!$B$4)))</f>
        <v>0</v>
      </c>
      <c r="N120" s="39">
        <f>IF($L120&lt;&gt;1,0,SUMIFS('JLR Materials'!$F$2:$F$20001,'JLR Materials'!$A$2:$A$20001,$K120,'JLR Materials'!$C$2:$C$20001,IF(Settings!$B$2="","&lt;&gt;",Settings!$B$2),'JLR Materials'!$D$2:$D$20001,IF(Settings!$B$4="","&lt;&gt;",Settings!$B$4)))</f>
        <v>0</v>
      </c>
      <c r="O120" s="38">
        <f>IF($N120=0,0,IF(Settings!$B$5="percent",$M120*$N120/100,$N120))</f>
        <v>0</v>
      </c>
      <c r="P120" s="39">
        <f>IF($L120&lt;&gt;1,0,SUMIFS('JLR Materials'!$G$2:$G$20001,'JLR Materials'!$A$2:$A$20001,$K120,'JLR Materials'!$C$2:$C$20001,IF(Settings!$B$2="","&lt;&gt;",Settings!$B$2),'JLR Materials'!$D$2:$D$20001,IF(Settings!$B$4="","&lt;&gt;",Settings!$B$4)))</f>
        <v>0</v>
      </c>
      <c r="Q120" s="40" t="s">
        <v>1647</v>
      </c>
      <c r="R120" s="40" t="s">
        <v>1382</v>
      </c>
    </row>
    <row r="121" spans="1:18" x14ac:dyDescent="0.25">
      <c r="A121" s="32" t="s">
        <v>505</v>
      </c>
      <c r="B121" s="33" t="s">
        <v>1648</v>
      </c>
      <c r="C121" s="33" t="s">
        <v>1605</v>
      </c>
      <c r="D121" s="34">
        <f>IF($M121&gt;0,$M121,2.52)</f>
        <v>2.52</v>
      </c>
      <c r="E121" s="34">
        <f>IF($O121&gt;0,$O121,0.05)</f>
        <v>0.05</v>
      </c>
      <c r="F121" s="35">
        <v>1280</v>
      </c>
      <c r="G121" s="33" t="s">
        <v>1379</v>
      </c>
      <c r="H121" s="36" t="str">
        <f>IF($M121&gt;0,IF($L121&lt;&gt;1,$R121,IFERROR(INDEX('JLR Materials'!$D$2:$D$20001,MATCH($K121,'JLR Materials'!$A$2:$A$20001,0)),$R121)),$R121)</f>
        <v>2026-09</v>
      </c>
      <c r="I121" s="36" t="str">
        <f>IF($M121&gt;0,"JLR rate card — material code "&amp;$K121,$Q121)</f>
        <v>UK resin distributor Jun 2026. Structural PA6 with glass fill. coolFactor ~2.0 s/mm² Index-anchored 2026-07 (see RESIN PRICING BASIS). | Refresh 2026-09: NOT SOURCED — pa6: Not sourced this period: engineering resin prices are paywalled (PIE/ICIS). Direction only: PC rising through Aug 2026, PA6 rebounding, PA66 under pressure, PET declining — no like-for-like June→Sep figures. Held at the June 2026 price.</v>
      </c>
      <c r="J121" s="33" t="s">
        <v>1380</v>
      </c>
      <c r="K121" s="37" t="str">
        <f>IFERROR(INDEX(Mapping!$C$2:$C$549,MATCH($A121,Mapping!$A$2:$A$549,0)),"")</f>
        <v/>
      </c>
      <c r="L121" s="37">
        <f>IF($K121="",0,COUNTIFS('JLR Materials'!$A$2:$A$20001,$K121,'JLR Materials'!$C$2:$C$20001,IF(Settings!$B$2="","&lt;&gt;",Settings!$B$2),'JLR Materials'!$D$2:$D$20001,IF(Settings!$B$4="","&lt;&gt;",Settings!$B$4)))</f>
        <v>0</v>
      </c>
      <c r="M121" s="38">
        <f>IF($L121&lt;&gt;1,0,SUMIFS('JLR Materials'!$E$2:$E$20001,'JLR Materials'!$A$2:$A$20001,$K121,'JLR Materials'!$C$2:$C$20001,IF(Settings!$B$2="","&lt;&gt;",Settings!$B$2),'JLR Materials'!$D$2:$D$20001,IF(Settings!$B$4="","&lt;&gt;",Settings!$B$4)))</f>
        <v>0</v>
      </c>
      <c r="N121" s="39">
        <f>IF($L121&lt;&gt;1,0,SUMIFS('JLR Materials'!$F$2:$F$20001,'JLR Materials'!$A$2:$A$20001,$K121,'JLR Materials'!$C$2:$C$20001,IF(Settings!$B$2="","&lt;&gt;",Settings!$B$2),'JLR Materials'!$D$2:$D$20001,IF(Settings!$B$4="","&lt;&gt;",Settings!$B$4)))</f>
        <v>0</v>
      </c>
      <c r="O121" s="38">
        <f>IF($N121=0,0,IF(Settings!$B$5="percent",$M121*$N121/100,$N121))</f>
        <v>0</v>
      </c>
      <c r="P121" s="39">
        <f>IF($L121&lt;&gt;1,0,SUMIFS('JLR Materials'!$G$2:$G$20001,'JLR Materials'!$A$2:$A$20001,$K121,'JLR Materials'!$C$2:$C$20001,IF(Settings!$B$2="","&lt;&gt;",Settings!$B$2),'JLR Materials'!$D$2:$D$20001,IF(Settings!$B$4="","&lt;&gt;",Settings!$B$4)))</f>
        <v>0</v>
      </c>
      <c r="Q121" s="40" t="s">
        <v>1649</v>
      </c>
      <c r="R121" s="40" t="s">
        <v>1382</v>
      </c>
    </row>
    <row r="122" spans="1:18" x14ac:dyDescent="0.25">
      <c r="A122" s="32" t="s">
        <v>507</v>
      </c>
      <c r="B122" s="33" t="s">
        <v>1650</v>
      </c>
      <c r="C122" s="33" t="s">
        <v>1605</v>
      </c>
      <c r="D122" s="34">
        <f>IF($M122&gt;0,$M122,1.89)</f>
        <v>1.89</v>
      </c>
      <c r="E122" s="34">
        <f>IF($O122&gt;0,$O122,0.06)</f>
        <v>0.06</v>
      </c>
      <c r="F122" s="35">
        <v>1140</v>
      </c>
      <c r="G122" s="33" t="s">
        <v>1379</v>
      </c>
      <c r="H122" s="36" t="str">
        <f>IF($M122&gt;0,IF($L122&lt;&gt;1,$R122,IFERROR(INDEX('JLR Materials'!$D$2:$D$20001,MATCH($K122,'JLR Materials'!$A$2:$A$20001,0)),$R122)),$R122)</f>
        <v>2026-09</v>
      </c>
      <c r="I122" s="36" t="str">
        <f>IF($M122&gt;0,"JLR rate card — material code "&amp;$K122,$Q122)</f>
        <v>UK resin distributor Jun 2026. Higher temp than PA6. Connectors, structural. coolFactor ~2.0 s/mm² Index-anchored 2026-07 (see RESIN PRICING BASIS). | Refresh 2026-09: NOT SOURCED — pa66: Not sourced this period: engineering resin prices are paywalled (PIE/ICIS). Direction only: PC rising through Aug 2026, PA6 rebounding, PA66 under pressure, PET declining — no like-for-like June→Sep figures. Held at the June 2026 price.</v>
      </c>
      <c r="J122" s="33" t="s">
        <v>1380</v>
      </c>
      <c r="K122" s="37" t="str">
        <f>IFERROR(INDEX(Mapping!$C$2:$C$549,MATCH($A122,Mapping!$A$2:$A$549,0)),"")</f>
        <v/>
      </c>
      <c r="L122" s="37">
        <f>IF($K122="",0,COUNTIFS('JLR Materials'!$A$2:$A$20001,$K122,'JLR Materials'!$C$2:$C$20001,IF(Settings!$B$2="","&lt;&gt;",Settings!$B$2),'JLR Materials'!$D$2:$D$20001,IF(Settings!$B$4="","&lt;&gt;",Settings!$B$4)))</f>
        <v>0</v>
      </c>
      <c r="M122" s="38">
        <f>IF($L122&lt;&gt;1,0,SUMIFS('JLR Materials'!$E$2:$E$20001,'JLR Materials'!$A$2:$A$20001,$K122,'JLR Materials'!$C$2:$C$20001,IF(Settings!$B$2="","&lt;&gt;",Settings!$B$2),'JLR Materials'!$D$2:$D$20001,IF(Settings!$B$4="","&lt;&gt;",Settings!$B$4)))</f>
        <v>0</v>
      </c>
      <c r="N122" s="39">
        <f>IF($L122&lt;&gt;1,0,SUMIFS('JLR Materials'!$F$2:$F$20001,'JLR Materials'!$A$2:$A$20001,$K122,'JLR Materials'!$C$2:$C$20001,IF(Settings!$B$2="","&lt;&gt;",Settings!$B$2),'JLR Materials'!$D$2:$D$20001,IF(Settings!$B$4="","&lt;&gt;",Settings!$B$4)))</f>
        <v>0</v>
      </c>
      <c r="O122" s="38">
        <f>IF($N122=0,0,IF(Settings!$B$5="percent",$M122*$N122/100,$N122))</f>
        <v>0</v>
      </c>
      <c r="P122" s="39">
        <f>IF($L122&lt;&gt;1,0,SUMIFS('JLR Materials'!$G$2:$G$20001,'JLR Materials'!$A$2:$A$20001,$K122,'JLR Materials'!$C$2:$C$20001,IF(Settings!$B$2="","&lt;&gt;",Settings!$B$2),'JLR Materials'!$D$2:$D$20001,IF(Settings!$B$4="","&lt;&gt;",Settings!$B$4)))</f>
        <v>0</v>
      </c>
      <c r="Q122" s="40" t="s">
        <v>1651</v>
      </c>
      <c r="R122" s="40" t="s">
        <v>1382</v>
      </c>
    </row>
    <row r="123" spans="1:18" x14ac:dyDescent="0.25">
      <c r="A123" s="32" t="s">
        <v>509</v>
      </c>
      <c r="B123" s="33" t="s">
        <v>1652</v>
      </c>
      <c r="C123" s="33" t="s">
        <v>1653</v>
      </c>
      <c r="D123" s="34">
        <f>IF($M123&gt;0,$M123,76)</f>
        <v>76</v>
      </c>
      <c r="E123" s="34">
        <f>IF($O123&gt;0,$O123,5)</f>
        <v>5</v>
      </c>
      <c r="F123" s="35">
        <v>1300</v>
      </c>
      <c r="G123" s="33" t="s">
        <v>1379</v>
      </c>
      <c r="H123" s="36" t="str">
        <f>IF($M123&gt;0,IF($L123&lt;&gt;1,$R123,IFERROR(INDEX('JLR Materials'!$D$2:$D$20001,MATCH($K123,'JLR Materials'!$A$2:$A$20001,0)),$R123)),$R123)</f>
        <v>2026-09</v>
      </c>
      <c r="I123" s="36" t="str">
        <f>IF($M123&gt;0,"JLR rate card — material code "&amp;$K123,$Q123)</f>
        <v>UK speciality resin supplier Jun 2026. Aerospace/medical/oil&amp;gas. High temp (Tg~143°C, use to 250°C). coolFactor ~2.5 s/mm² Index-anchored 2026-07 (see RESIN PRICING BASIS). | Refresh 2026-09: SPECIALTY — no public market index for this grade; held at the June 2026 price — refresh by supplier quote</v>
      </c>
      <c r="J123" s="33" t="s">
        <v>1393</v>
      </c>
      <c r="K123" s="37" t="str">
        <f>IFERROR(INDEX(Mapping!$C$2:$C$549,MATCH($A123,Mapping!$A$2:$A$549,0)),"")</f>
        <v/>
      </c>
      <c r="L123" s="37">
        <f>IF($K123="",0,COUNTIFS('JLR Materials'!$A$2:$A$20001,$K123,'JLR Materials'!$C$2:$C$20001,IF(Settings!$B$2="","&lt;&gt;",Settings!$B$2),'JLR Materials'!$D$2:$D$20001,IF(Settings!$B$4="","&lt;&gt;",Settings!$B$4)))</f>
        <v>0</v>
      </c>
      <c r="M123" s="38">
        <f>IF($L123&lt;&gt;1,0,SUMIFS('JLR Materials'!$E$2:$E$20001,'JLR Materials'!$A$2:$A$20001,$K123,'JLR Materials'!$C$2:$C$20001,IF(Settings!$B$2="","&lt;&gt;",Settings!$B$2),'JLR Materials'!$D$2:$D$20001,IF(Settings!$B$4="","&lt;&gt;",Settings!$B$4)))</f>
        <v>0</v>
      </c>
      <c r="N123" s="39">
        <f>IF($L123&lt;&gt;1,0,SUMIFS('JLR Materials'!$F$2:$F$20001,'JLR Materials'!$A$2:$A$20001,$K123,'JLR Materials'!$C$2:$C$20001,IF(Settings!$B$2="","&lt;&gt;",Settings!$B$2),'JLR Materials'!$D$2:$D$20001,IF(Settings!$B$4="","&lt;&gt;",Settings!$B$4)))</f>
        <v>0</v>
      </c>
      <c r="O123" s="38">
        <f>IF($N123=0,0,IF(Settings!$B$5="percent",$M123*$N123/100,$N123))</f>
        <v>0</v>
      </c>
      <c r="P123" s="39">
        <f>IF($L123&lt;&gt;1,0,SUMIFS('JLR Materials'!$G$2:$G$20001,'JLR Materials'!$A$2:$A$20001,$K123,'JLR Materials'!$C$2:$C$20001,IF(Settings!$B$2="","&lt;&gt;",Settings!$B$2),'JLR Materials'!$D$2:$D$20001,IF(Settings!$B$4="","&lt;&gt;",Settings!$B$4)))</f>
        <v>0</v>
      </c>
      <c r="Q123" s="40" t="s">
        <v>1654</v>
      </c>
      <c r="R123" s="40" t="s">
        <v>1382</v>
      </c>
    </row>
    <row r="124" spans="1:18" x14ac:dyDescent="0.25">
      <c r="A124" s="32" t="s">
        <v>511</v>
      </c>
      <c r="B124" s="33" t="s">
        <v>1655</v>
      </c>
      <c r="C124" s="33" t="s">
        <v>1653</v>
      </c>
      <c r="D124" s="34">
        <f>IF($M124&gt;0,$M124,93)</f>
        <v>93</v>
      </c>
      <c r="E124" s="34">
        <f>IF($O124&gt;0,$O124,5)</f>
        <v>5</v>
      </c>
      <c r="F124" s="35">
        <v>1430</v>
      </c>
      <c r="G124" s="33" t="s">
        <v>1379</v>
      </c>
      <c r="H124" s="36" t="str">
        <f>IF($M124&gt;0,IF($L124&lt;&gt;1,$R124,IFERROR(INDEX('JLR Materials'!$D$2:$D$20001,MATCH($K124,'JLR Materials'!$A$2:$A$20001,0)),$R124)),$R124)</f>
        <v>2026-09</v>
      </c>
      <c r="I124" s="36" t="str">
        <f>IF($M124&gt;0,"JLR rate card — material code "&amp;$K124,$Q124)</f>
        <v>UK speciality resin supplier Jun 2026. High-stiffness structural PEEK. Index-anchored 2026-07 (see RESIN PRICING BASIS). | Refresh 2026-09: SPECIALTY — no public market index for this grade; held at the June 2026 price — refresh by supplier quote</v>
      </c>
      <c r="J124" s="33" t="s">
        <v>1393</v>
      </c>
      <c r="K124" s="37" t="str">
        <f>IFERROR(INDEX(Mapping!$C$2:$C$549,MATCH($A124,Mapping!$A$2:$A$549,0)),"")</f>
        <v/>
      </c>
      <c r="L124" s="37">
        <f>IF($K124="",0,COUNTIFS('JLR Materials'!$A$2:$A$20001,$K124,'JLR Materials'!$C$2:$C$20001,IF(Settings!$B$2="","&lt;&gt;",Settings!$B$2),'JLR Materials'!$D$2:$D$20001,IF(Settings!$B$4="","&lt;&gt;",Settings!$B$4)))</f>
        <v>0</v>
      </c>
      <c r="M124" s="38">
        <f>IF($L124&lt;&gt;1,0,SUMIFS('JLR Materials'!$E$2:$E$20001,'JLR Materials'!$A$2:$A$20001,$K124,'JLR Materials'!$C$2:$C$20001,IF(Settings!$B$2="","&lt;&gt;",Settings!$B$2),'JLR Materials'!$D$2:$D$20001,IF(Settings!$B$4="","&lt;&gt;",Settings!$B$4)))</f>
        <v>0</v>
      </c>
      <c r="N124" s="39">
        <f>IF($L124&lt;&gt;1,0,SUMIFS('JLR Materials'!$F$2:$F$20001,'JLR Materials'!$A$2:$A$20001,$K124,'JLR Materials'!$C$2:$C$20001,IF(Settings!$B$2="","&lt;&gt;",Settings!$B$2),'JLR Materials'!$D$2:$D$20001,IF(Settings!$B$4="","&lt;&gt;",Settings!$B$4)))</f>
        <v>0</v>
      </c>
      <c r="O124" s="38">
        <f>IF($N124=0,0,IF(Settings!$B$5="percent",$M124*$N124/100,$N124))</f>
        <v>0</v>
      </c>
      <c r="P124" s="39">
        <f>IF($L124&lt;&gt;1,0,SUMIFS('JLR Materials'!$G$2:$G$20001,'JLR Materials'!$A$2:$A$20001,$K124,'JLR Materials'!$C$2:$C$20001,IF(Settings!$B$2="","&lt;&gt;",Settings!$B$2),'JLR Materials'!$D$2:$D$20001,IF(Settings!$B$4="","&lt;&gt;",Settings!$B$4)))</f>
        <v>0</v>
      </c>
      <c r="Q124" s="40" t="s">
        <v>1656</v>
      </c>
      <c r="R124" s="40" t="s">
        <v>1382</v>
      </c>
    </row>
    <row r="125" spans="1:18" x14ac:dyDescent="0.25">
      <c r="A125" s="32" t="s">
        <v>513</v>
      </c>
      <c r="B125" s="33" t="s">
        <v>1657</v>
      </c>
      <c r="C125" s="33" t="s">
        <v>1605</v>
      </c>
      <c r="D125" s="34">
        <f>IF($M125&gt;0,$M125,2.24)</f>
        <v>2.24</v>
      </c>
      <c r="E125" s="34">
        <f>IF($O125&gt;0,$O125,0.1)</f>
        <v>0.1</v>
      </c>
      <c r="F125" s="35">
        <v>1070</v>
      </c>
      <c r="G125" s="33" t="s">
        <v>1379</v>
      </c>
      <c r="H125" s="36" t="str">
        <f>IF($M125&gt;0,IF($L125&lt;&gt;1,$R125,IFERROR(INDEX('JLR Materials'!$D$2:$D$20001,MATCH($K125,'JLR Materials'!$A$2:$A$20001,0)),$R125)),$R125)</f>
        <v>2026-09</v>
      </c>
      <c r="I125" s="36" t="str">
        <f>IF($M125&gt;0,"JLR rate card — material code "&amp;$K125,$Q125)</f>
        <v>UK resin distributor. Index-anchored 2026-07 (see RESIN PRICING BASIS). UV-stable styrenic — exterior trim, grilles, mirror caps, roof rails. coolFactor ~2.0 s/mm². | Refresh 2026-09: −£0.065/kg from 1kg abs £0.775→£0.710/kg; premiums held</v>
      </c>
      <c r="J125" s="33" t="s">
        <v>1393</v>
      </c>
      <c r="K125" s="37" t="str">
        <f>IFERROR(INDEX(Mapping!$C$2:$C$549,MATCH($A125,Mapping!$A$2:$A$549,0)),"")</f>
        <v/>
      </c>
      <c r="L125" s="37">
        <f>IF($K125="",0,COUNTIFS('JLR Materials'!$A$2:$A$20001,$K125,'JLR Materials'!$C$2:$C$20001,IF(Settings!$B$2="","&lt;&gt;",Settings!$B$2),'JLR Materials'!$D$2:$D$20001,IF(Settings!$B$4="","&lt;&gt;",Settings!$B$4)))</f>
        <v>0</v>
      </c>
      <c r="M125" s="38">
        <f>IF($L125&lt;&gt;1,0,SUMIFS('JLR Materials'!$E$2:$E$20001,'JLR Materials'!$A$2:$A$20001,$K125,'JLR Materials'!$C$2:$C$20001,IF(Settings!$B$2="","&lt;&gt;",Settings!$B$2),'JLR Materials'!$D$2:$D$20001,IF(Settings!$B$4="","&lt;&gt;",Settings!$B$4)))</f>
        <v>0</v>
      </c>
      <c r="N125" s="39">
        <f>IF($L125&lt;&gt;1,0,SUMIFS('JLR Materials'!$F$2:$F$20001,'JLR Materials'!$A$2:$A$20001,$K125,'JLR Materials'!$C$2:$C$20001,IF(Settings!$B$2="","&lt;&gt;",Settings!$B$2),'JLR Materials'!$D$2:$D$20001,IF(Settings!$B$4="","&lt;&gt;",Settings!$B$4)))</f>
        <v>0</v>
      </c>
      <c r="O125" s="38">
        <f>IF($N125=0,0,IF(Settings!$B$5="percent",$M125*$N125/100,$N125))</f>
        <v>0</v>
      </c>
      <c r="P125" s="39">
        <f>IF($L125&lt;&gt;1,0,SUMIFS('JLR Materials'!$G$2:$G$20001,'JLR Materials'!$A$2:$A$20001,$K125,'JLR Materials'!$C$2:$C$20001,IF(Settings!$B$2="","&lt;&gt;",Settings!$B$2),'JLR Materials'!$D$2:$D$20001,IF(Settings!$B$4="","&lt;&gt;",Settings!$B$4)))</f>
        <v>0</v>
      </c>
      <c r="Q125" s="40" t="s">
        <v>1658</v>
      </c>
      <c r="R125" s="40" t="s">
        <v>1382</v>
      </c>
    </row>
    <row r="126" spans="1:18" x14ac:dyDescent="0.25">
      <c r="A126" s="32" t="s">
        <v>515</v>
      </c>
      <c r="B126" s="33" t="s">
        <v>1659</v>
      </c>
      <c r="C126" s="33" t="s">
        <v>1605</v>
      </c>
      <c r="D126" s="34">
        <f>IF($M126&gt;0,$M126,1.69)</f>
        <v>1.69</v>
      </c>
      <c r="E126" s="34">
        <f>IF($O126&gt;0,$O126,0.08)</f>
        <v>0.08</v>
      </c>
      <c r="F126" s="35">
        <v>1080</v>
      </c>
      <c r="G126" s="33" t="s">
        <v>1379</v>
      </c>
      <c r="H126" s="36" t="str">
        <f>IF($M126&gt;0,IF($L126&lt;&gt;1,$R126,IFERROR(INDEX('JLR Materials'!$D$2:$D$20001,MATCH($K126,'JLR Materials'!$A$2:$A$20001,0)),$R126)),$R126)</f>
        <v>2026-09</v>
      </c>
      <c r="I126" s="36" t="str">
        <f>IF($M126&gt;0,"JLR rate card — material code "&amp;$K126,$Q126)</f>
        <v>UK resin distributor. Index-anchored 2026-07. Rigid, clear, chemical-resistant — housewares, cosmetics, lenses. coolFactor ~2.0 s/mm². | Refresh 2026-09: −£0.065/kg from 1kg abs £0.775→£0.710/kg; premiums held</v>
      </c>
      <c r="J126" s="33" t="s">
        <v>1393</v>
      </c>
      <c r="K126" s="37" t="str">
        <f>IFERROR(INDEX(Mapping!$C$2:$C$549,MATCH($A126,Mapping!$A$2:$A$549,0)),"")</f>
        <v/>
      </c>
      <c r="L126" s="37">
        <f>IF($K126="",0,COUNTIFS('JLR Materials'!$A$2:$A$20001,$K126,'JLR Materials'!$C$2:$C$20001,IF(Settings!$B$2="","&lt;&gt;",Settings!$B$2),'JLR Materials'!$D$2:$D$20001,IF(Settings!$B$4="","&lt;&gt;",Settings!$B$4)))</f>
        <v>0</v>
      </c>
      <c r="M126" s="38">
        <f>IF($L126&lt;&gt;1,0,SUMIFS('JLR Materials'!$E$2:$E$20001,'JLR Materials'!$A$2:$A$20001,$K126,'JLR Materials'!$C$2:$C$20001,IF(Settings!$B$2="","&lt;&gt;",Settings!$B$2),'JLR Materials'!$D$2:$D$20001,IF(Settings!$B$4="","&lt;&gt;",Settings!$B$4)))</f>
        <v>0</v>
      </c>
      <c r="N126" s="39">
        <f>IF($L126&lt;&gt;1,0,SUMIFS('JLR Materials'!$F$2:$F$20001,'JLR Materials'!$A$2:$A$20001,$K126,'JLR Materials'!$C$2:$C$20001,IF(Settings!$B$2="","&lt;&gt;",Settings!$B$2),'JLR Materials'!$D$2:$D$20001,IF(Settings!$B$4="","&lt;&gt;",Settings!$B$4)))</f>
        <v>0</v>
      </c>
      <c r="O126" s="38">
        <f>IF($N126=0,0,IF(Settings!$B$5="percent",$M126*$N126/100,$N126))</f>
        <v>0</v>
      </c>
      <c r="P126" s="39">
        <f>IF($L126&lt;&gt;1,0,SUMIFS('JLR Materials'!$G$2:$G$20001,'JLR Materials'!$A$2:$A$20001,$K126,'JLR Materials'!$C$2:$C$20001,IF(Settings!$B$2="","&lt;&gt;",Settings!$B$2),'JLR Materials'!$D$2:$D$20001,IF(Settings!$B$4="","&lt;&gt;",Settings!$B$4)))</f>
        <v>0</v>
      </c>
      <c r="Q126" s="40" t="s">
        <v>1660</v>
      </c>
      <c r="R126" s="40" t="s">
        <v>1382</v>
      </c>
    </row>
    <row r="127" spans="1:18" x14ac:dyDescent="0.25">
      <c r="A127" s="32" t="s">
        <v>517</v>
      </c>
      <c r="B127" s="33" t="s">
        <v>1661</v>
      </c>
      <c r="C127" s="33" t="s">
        <v>1605</v>
      </c>
      <c r="D127" s="34">
        <f>IF($M127&gt;0,$M127,1.27)</f>
        <v>1.27</v>
      </c>
      <c r="E127" s="34">
        <f>IF($O127&gt;0,$O127,0.1)</f>
        <v>0.1</v>
      </c>
      <c r="F127" s="35">
        <v>1050</v>
      </c>
      <c r="G127" s="33" t="s">
        <v>1379</v>
      </c>
      <c r="H127" s="36" t="str">
        <f>IF($M127&gt;0,IF($L127&lt;&gt;1,$R127,IFERROR(INDEX('JLR Materials'!$D$2:$D$20001,MATCH($K127,'JLR Materials'!$A$2:$A$20001,0)),$R127)),$R127)</f>
        <v>2026-09</v>
      </c>
      <c r="I127" s="36" t="str">
        <f>IF($M127&gt;0,"JLR rate card — material code "&amp;$K127,$Q127)</f>
        <v>UK resin distributor. Index-anchored 2026-07. Stiffened PP — instrument-panel carriers, interior trim, HVAC. coolFactor ~3.0 s/mm². | Refresh 2026-09: +£0.022/kg from 0.8kg pp £0.960→£0.987/kg; premiums held</v>
      </c>
      <c r="J127" s="33" t="s">
        <v>1393</v>
      </c>
      <c r="K127" s="37" t="str">
        <f>IFERROR(INDEX(Mapping!$C$2:$C$549,MATCH($A127,Mapping!$A$2:$A$549,0)),"")</f>
        <v/>
      </c>
      <c r="L127" s="37">
        <f>IF($K127="",0,COUNTIFS('JLR Materials'!$A$2:$A$20001,$K127,'JLR Materials'!$C$2:$C$20001,IF(Settings!$B$2="","&lt;&gt;",Settings!$B$2),'JLR Materials'!$D$2:$D$20001,IF(Settings!$B$4="","&lt;&gt;",Settings!$B$4)))</f>
        <v>0</v>
      </c>
      <c r="M127" s="38">
        <f>IF($L127&lt;&gt;1,0,SUMIFS('JLR Materials'!$E$2:$E$20001,'JLR Materials'!$A$2:$A$20001,$K127,'JLR Materials'!$C$2:$C$20001,IF(Settings!$B$2="","&lt;&gt;",Settings!$B$2),'JLR Materials'!$D$2:$D$20001,IF(Settings!$B$4="","&lt;&gt;",Settings!$B$4)))</f>
        <v>0</v>
      </c>
      <c r="N127" s="39">
        <f>IF($L127&lt;&gt;1,0,SUMIFS('JLR Materials'!$F$2:$F$20001,'JLR Materials'!$A$2:$A$20001,$K127,'JLR Materials'!$C$2:$C$20001,IF(Settings!$B$2="","&lt;&gt;",Settings!$B$2),'JLR Materials'!$D$2:$D$20001,IF(Settings!$B$4="","&lt;&gt;",Settings!$B$4)))</f>
        <v>0</v>
      </c>
      <c r="O127" s="38">
        <f>IF($N127=0,0,IF(Settings!$B$5="percent",$M127*$N127/100,$N127))</f>
        <v>0</v>
      </c>
      <c r="P127" s="39">
        <f>IF($L127&lt;&gt;1,0,SUMIFS('JLR Materials'!$G$2:$G$20001,'JLR Materials'!$A$2:$A$20001,$K127,'JLR Materials'!$C$2:$C$20001,IF(Settings!$B$2="","&lt;&gt;",Settings!$B$2),'JLR Materials'!$D$2:$D$20001,IF(Settings!$B$4="","&lt;&gt;",Settings!$B$4)))</f>
        <v>0</v>
      </c>
      <c r="Q127" s="40" t="s">
        <v>1662</v>
      </c>
      <c r="R127" s="40" t="s">
        <v>1382</v>
      </c>
    </row>
    <row r="128" spans="1:18" x14ac:dyDescent="0.25">
      <c r="A128" s="32" t="s">
        <v>519</v>
      </c>
      <c r="B128" s="33" t="s">
        <v>1663</v>
      </c>
      <c r="C128" s="33" t="s">
        <v>1605</v>
      </c>
      <c r="D128" s="34">
        <f>IF($M128&gt;0,$M128,1.37)</f>
        <v>1.37</v>
      </c>
      <c r="E128" s="34">
        <f>IF($O128&gt;0,$O128,0.1)</f>
        <v>0.1</v>
      </c>
      <c r="F128" s="35">
        <v>1130</v>
      </c>
      <c r="G128" s="33" t="s">
        <v>1379</v>
      </c>
      <c r="H128" s="36" t="str">
        <f>IF($M128&gt;0,IF($L128&lt;&gt;1,$R128,IFERROR(INDEX('JLR Materials'!$D$2:$D$20001,MATCH($K128,'JLR Materials'!$A$2:$A$20001,0)),$R128)),$R128)</f>
        <v>2026-09</v>
      </c>
      <c r="I128" s="36" t="str">
        <f>IF($M128&gt;0,"JLR rate card — material code "&amp;$K128,$Q128)</f>
        <v>UK resin distributor. Index-anchored 2026-07. High-stiffness PP — bumper carriers, door panels, under-body shields. coolFactor ~3.0 s/mm². | Refresh 2026-09: +£0.019/kg from 0.7kg pp £0.960→£0.987/kg; premiums held</v>
      </c>
      <c r="J128" s="33" t="s">
        <v>1393</v>
      </c>
      <c r="K128" s="37" t="str">
        <f>IFERROR(INDEX(Mapping!$C$2:$C$549,MATCH($A128,Mapping!$A$2:$A$549,0)),"")</f>
        <v/>
      </c>
      <c r="L128" s="37">
        <f>IF($K128="",0,COUNTIFS('JLR Materials'!$A$2:$A$20001,$K128,'JLR Materials'!$C$2:$C$20001,IF(Settings!$B$2="","&lt;&gt;",Settings!$B$2),'JLR Materials'!$D$2:$D$20001,IF(Settings!$B$4="","&lt;&gt;",Settings!$B$4)))</f>
        <v>0</v>
      </c>
      <c r="M128" s="38">
        <f>IF($L128&lt;&gt;1,0,SUMIFS('JLR Materials'!$E$2:$E$20001,'JLR Materials'!$A$2:$A$20001,$K128,'JLR Materials'!$C$2:$C$20001,IF(Settings!$B$2="","&lt;&gt;",Settings!$B$2),'JLR Materials'!$D$2:$D$20001,IF(Settings!$B$4="","&lt;&gt;",Settings!$B$4)))</f>
        <v>0</v>
      </c>
      <c r="N128" s="39">
        <f>IF($L128&lt;&gt;1,0,SUMIFS('JLR Materials'!$F$2:$F$20001,'JLR Materials'!$A$2:$A$20001,$K128,'JLR Materials'!$C$2:$C$20001,IF(Settings!$B$2="","&lt;&gt;",Settings!$B$2),'JLR Materials'!$D$2:$D$20001,IF(Settings!$B$4="","&lt;&gt;",Settings!$B$4)))</f>
        <v>0</v>
      </c>
      <c r="O128" s="38">
        <f>IF($N128=0,0,IF(Settings!$B$5="percent",$M128*$N128/100,$N128))</f>
        <v>0</v>
      </c>
      <c r="P128" s="39">
        <f>IF($L128&lt;&gt;1,0,SUMIFS('JLR Materials'!$G$2:$G$20001,'JLR Materials'!$A$2:$A$20001,$K128,'JLR Materials'!$C$2:$C$20001,IF(Settings!$B$2="","&lt;&gt;",Settings!$B$2),'JLR Materials'!$D$2:$D$20001,IF(Settings!$B$4="","&lt;&gt;",Settings!$B$4)))</f>
        <v>0</v>
      </c>
      <c r="Q128" s="40" t="s">
        <v>1664</v>
      </c>
      <c r="R128" s="40" t="s">
        <v>1382</v>
      </c>
    </row>
    <row r="129" spans="1:18" x14ac:dyDescent="0.25">
      <c r="A129" s="32" t="s">
        <v>521</v>
      </c>
      <c r="B129" s="33" t="s">
        <v>1665</v>
      </c>
      <c r="C129" s="33" t="s">
        <v>1605</v>
      </c>
      <c r="D129" s="34">
        <f>IF($M129&gt;0,$M129,2.62)</f>
        <v>2.62</v>
      </c>
      <c r="E129" s="34">
        <f>IF($O129&gt;0,$O129,0.08)</f>
        <v>0.08</v>
      </c>
      <c r="F129" s="35">
        <v>1120</v>
      </c>
      <c r="G129" s="33" t="s">
        <v>1379</v>
      </c>
      <c r="H129" s="36" t="str">
        <f>IF($M129&gt;0,IF($L129&lt;&gt;1,$R129,IFERROR(INDEX('JLR Materials'!$D$2:$D$20001,MATCH($K129,'JLR Materials'!$A$2:$A$20001,0)),$R129)),$R129)</f>
        <v>2026-09</v>
      </c>
      <c r="I129" s="36" t="str">
        <f>IF($M129&gt;0,"JLR rate card — material code "&amp;$K129,$Q129)</f>
        <v>UK resin distributor. Index-anchored 2026-07. Long-glass-fibre PP — structural front-end carriers, door modules, seat structures (metal replacement). coolFactor ~3.0 s/mm². | Refresh 2026-09: +£0.019/kg from 0.7kg pp £0.960→£0.987/kg; premiums held</v>
      </c>
      <c r="J129" s="33" t="s">
        <v>1393</v>
      </c>
      <c r="K129" s="37" t="str">
        <f>IFERROR(INDEX(Mapping!$C$2:$C$549,MATCH($A129,Mapping!$A$2:$A$549,0)),"")</f>
        <v/>
      </c>
      <c r="L129" s="37">
        <f>IF($K129="",0,COUNTIFS('JLR Materials'!$A$2:$A$20001,$K129,'JLR Materials'!$C$2:$C$20001,IF(Settings!$B$2="","&lt;&gt;",Settings!$B$2),'JLR Materials'!$D$2:$D$20001,IF(Settings!$B$4="","&lt;&gt;",Settings!$B$4)))</f>
        <v>0</v>
      </c>
      <c r="M129" s="38">
        <f>IF($L129&lt;&gt;1,0,SUMIFS('JLR Materials'!$E$2:$E$20001,'JLR Materials'!$A$2:$A$20001,$K129,'JLR Materials'!$C$2:$C$20001,IF(Settings!$B$2="","&lt;&gt;",Settings!$B$2),'JLR Materials'!$D$2:$D$20001,IF(Settings!$B$4="","&lt;&gt;",Settings!$B$4)))</f>
        <v>0</v>
      </c>
      <c r="N129" s="39">
        <f>IF($L129&lt;&gt;1,0,SUMIFS('JLR Materials'!$F$2:$F$20001,'JLR Materials'!$A$2:$A$20001,$K129,'JLR Materials'!$C$2:$C$20001,IF(Settings!$B$2="","&lt;&gt;",Settings!$B$2),'JLR Materials'!$D$2:$D$20001,IF(Settings!$B$4="","&lt;&gt;",Settings!$B$4)))</f>
        <v>0</v>
      </c>
      <c r="O129" s="38">
        <f>IF($N129=0,0,IF(Settings!$B$5="percent",$M129*$N129/100,$N129))</f>
        <v>0</v>
      </c>
      <c r="P129" s="39">
        <f>IF($L129&lt;&gt;1,0,SUMIFS('JLR Materials'!$G$2:$G$20001,'JLR Materials'!$A$2:$A$20001,$K129,'JLR Materials'!$C$2:$C$20001,IF(Settings!$B$2="","&lt;&gt;",Settings!$B$2),'JLR Materials'!$D$2:$D$20001,IF(Settings!$B$4="","&lt;&gt;",Settings!$B$4)))</f>
        <v>0</v>
      </c>
      <c r="Q129" s="40" t="s">
        <v>1666</v>
      </c>
      <c r="R129" s="40" t="s">
        <v>1382</v>
      </c>
    </row>
    <row r="130" spans="1:18" x14ac:dyDescent="0.25">
      <c r="A130" s="32" t="s">
        <v>523</v>
      </c>
      <c r="B130" s="33" t="s">
        <v>1667</v>
      </c>
      <c r="C130" s="33" t="s">
        <v>1605</v>
      </c>
      <c r="D130" s="34">
        <f>IF($M130&gt;0,$M130,1.87)</f>
        <v>1.87</v>
      </c>
      <c r="E130" s="34">
        <f>IF($O130&gt;0,$O130,0.1)</f>
        <v>0.1</v>
      </c>
      <c r="F130" s="35">
        <v>900</v>
      </c>
      <c r="G130" s="33" t="s">
        <v>1379</v>
      </c>
      <c r="H130" s="36" t="str">
        <f>IF($M130&gt;0,IF($L130&lt;&gt;1,$R130,IFERROR(INDEX('JLR Materials'!$D$2:$D$20001,MATCH($K130,'JLR Materials'!$A$2:$A$20001,0)),$R130)),$R130)</f>
        <v>2026-09</v>
      </c>
      <c r="I130" s="36" t="str">
        <f>IF($M130&gt;0,"JLR rate card — material code "&amp;$K130,$Q130)</f>
        <v>UK resin distributor. Index-anchored 2026-07. Soft-touch olefinic — bumper fascia, cladding, skin/airbag covers. coolFactor ~3.2 s/mm². | Refresh 2026-09: +£0.019/kg from 0.7kg pp £0.960→£0.987/kg, 0.25kg epdm £1.000→£1.000/kg; premiums held</v>
      </c>
      <c r="J130" s="33" t="s">
        <v>1393</v>
      </c>
      <c r="K130" s="37" t="str">
        <f>IFERROR(INDEX(Mapping!$C$2:$C$549,MATCH($A130,Mapping!$A$2:$A$549,0)),"")</f>
        <v/>
      </c>
      <c r="L130" s="37">
        <f>IF($K130="",0,COUNTIFS('JLR Materials'!$A$2:$A$20001,$K130,'JLR Materials'!$C$2:$C$20001,IF(Settings!$B$2="","&lt;&gt;",Settings!$B$2),'JLR Materials'!$D$2:$D$20001,IF(Settings!$B$4="","&lt;&gt;",Settings!$B$4)))</f>
        <v>0</v>
      </c>
      <c r="M130" s="38">
        <f>IF($L130&lt;&gt;1,0,SUMIFS('JLR Materials'!$E$2:$E$20001,'JLR Materials'!$A$2:$A$20001,$K130,'JLR Materials'!$C$2:$C$20001,IF(Settings!$B$2="","&lt;&gt;",Settings!$B$2),'JLR Materials'!$D$2:$D$20001,IF(Settings!$B$4="","&lt;&gt;",Settings!$B$4)))</f>
        <v>0</v>
      </c>
      <c r="N130" s="39">
        <f>IF($L130&lt;&gt;1,0,SUMIFS('JLR Materials'!$F$2:$F$20001,'JLR Materials'!$A$2:$A$20001,$K130,'JLR Materials'!$C$2:$C$20001,IF(Settings!$B$2="","&lt;&gt;",Settings!$B$2),'JLR Materials'!$D$2:$D$20001,IF(Settings!$B$4="","&lt;&gt;",Settings!$B$4)))</f>
        <v>0</v>
      </c>
      <c r="O130" s="38">
        <f>IF($N130=0,0,IF(Settings!$B$5="percent",$M130*$N130/100,$N130))</f>
        <v>0</v>
      </c>
      <c r="P130" s="39">
        <f>IF($L130&lt;&gt;1,0,SUMIFS('JLR Materials'!$G$2:$G$20001,'JLR Materials'!$A$2:$A$20001,$K130,'JLR Materials'!$C$2:$C$20001,IF(Settings!$B$2="","&lt;&gt;",Settings!$B$2),'JLR Materials'!$D$2:$D$20001,IF(Settings!$B$4="","&lt;&gt;",Settings!$B$4)))</f>
        <v>0</v>
      </c>
      <c r="Q130" s="40" t="s">
        <v>1668</v>
      </c>
      <c r="R130" s="40" t="s">
        <v>1382</v>
      </c>
    </row>
    <row r="131" spans="1:18" x14ac:dyDescent="0.25">
      <c r="A131" s="32" t="s">
        <v>525</v>
      </c>
      <c r="B131" s="33" t="s">
        <v>1669</v>
      </c>
      <c r="C131" s="33" t="s">
        <v>1620</v>
      </c>
      <c r="D131" s="34">
        <f>IF($M131&gt;0,$M131,3.21)</f>
        <v>3.21</v>
      </c>
      <c r="E131" s="34">
        <f>IF($O131&gt;0,$O131,0.05)</f>
        <v>0.05</v>
      </c>
      <c r="F131" s="35">
        <v>970</v>
      </c>
      <c r="G131" s="33" t="s">
        <v>1379</v>
      </c>
      <c r="H131" s="36" t="str">
        <f>IF($M131&gt;0,IF($L131&lt;&gt;1,$R131,IFERROR(INDEX('JLR Materials'!$D$2:$D$20001,MATCH($K131,'JLR Materials'!$A$2:$A$20001,0)),$R131)),$R131)</f>
        <v>2026-09</v>
      </c>
      <c r="I131" s="36" t="str">
        <f>IF($M131&gt;0,"JLR rate card — material code "&amp;$K131,$Q131)</f>
        <v>UK resin distributor. Index-anchored 2026-07. Vulcanised TPE — weatherseals, boots, glass encapsulation, grommets. coolFactor ~4.0 s/mm². | Refresh 2026-09: +£0.011/kg from 0.4kg pp £0.960→£0.987/kg, 0.4kg epdm £1.000→£1.000/kg; premiums held</v>
      </c>
      <c r="J131" s="33" t="s">
        <v>1393</v>
      </c>
      <c r="K131" s="37" t="str">
        <f>IFERROR(INDEX(Mapping!$C$2:$C$549,MATCH($A131,Mapping!$A$2:$A$549,0)),"")</f>
        <v/>
      </c>
      <c r="L131" s="37">
        <f>IF($K131="",0,COUNTIFS('JLR Materials'!$A$2:$A$20001,$K131,'JLR Materials'!$C$2:$C$20001,IF(Settings!$B$2="","&lt;&gt;",Settings!$B$2),'JLR Materials'!$D$2:$D$20001,IF(Settings!$B$4="","&lt;&gt;",Settings!$B$4)))</f>
        <v>0</v>
      </c>
      <c r="M131" s="38">
        <f>IF($L131&lt;&gt;1,0,SUMIFS('JLR Materials'!$E$2:$E$20001,'JLR Materials'!$A$2:$A$20001,$K131,'JLR Materials'!$C$2:$C$20001,IF(Settings!$B$2="","&lt;&gt;",Settings!$B$2),'JLR Materials'!$D$2:$D$20001,IF(Settings!$B$4="","&lt;&gt;",Settings!$B$4)))</f>
        <v>0</v>
      </c>
      <c r="N131" s="39">
        <f>IF($L131&lt;&gt;1,0,SUMIFS('JLR Materials'!$F$2:$F$20001,'JLR Materials'!$A$2:$A$20001,$K131,'JLR Materials'!$C$2:$C$20001,IF(Settings!$B$2="","&lt;&gt;",Settings!$B$2),'JLR Materials'!$D$2:$D$20001,IF(Settings!$B$4="","&lt;&gt;",Settings!$B$4)))</f>
        <v>0</v>
      </c>
      <c r="O131" s="38">
        <f>IF($N131=0,0,IF(Settings!$B$5="percent",$M131*$N131/100,$N131))</f>
        <v>0</v>
      </c>
      <c r="P131" s="39">
        <f>IF($L131&lt;&gt;1,0,SUMIFS('JLR Materials'!$G$2:$G$20001,'JLR Materials'!$A$2:$A$20001,$K131,'JLR Materials'!$C$2:$C$20001,IF(Settings!$B$2="","&lt;&gt;",Settings!$B$2),'JLR Materials'!$D$2:$D$20001,IF(Settings!$B$4="","&lt;&gt;",Settings!$B$4)))</f>
        <v>0</v>
      </c>
      <c r="Q131" s="40" t="s">
        <v>1670</v>
      </c>
      <c r="R131" s="40" t="s">
        <v>1382</v>
      </c>
    </row>
    <row r="132" spans="1:18" x14ac:dyDescent="0.25">
      <c r="A132" s="32" t="s">
        <v>527</v>
      </c>
      <c r="B132" s="33" t="s">
        <v>1671</v>
      </c>
      <c r="C132" s="33" t="s">
        <v>1605</v>
      </c>
      <c r="D132" s="34">
        <f>IF($M132&gt;0,$M132,2.4)</f>
        <v>2.4</v>
      </c>
      <c r="E132" s="34">
        <f>IF($O132&gt;0,$O132,0.08)</f>
        <v>0.08</v>
      </c>
      <c r="F132" s="35">
        <v>1190</v>
      </c>
      <c r="G132" s="33" t="s">
        <v>1379</v>
      </c>
      <c r="H132" s="36" t="str">
        <f>IF($M132&gt;0,IF($L132&lt;&gt;1,$R132,IFERROR(INDEX('JLR Materials'!$D$2:$D$20001,MATCH($K132,'JLR Materials'!$A$2:$A$20001,0)),$R132)),$R132)</f>
        <v>2026-09</v>
      </c>
      <c r="I132" s="36" t="str">
        <f>IF($M132&gt;0,"JLR rate card — material code "&amp;$K132,$Q132)</f>
        <v>UK resin distributor. Index-anchored 2026-07. Optical-clear acrylic — lenses, light guides, tail-lamp, badges. coolFactor ~2.5 s/mm². | Refresh 2026-09: NOT SOURCED — pmma: Not sourced this period: engineering resin prices are paywalled (PIE/ICIS). Direction only: PC rising through Aug 2026, PA6 rebounding, PA66 under pressure, PET declining — no like-for-like June→Sep figures. Held at the June 2026 price.</v>
      </c>
      <c r="J132" s="33" t="s">
        <v>1393</v>
      </c>
      <c r="K132" s="37" t="str">
        <f>IFERROR(INDEX(Mapping!$C$2:$C$549,MATCH($A132,Mapping!$A$2:$A$549,0)),"")</f>
        <v/>
      </c>
      <c r="L132" s="37">
        <f>IF($K132="",0,COUNTIFS('JLR Materials'!$A$2:$A$20001,$K132,'JLR Materials'!$C$2:$C$20001,IF(Settings!$B$2="","&lt;&gt;",Settings!$B$2),'JLR Materials'!$D$2:$D$20001,IF(Settings!$B$4="","&lt;&gt;",Settings!$B$4)))</f>
        <v>0</v>
      </c>
      <c r="M132" s="38">
        <f>IF($L132&lt;&gt;1,0,SUMIFS('JLR Materials'!$E$2:$E$20001,'JLR Materials'!$A$2:$A$20001,$K132,'JLR Materials'!$C$2:$C$20001,IF(Settings!$B$2="","&lt;&gt;",Settings!$B$2),'JLR Materials'!$D$2:$D$20001,IF(Settings!$B$4="","&lt;&gt;",Settings!$B$4)))</f>
        <v>0</v>
      </c>
      <c r="N132" s="39">
        <f>IF($L132&lt;&gt;1,0,SUMIFS('JLR Materials'!$F$2:$F$20001,'JLR Materials'!$A$2:$A$20001,$K132,'JLR Materials'!$C$2:$C$20001,IF(Settings!$B$2="","&lt;&gt;",Settings!$B$2),'JLR Materials'!$D$2:$D$20001,IF(Settings!$B$4="","&lt;&gt;",Settings!$B$4)))</f>
        <v>0</v>
      </c>
      <c r="O132" s="38">
        <f>IF($N132=0,0,IF(Settings!$B$5="percent",$M132*$N132/100,$N132))</f>
        <v>0</v>
      </c>
      <c r="P132" s="39">
        <f>IF($L132&lt;&gt;1,0,SUMIFS('JLR Materials'!$G$2:$G$20001,'JLR Materials'!$A$2:$A$20001,$K132,'JLR Materials'!$C$2:$C$20001,IF(Settings!$B$2="","&lt;&gt;",Settings!$B$2),'JLR Materials'!$D$2:$D$20001,IF(Settings!$B$4="","&lt;&gt;",Settings!$B$4)))</f>
        <v>0</v>
      </c>
      <c r="Q132" s="40" t="s">
        <v>1672</v>
      </c>
      <c r="R132" s="40" t="s">
        <v>1382</v>
      </c>
    </row>
    <row r="133" spans="1:18" x14ac:dyDescent="0.25">
      <c r="A133" s="32" t="s">
        <v>529</v>
      </c>
      <c r="B133" s="33" t="s">
        <v>1673</v>
      </c>
      <c r="C133" s="33" t="s">
        <v>1653</v>
      </c>
      <c r="D133" s="34">
        <f>IF($M133&gt;0,$M133,5.5)</f>
        <v>5.5</v>
      </c>
      <c r="E133" s="34">
        <f>IF($O133&gt;0,$O133,0.2)</f>
        <v>0.2</v>
      </c>
      <c r="F133" s="35">
        <v>1650</v>
      </c>
      <c r="G133" s="33" t="s">
        <v>1379</v>
      </c>
      <c r="H133" s="36" t="str">
        <f>IF($M133&gt;0,IF($L133&lt;&gt;1,$R133,IFERROR(INDEX('JLR Materials'!$D$2:$D$20001,MATCH($K133,'JLR Materials'!$A$2:$A$20001,0)),$R133)),$R133)</f>
        <v>2026-09</v>
      </c>
      <c r="I133" s="36" t="str">
        <f>IF($M133&gt;0,"JLR rate card — material code "&amp;$K133,$Q133)</f>
        <v>UK speciality resin supplier. Index-anchored 2026-07. Polyphenylene-sulfide — under-hood, e-motor components, sensors, pumps, EV. Continuous use ~200°C. coolFactor ~2.5 s/mm². | Refresh 2026-09: NOT SOURCED — pps: Not sourced this period: engineering resin prices are paywalled (PIE/ICIS). Direction only: PC rising through Aug 2026, PA6 rebounding, PA66 under pressure, PET declining — no like-for-like June→Sep figures. Held at the June 2026 price.</v>
      </c>
      <c r="J133" s="33" t="s">
        <v>1393</v>
      </c>
      <c r="K133" s="37" t="str">
        <f>IFERROR(INDEX(Mapping!$C$2:$C$549,MATCH($A133,Mapping!$A$2:$A$549,0)),"")</f>
        <v/>
      </c>
      <c r="L133" s="37">
        <f>IF($K133="",0,COUNTIFS('JLR Materials'!$A$2:$A$20001,$K133,'JLR Materials'!$C$2:$C$20001,IF(Settings!$B$2="","&lt;&gt;",Settings!$B$2),'JLR Materials'!$D$2:$D$20001,IF(Settings!$B$4="","&lt;&gt;",Settings!$B$4)))</f>
        <v>0</v>
      </c>
      <c r="M133" s="38">
        <f>IF($L133&lt;&gt;1,0,SUMIFS('JLR Materials'!$E$2:$E$20001,'JLR Materials'!$A$2:$A$20001,$K133,'JLR Materials'!$C$2:$C$20001,IF(Settings!$B$2="","&lt;&gt;",Settings!$B$2),'JLR Materials'!$D$2:$D$20001,IF(Settings!$B$4="","&lt;&gt;",Settings!$B$4)))</f>
        <v>0</v>
      </c>
      <c r="N133" s="39">
        <f>IF($L133&lt;&gt;1,0,SUMIFS('JLR Materials'!$F$2:$F$20001,'JLR Materials'!$A$2:$A$20001,$K133,'JLR Materials'!$C$2:$C$20001,IF(Settings!$B$2="","&lt;&gt;",Settings!$B$2),'JLR Materials'!$D$2:$D$20001,IF(Settings!$B$4="","&lt;&gt;",Settings!$B$4)))</f>
        <v>0</v>
      </c>
      <c r="O133" s="38">
        <f>IF($N133=0,0,IF(Settings!$B$5="percent",$M133*$N133/100,$N133))</f>
        <v>0</v>
      </c>
      <c r="P133" s="39">
        <f>IF($L133&lt;&gt;1,0,SUMIFS('JLR Materials'!$G$2:$G$20001,'JLR Materials'!$A$2:$A$20001,$K133,'JLR Materials'!$C$2:$C$20001,IF(Settings!$B$2="","&lt;&gt;",Settings!$B$2),'JLR Materials'!$D$2:$D$20001,IF(Settings!$B$4="","&lt;&gt;",Settings!$B$4)))</f>
        <v>0</v>
      </c>
      <c r="Q133" s="40" t="s">
        <v>1674</v>
      </c>
      <c r="R133" s="40" t="s">
        <v>1382</v>
      </c>
    </row>
    <row r="134" spans="1:18" x14ac:dyDescent="0.25">
      <c r="A134" s="32" t="s">
        <v>531</v>
      </c>
      <c r="B134" s="33" t="s">
        <v>1675</v>
      </c>
      <c r="C134" s="33" t="s">
        <v>1653</v>
      </c>
      <c r="D134" s="34">
        <f>IF($M134&gt;0,$M134,6.8)</f>
        <v>6.8</v>
      </c>
      <c r="E134" s="34">
        <f>IF($O134&gt;0,$O134,0.15)</f>
        <v>0.15</v>
      </c>
      <c r="F134" s="35">
        <v>1450</v>
      </c>
      <c r="G134" s="33" t="s">
        <v>1379</v>
      </c>
      <c r="H134" s="36" t="str">
        <f>IF($M134&gt;0,IF($L134&lt;&gt;1,$R134,IFERROR(INDEX('JLR Materials'!$D$2:$D$20001,MATCH($K134,'JLR Materials'!$A$2:$A$20001,0)),$R134)),$R134)</f>
        <v>2026-09</v>
      </c>
      <c r="I134" s="36" t="str">
        <f>IF($M134&gt;0,"JLR rate card — material code "&amp;$K134,$Q134)</f>
        <v>UK speciality resin supplier. Index-anchored 2026-07. Semi-aromatic PPA — high-temp connectors, e-mobility, thermal management. coolFactor ~2.2 s/mm². | Refresh 2026-09: SPECIALTY — no public market index for this grade; held at the June 2026 price — refresh by supplier quote</v>
      </c>
      <c r="J134" s="33" t="s">
        <v>1393</v>
      </c>
      <c r="K134" s="37" t="str">
        <f>IFERROR(INDEX(Mapping!$C$2:$C$549,MATCH($A134,Mapping!$A$2:$A$549,0)),"")</f>
        <v/>
      </c>
      <c r="L134" s="37">
        <f>IF($K134="",0,COUNTIFS('JLR Materials'!$A$2:$A$20001,$K134,'JLR Materials'!$C$2:$C$20001,IF(Settings!$B$2="","&lt;&gt;",Settings!$B$2),'JLR Materials'!$D$2:$D$20001,IF(Settings!$B$4="","&lt;&gt;",Settings!$B$4)))</f>
        <v>0</v>
      </c>
      <c r="M134" s="38">
        <f>IF($L134&lt;&gt;1,0,SUMIFS('JLR Materials'!$E$2:$E$20001,'JLR Materials'!$A$2:$A$20001,$K134,'JLR Materials'!$C$2:$C$20001,IF(Settings!$B$2="","&lt;&gt;",Settings!$B$2),'JLR Materials'!$D$2:$D$20001,IF(Settings!$B$4="","&lt;&gt;",Settings!$B$4)))</f>
        <v>0</v>
      </c>
      <c r="N134" s="39">
        <f>IF($L134&lt;&gt;1,0,SUMIFS('JLR Materials'!$F$2:$F$20001,'JLR Materials'!$A$2:$A$20001,$K134,'JLR Materials'!$C$2:$C$20001,IF(Settings!$B$2="","&lt;&gt;",Settings!$B$2),'JLR Materials'!$D$2:$D$20001,IF(Settings!$B$4="","&lt;&gt;",Settings!$B$4)))</f>
        <v>0</v>
      </c>
      <c r="O134" s="38">
        <f>IF($N134=0,0,IF(Settings!$B$5="percent",$M134*$N134/100,$N134))</f>
        <v>0</v>
      </c>
      <c r="P134" s="39">
        <f>IF($L134&lt;&gt;1,0,SUMIFS('JLR Materials'!$G$2:$G$20001,'JLR Materials'!$A$2:$A$20001,$K134,'JLR Materials'!$C$2:$C$20001,IF(Settings!$B$2="","&lt;&gt;",Settings!$B$2),'JLR Materials'!$D$2:$D$20001,IF(Settings!$B$4="","&lt;&gt;",Settings!$B$4)))</f>
        <v>0</v>
      </c>
      <c r="Q134" s="40" t="s">
        <v>1676</v>
      </c>
      <c r="R134" s="40" t="s">
        <v>1382</v>
      </c>
    </row>
    <row r="135" spans="1:18" x14ac:dyDescent="0.25">
      <c r="A135" s="32" t="s">
        <v>533</v>
      </c>
      <c r="B135" s="33" t="s">
        <v>1677</v>
      </c>
      <c r="C135" s="33" t="s">
        <v>1653</v>
      </c>
      <c r="D135" s="34">
        <f>IF($M135&gt;0,$M135,12.5)</f>
        <v>12.5</v>
      </c>
      <c r="E135" s="34">
        <f>IF($O135&gt;0,$O135,0.5)</f>
        <v>0.5</v>
      </c>
      <c r="F135" s="35">
        <v>1270</v>
      </c>
      <c r="G135" s="33" t="s">
        <v>1379</v>
      </c>
      <c r="H135" s="36" t="str">
        <f>IF($M135&gt;0,IF($L135&lt;&gt;1,$R135,IFERROR(INDEX('JLR Materials'!$D$2:$D$20001,MATCH($K135,'JLR Materials'!$A$2:$A$20001,0)),$R135)),$R135)</f>
        <v>2026-09</v>
      </c>
      <c r="I135" s="36" t="str">
        <f>IF($M135&gt;0,"JLR rate card — material code "&amp;$K135,$Q135)</f>
        <v>UK speciality resin supplier. Index-anchored 2026-07. Polyetherimide — high-temp electrical, aerospace interiors, sterilisable medical. coolFactor ~2.5 s/mm². | Refresh 2026-09: SPECIALTY — no public market index for this grade; held at the June 2026 price — refresh by supplier quote</v>
      </c>
      <c r="J135" s="33" t="s">
        <v>1393</v>
      </c>
      <c r="K135" s="37" t="str">
        <f>IFERROR(INDEX(Mapping!$C$2:$C$549,MATCH($A135,Mapping!$A$2:$A$549,0)),"")</f>
        <v/>
      </c>
      <c r="L135" s="37">
        <f>IF($K135="",0,COUNTIFS('JLR Materials'!$A$2:$A$20001,$K135,'JLR Materials'!$C$2:$C$20001,IF(Settings!$B$2="","&lt;&gt;",Settings!$B$2),'JLR Materials'!$D$2:$D$20001,IF(Settings!$B$4="","&lt;&gt;",Settings!$B$4)))</f>
        <v>0</v>
      </c>
      <c r="M135" s="38">
        <f>IF($L135&lt;&gt;1,0,SUMIFS('JLR Materials'!$E$2:$E$20001,'JLR Materials'!$A$2:$A$20001,$K135,'JLR Materials'!$C$2:$C$20001,IF(Settings!$B$2="","&lt;&gt;",Settings!$B$2),'JLR Materials'!$D$2:$D$20001,IF(Settings!$B$4="","&lt;&gt;",Settings!$B$4)))</f>
        <v>0</v>
      </c>
      <c r="N135" s="39">
        <f>IF($L135&lt;&gt;1,0,SUMIFS('JLR Materials'!$F$2:$F$20001,'JLR Materials'!$A$2:$A$20001,$K135,'JLR Materials'!$C$2:$C$20001,IF(Settings!$B$2="","&lt;&gt;",Settings!$B$2),'JLR Materials'!$D$2:$D$20001,IF(Settings!$B$4="","&lt;&gt;",Settings!$B$4)))</f>
        <v>0</v>
      </c>
      <c r="O135" s="38">
        <f>IF($N135=0,0,IF(Settings!$B$5="percent",$M135*$N135/100,$N135))</f>
        <v>0</v>
      </c>
      <c r="P135" s="39">
        <f>IF($L135&lt;&gt;1,0,SUMIFS('JLR Materials'!$G$2:$G$20001,'JLR Materials'!$A$2:$A$20001,$K135,'JLR Materials'!$C$2:$C$20001,IF(Settings!$B$2="","&lt;&gt;",Settings!$B$2),'JLR Materials'!$D$2:$D$20001,IF(Settings!$B$4="","&lt;&gt;",Settings!$B$4)))</f>
        <v>0</v>
      </c>
      <c r="Q135" s="40" t="s">
        <v>1678</v>
      </c>
      <c r="R135" s="40" t="s">
        <v>1382</v>
      </c>
    </row>
    <row r="136" spans="1:18" x14ac:dyDescent="0.25">
      <c r="A136" s="32" t="s">
        <v>535</v>
      </c>
      <c r="B136" s="33" t="s">
        <v>1679</v>
      </c>
      <c r="C136" s="33" t="s">
        <v>1653</v>
      </c>
      <c r="D136" s="34">
        <f>IF($M136&gt;0,$M136,14)</f>
        <v>14</v>
      </c>
      <c r="E136" s="34">
        <f>IF($O136&gt;0,$O136,0.5)</f>
        <v>0.5</v>
      </c>
      <c r="F136" s="35">
        <v>1510</v>
      </c>
      <c r="G136" s="33" t="s">
        <v>1379</v>
      </c>
      <c r="H136" s="36" t="str">
        <f>IF($M136&gt;0,IF($L136&lt;&gt;1,$R136,IFERROR(INDEX('JLR Materials'!$D$2:$D$20001,MATCH($K136,'JLR Materials'!$A$2:$A$20001,0)),$R136)),$R136)</f>
        <v>2026-09</v>
      </c>
      <c r="I136" s="36" t="str">
        <f>IF($M136&gt;0,"JLR rate card — material code "&amp;$K136,$Q136)</f>
        <v>UK speciality resin supplier. Index-anchored 2026-07. Glass-reinforced PEI — structural high-temp. coolFactor ~2.5 s/mm². | Refresh 2026-09: SPECIALTY — no public market index for this grade; held at the June 2026 price — refresh by supplier quote</v>
      </c>
      <c r="J136" s="33" t="s">
        <v>1393</v>
      </c>
      <c r="K136" s="37" t="str">
        <f>IFERROR(INDEX(Mapping!$C$2:$C$549,MATCH($A136,Mapping!$A$2:$A$549,0)),"")</f>
        <v/>
      </c>
      <c r="L136" s="37">
        <f>IF($K136="",0,COUNTIFS('JLR Materials'!$A$2:$A$20001,$K136,'JLR Materials'!$C$2:$C$20001,IF(Settings!$B$2="","&lt;&gt;",Settings!$B$2),'JLR Materials'!$D$2:$D$20001,IF(Settings!$B$4="","&lt;&gt;",Settings!$B$4)))</f>
        <v>0</v>
      </c>
      <c r="M136" s="38">
        <f>IF($L136&lt;&gt;1,0,SUMIFS('JLR Materials'!$E$2:$E$20001,'JLR Materials'!$A$2:$A$20001,$K136,'JLR Materials'!$C$2:$C$20001,IF(Settings!$B$2="","&lt;&gt;",Settings!$B$2),'JLR Materials'!$D$2:$D$20001,IF(Settings!$B$4="","&lt;&gt;",Settings!$B$4)))</f>
        <v>0</v>
      </c>
      <c r="N136" s="39">
        <f>IF($L136&lt;&gt;1,0,SUMIFS('JLR Materials'!$F$2:$F$20001,'JLR Materials'!$A$2:$A$20001,$K136,'JLR Materials'!$C$2:$C$20001,IF(Settings!$B$2="","&lt;&gt;",Settings!$B$2),'JLR Materials'!$D$2:$D$20001,IF(Settings!$B$4="","&lt;&gt;",Settings!$B$4)))</f>
        <v>0</v>
      </c>
      <c r="O136" s="38">
        <f>IF($N136=0,0,IF(Settings!$B$5="percent",$M136*$N136/100,$N136))</f>
        <v>0</v>
      </c>
      <c r="P136" s="39">
        <f>IF($L136&lt;&gt;1,0,SUMIFS('JLR Materials'!$G$2:$G$20001,'JLR Materials'!$A$2:$A$20001,$K136,'JLR Materials'!$C$2:$C$20001,IF(Settings!$B$2="","&lt;&gt;",Settings!$B$2),'JLR Materials'!$D$2:$D$20001,IF(Settings!$B$4="","&lt;&gt;",Settings!$B$4)))</f>
        <v>0</v>
      </c>
      <c r="Q136" s="40" t="s">
        <v>1680</v>
      </c>
      <c r="R136" s="40" t="s">
        <v>1382</v>
      </c>
    </row>
    <row r="137" spans="1:18" x14ac:dyDescent="0.25">
      <c r="A137" s="32" t="s">
        <v>537</v>
      </c>
      <c r="B137" s="33" t="s">
        <v>1681</v>
      </c>
      <c r="C137" s="33" t="s">
        <v>1653</v>
      </c>
      <c r="D137" s="34">
        <f>IF($M137&gt;0,$M137,11)</f>
        <v>11</v>
      </c>
      <c r="E137" s="34">
        <f>IF($O137&gt;0,$O137,0.3)</f>
        <v>0.3</v>
      </c>
      <c r="F137" s="35">
        <v>1620</v>
      </c>
      <c r="G137" s="33" t="s">
        <v>1379</v>
      </c>
      <c r="H137" s="36" t="str">
        <f>IF($M137&gt;0,IF($L137&lt;&gt;1,$R137,IFERROR(INDEX('JLR Materials'!$D$2:$D$20001,MATCH($K137,'JLR Materials'!$A$2:$A$20001,0)),$R137)),$R137)</f>
        <v>2026-09</v>
      </c>
      <c r="I137" s="36" t="str">
        <f>IF($M137&gt;0,"JLR rate card — material code "&amp;$K137,$Q137)</f>
        <v>UK speciality resin supplier. Index-anchored 2026-07. Ultra-thin-wall flow — fine-pitch connectors, SMT sockets, sensors. coolFactor ~1.8 s/mm². | Refresh 2026-09: SPECIALTY — no public market index for this grade; held at the June 2026 price — refresh by supplier quote</v>
      </c>
      <c r="J137" s="33" t="s">
        <v>1393</v>
      </c>
      <c r="K137" s="37" t="str">
        <f>IFERROR(INDEX(Mapping!$C$2:$C$549,MATCH($A137,Mapping!$A$2:$A$549,0)),"")</f>
        <v/>
      </c>
      <c r="L137" s="37">
        <f>IF($K137="",0,COUNTIFS('JLR Materials'!$A$2:$A$20001,$K137,'JLR Materials'!$C$2:$C$20001,IF(Settings!$B$2="","&lt;&gt;",Settings!$B$2),'JLR Materials'!$D$2:$D$20001,IF(Settings!$B$4="","&lt;&gt;",Settings!$B$4)))</f>
        <v>0</v>
      </c>
      <c r="M137" s="38">
        <f>IF($L137&lt;&gt;1,0,SUMIFS('JLR Materials'!$E$2:$E$20001,'JLR Materials'!$A$2:$A$20001,$K137,'JLR Materials'!$C$2:$C$20001,IF(Settings!$B$2="","&lt;&gt;",Settings!$B$2),'JLR Materials'!$D$2:$D$20001,IF(Settings!$B$4="","&lt;&gt;",Settings!$B$4)))</f>
        <v>0</v>
      </c>
      <c r="N137" s="39">
        <f>IF($L137&lt;&gt;1,0,SUMIFS('JLR Materials'!$F$2:$F$20001,'JLR Materials'!$A$2:$A$20001,$K137,'JLR Materials'!$C$2:$C$20001,IF(Settings!$B$2="","&lt;&gt;",Settings!$B$2),'JLR Materials'!$D$2:$D$20001,IF(Settings!$B$4="","&lt;&gt;",Settings!$B$4)))</f>
        <v>0</v>
      </c>
      <c r="O137" s="38">
        <f>IF($N137=0,0,IF(Settings!$B$5="percent",$M137*$N137/100,$N137))</f>
        <v>0</v>
      </c>
      <c r="P137" s="39">
        <f>IF($L137&lt;&gt;1,0,SUMIFS('JLR Materials'!$G$2:$G$20001,'JLR Materials'!$A$2:$A$20001,$K137,'JLR Materials'!$C$2:$C$20001,IF(Settings!$B$2="","&lt;&gt;",Settings!$B$2),'JLR Materials'!$D$2:$D$20001,IF(Settings!$B$4="","&lt;&gt;",Settings!$B$4)))</f>
        <v>0</v>
      </c>
      <c r="Q137" s="40" t="s">
        <v>1682</v>
      </c>
      <c r="R137" s="40" t="s">
        <v>1382</v>
      </c>
    </row>
    <row r="138" spans="1:18" x14ac:dyDescent="0.25">
      <c r="A138" s="32" t="s">
        <v>539</v>
      </c>
      <c r="B138" s="33" t="s">
        <v>1683</v>
      </c>
      <c r="C138" s="33" t="s">
        <v>1605</v>
      </c>
      <c r="D138" s="34">
        <f>IF($M138&gt;0,$M138,3.3)</f>
        <v>3.3</v>
      </c>
      <c r="E138" s="34">
        <f>IF($O138&gt;0,$O138,0.05)</f>
        <v>0.05</v>
      </c>
      <c r="F138" s="35">
        <v>1410</v>
      </c>
      <c r="G138" s="33" t="s">
        <v>1379</v>
      </c>
      <c r="H138" s="36" t="str">
        <f>IF($M138&gt;0,IF($L138&lt;&gt;1,$R138,IFERROR(INDEX('JLR Materials'!$D$2:$D$20001,MATCH($K138,'JLR Materials'!$A$2:$A$20001,0)),$R138)),$R138)</f>
        <v>2026-09</v>
      </c>
      <c r="I138" s="36" t="str">
        <f>IF($M138&gt;0,"JLR rate card — material code "&amp;$K138,$Q138)</f>
        <v>UK resin distributor. Index-anchored 2026-07. 35% glass PA66 — structural brackets, engine mounts, pedals. coolFactor ~2.0 s/mm². | Refresh 2026-09: NOT SOURCED — pa66: Not sourced this period: engineering resin prices are paywalled (PIE/ICIS). Direction only: PC rising through Aug 2026, PA6 rebounding, PA66 under pressure, PET declining — no like-for-like June→Sep figures. Held at the June 2026 price.</v>
      </c>
      <c r="J138" s="33" t="s">
        <v>1393</v>
      </c>
      <c r="K138" s="37" t="str">
        <f>IFERROR(INDEX(Mapping!$C$2:$C$549,MATCH($A138,Mapping!$A$2:$A$549,0)),"")</f>
        <v/>
      </c>
      <c r="L138" s="37">
        <f>IF($K138="",0,COUNTIFS('JLR Materials'!$A$2:$A$20001,$K138,'JLR Materials'!$C$2:$C$20001,IF(Settings!$B$2="","&lt;&gt;",Settings!$B$2),'JLR Materials'!$D$2:$D$20001,IF(Settings!$B$4="","&lt;&gt;",Settings!$B$4)))</f>
        <v>0</v>
      </c>
      <c r="M138" s="38">
        <f>IF($L138&lt;&gt;1,0,SUMIFS('JLR Materials'!$E$2:$E$20001,'JLR Materials'!$A$2:$A$20001,$K138,'JLR Materials'!$C$2:$C$20001,IF(Settings!$B$2="","&lt;&gt;",Settings!$B$2),'JLR Materials'!$D$2:$D$20001,IF(Settings!$B$4="","&lt;&gt;",Settings!$B$4)))</f>
        <v>0</v>
      </c>
      <c r="N138" s="39">
        <f>IF($L138&lt;&gt;1,0,SUMIFS('JLR Materials'!$F$2:$F$20001,'JLR Materials'!$A$2:$A$20001,$K138,'JLR Materials'!$C$2:$C$20001,IF(Settings!$B$2="","&lt;&gt;",Settings!$B$2),'JLR Materials'!$D$2:$D$20001,IF(Settings!$B$4="","&lt;&gt;",Settings!$B$4)))</f>
        <v>0</v>
      </c>
      <c r="O138" s="38">
        <f>IF($N138=0,0,IF(Settings!$B$5="percent",$M138*$N138/100,$N138))</f>
        <v>0</v>
      </c>
      <c r="P138" s="39">
        <f>IF($L138&lt;&gt;1,0,SUMIFS('JLR Materials'!$G$2:$G$20001,'JLR Materials'!$A$2:$A$20001,$K138,'JLR Materials'!$C$2:$C$20001,IF(Settings!$B$2="","&lt;&gt;",Settings!$B$2),'JLR Materials'!$D$2:$D$20001,IF(Settings!$B$4="","&lt;&gt;",Settings!$B$4)))</f>
        <v>0</v>
      </c>
      <c r="Q138" s="40" t="s">
        <v>1684</v>
      </c>
      <c r="R138" s="40" t="s">
        <v>1382</v>
      </c>
    </row>
    <row r="139" spans="1:18" x14ac:dyDescent="0.25">
      <c r="A139" s="32" t="s">
        <v>541</v>
      </c>
      <c r="B139" s="33" t="s">
        <v>1685</v>
      </c>
      <c r="C139" s="33" t="s">
        <v>1605</v>
      </c>
      <c r="D139" s="34">
        <f>IF($M139&gt;0,$M139,3.55)</f>
        <v>3.55</v>
      </c>
      <c r="E139" s="34">
        <f>IF($O139&gt;0,$O139,0.05)</f>
        <v>0.05</v>
      </c>
      <c r="F139" s="35">
        <v>1560</v>
      </c>
      <c r="G139" s="33" t="s">
        <v>1379</v>
      </c>
      <c r="H139" s="36" t="str">
        <f>IF($M139&gt;0,IF($L139&lt;&gt;1,$R139,IFERROR(INDEX('JLR Materials'!$D$2:$D$20001,MATCH($K139,'JLR Materials'!$A$2:$A$20001,0)),$R139)),$R139)</f>
        <v>2026-09</v>
      </c>
      <c r="I139" s="36" t="str">
        <f>IF($M139&gt;0,"JLR rate card — material code "&amp;$K139,$Q139)</f>
        <v>UK resin distributor. Index-anchored 2026-07. 50% glass PA66 — highest-stiffness metal-replacement structural parts. coolFactor ~2.0 s/mm². | Refresh 2026-09: NOT SOURCED — pa66: Not sourced this period: engineering resin prices are paywalled (PIE/ICIS). Direction only: PC rising through Aug 2026, PA6 rebounding, PA66 under pressure, PET declining — no like-for-like June→Sep figures. Held at the June 2026 price.</v>
      </c>
      <c r="J139" s="33" t="s">
        <v>1393</v>
      </c>
      <c r="K139" s="37" t="str">
        <f>IFERROR(INDEX(Mapping!$C$2:$C$549,MATCH($A139,Mapping!$A$2:$A$549,0)),"")</f>
        <v/>
      </c>
      <c r="L139" s="37">
        <f>IF($K139="",0,COUNTIFS('JLR Materials'!$A$2:$A$20001,$K139,'JLR Materials'!$C$2:$C$20001,IF(Settings!$B$2="","&lt;&gt;",Settings!$B$2),'JLR Materials'!$D$2:$D$20001,IF(Settings!$B$4="","&lt;&gt;",Settings!$B$4)))</f>
        <v>0</v>
      </c>
      <c r="M139" s="38">
        <f>IF($L139&lt;&gt;1,0,SUMIFS('JLR Materials'!$E$2:$E$20001,'JLR Materials'!$A$2:$A$20001,$K139,'JLR Materials'!$C$2:$C$20001,IF(Settings!$B$2="","&lt;&gt;",Settings!$B$2),'JLR Materials'!$D$2:$D$20001,IF(Settings!$B$4="","&lt;&gt;",Settings!$B$4)))</f>
        <v>0</v>
      </c>
      <c r="N139" s="39">
        <f>IF($L139&lt;&gt;1,0,SUMIFS('JLR Materials'!$F$2:$F$20001,'JLR Materials'!$A$2:$A$20001,$K139,'JLR Materials'!$C$2:$C$20001,IF(Settings!$B$2="","&lt;&gt;",Settings!$B$2),'JLR Materials'!$D$2:$D$20001,IF(Settings!$B$4="","&lt;&gt;",Settings!$B$4)))</f>
        <v>0</v>
      </c>
      <c r="O139" s="38">
        <f>IF($N139=0,0,IF(Settings!$B$5="percent",$M139*$N139/100,$N139))</f>
        <v>0</v>
      </c>
      <c r="P139" s="39">
        <f>IF($L139&lt;&gt;1,0,SUMIFS('JLR Materials'!$G$2:$G$20001,'JLR Materials'!$A$2:$A$20001,$K139,'JLR Materials'!$C$2:$C$20001,IF(Settings!$B$2="","&lt;&gt;",Settings!$B$2),'JLR Materials'!$D$2:$D$20001,IF(Settings!$B$4="","&lt;&gt;",Settings!$B$4)))</f>
        <v>0</v>
      </c>
      <c r="Q139" s="40" t="s">
        <v>1686</v>
      </c>
      <c r="R139" s="40" t="s">
        <v>1382</v>
      </c>
    </row>
    <row r="140" spans="1:18" x14ac:dyDescent="0.25">
      <c r="A140" s="32" t="s">
        <v>543</v>
      </c>
      <c r="B140" s="33" t="s">
        <v>1687</v>
      </c>
      <c r="C140" s="33" t="s">
        <v>1605</v>
      </c>
      <c r="D140" s="34">
        <f>IF($M140&gt;0,$M140,3)</f>
        <v>3</v>
      </c>
      <c r="E140" s="34">
        <f>IF($O140&gt;0,$O140,0.05)</f>
        <v>0.05</v>
      </c>
      <c r="F140" s="35">
        <v>1440</v>
      </c>
      <c r="G140" s="33" t="s">
        <v>1379</v>
      </c>
      <c r="H140" s="36" t="str">
        <f>IF($M140&gt;0,IF($L140&lt;&gt;1,$R140,IFERROR(INDEX('JLR Materials'!$D$2:$D$20001,MATCH($K140,'JLR Materials'!$A$2:$A$20001,0)),$R140)),$R140)</f>
        <v>2026-09</v>
      </c>
      <c r="I140" s="36" t="str">
        <f>IF($M140&gt;0,"JLR rate card — material code "&amp;$K140,$Q140)</f>
        <v>UK resin distributor. Index-anchored 2026-07. Mineral-filled PA66 — low-warp precision housings, covers. coolFactor ~2.0 s/mm². | Refresh 2026-09: NOT SOURCED — pa66: Not sourced this period: engineering resin prices are paywalled (PIE/ICIS). Direction only: PC rising through Aug 2026, PA6 rebounding, PA66 under pressure, PET declining — no like-for-like June→Sep figures. Held at the June 2026 price.</v>
      </c>
      <c r="J140" s="33" t="s">
        <v>1393</v>
      </c>
      <c r="K140" s="37" t="str">
        <f>IFERROR(INDEX(Mapping!$C$2:$C$549,MATCH($A140,Mapping!$A$2:$A$549,0)),"")</f>
        <v/>
      </c>
      <c r="L140" s="37">
        <f>IF($K140="",0,COUNTIFS('JLR Materials'!$A$2:$A$20001,$K140,'JLR Materials'!$C$2:$C$20001,IF(Settings!$B$2="","&lt;&gt;",Settings!$B$2),'JLR Materials'!$D$2:$D$20001,IF(Settings!$B$4="","&lt;&gt;",Settings!$B$4)))</f>
        <v>0</v>
      </c>
      <c r="M140" s="38">
        <f>IF($L140&lt;&gt;1,0,SUMIFS('JLR Materials'!$E$2:$E$20001,'JLR Materials'!$A$2:$A$20001,$K140,'JLR Materials'!$C$2:$C$20001,IF(Settings!$B$2="","&lt;&gt;",Settings!$B$2),'JLR Materials'!$D$2:$D$20001,IF(Settings!$B$4="","&lt;&gt;",Settings!$B$4)))</f>
        <v>0</v>
      </c>
      <c r="N140" s="39">
        <f>IF($L140&lt;&gt;1,0,SUMIFS('JLR Materials'!$F$2:$F$20001,'JLR Materials'!$A$2:$A$20001,$K140,'JLR Materials'!$C$2:$C$20001,IF(Settings!$B$2="","&lt;&gt;",Settings!$B$2),'JLR Materials'!$D$2:$D$20001,IF(Settings!$B$4="","&lt;&gt;",Settings!$B$4)))</f>
        <v>0</v>
      </c>
      <c r="O140" s="38">
        <f>IF($N140=0,0,IF(Settings!$B$5="percent",$M140*$N140/100,$N140))</f>
        <v>0</v>
      </c>
      <c r="P140" s="39">
        <f>IF($L140&lt;&gt;1,0,SUMIFS('JLR Materials'!$G$2:$G$20001,'JLR Materials'!$A$2:$A$20001,$K140,'JLR Materials'!$C$2:$C$20001,IF(Settings!$B$2="","&lt;&gt;",Settings!$B$2),'JLR Materials'!$D$2:$D$20001,IF(Settings!$B$4="","&lt;&gt;",Settings!$B$4)))</f>
        <v>0</v>
      </c>
      <c r="Q140" s="40" t="s">
        <v>1688</v>
      </c>
      <c r="R140" s="40" t="s">
        <v>1382</v>
      </c>
    </row>
    <row r="141" spans="1:18" x14ac:dyDescent="0.25">
      <c r="A141" s="32" t="s">
        <v>545</v>
      </c>
      <c r="B141" s="33" t="s">
        <v>1689</v>
      </c>
      <c r="C141" s="33" t="s">
        <v>1605</v>
      </c>
      <c r="D141" s="34">
        <f>IF($M141&gt;0,$M141,8.5)</f>
        <v>8.5</v>
      </c>
      <c r="E141" s="34">
        <f>IF($O141&gt;0,$O141,0.1)</f>
        <v>0.1</v>
      </c>
      <c r="F141" s="35">
        <v>1010</v>
      </c>
      <c r="G141" s="33" t="s">
        <v>1379</v>
      </c>
      <c r="H141" s="36" t="str">
        <f>IF($M141&gt;0,IF($L141&lt;&gt;1,$R141,IFERROR(INDEX('JLR Materials'!$D$2:$D$20001,MATCH($K141,'JLR Materials'!$A$2:$A$20001,0)),$R141)),$R141)</f>
        <v>2026-09</v>
      </c>
      <c r="I141" s="36" t="str">
        <f>IF($M141&gt;0,"JLR rate card — material code "&amp;$K141,$Q141)</f>
        <v>UK resin distributor. Index-anchored 2026-07. Low-moisture, flexible polyamide — fuel/brake lines, air-brake tubing, quick-connectors. coolFactor ~2.2 s/mm². | Refresh 2026-09: SPECIALTY — no public market index for this grade; held at the June 2026 price — refresh by supplier quote</v>
      </c>
      <c r="J141" s="33" t="s">
        <v>1393</v>
      </c>
      <c r="K141" s="37" t="str">
        <f>IFERROR(INDEX(Mapping!$C$2:$C$549,MATCH($A141,Mapping!$A$2:$A$549,0)),"")</f>
        <v/>
      </c>
      <c r="L141" s="37">
        <f>IF($K141="",0,COUNTIFS('JLR Materials'!$A$2:$A$20001,$K141,'JLR Materials'!$C$2:$C$20001,IF(Settings!$B$2="","&lt;&gt;",Settings!$B$2),'JLR Materials'!$D$2:$D$20001,IF(Settings!$B$4="","&lt;&gt;",Settings!$B$4)))</f>
        <v>0</v>
      </c>
      <c r="M141" s="38">
        <f>IF($L141&lt;&gt;1,0,SUMIFS('JLR Materials'!$E$2:$E$20001,'JLR Materials'!$A$2:$A$20001,$K141,'JLR Materials'!$C$2:$C$20001,IF(Settings!$B$2="","&lt;&gt;",Settings!$B$2),'JLR Materials'!$D$2:$D$20001,IF(Settings!$B$4="","&lt;&gt;",Settings!$B$4)))</f>
        <v>0</v>
      </c>
      <c r="N141" s="39">
        <f>IF($L141&lt;&gt;1,0,SUMIFS('JLR Materials'!$F$2:$F$20001,'JLR Materials'!$A$2:$A$20001,$K141,'JLR Materials'!$C$2:$C$20001,IF(Settings!$B$2="","&lt;&gt;",Settings!$B$2),'JLR Materials'!$D$2:$D$20001,IF(Settings!$B$4="","&lt;&gt;",Settings!$B$4)))</f>
        <v>0</v>
      </c>
      <c r="O141" s="38">
        <f>IF($N141=0,0,IF(Settings!$B$5="percent",$M141*$N141/100,$N141))</f>
        <v>0</v>
      </c>
      <c r="P141" s="39">
        <f>IF($L141&lt;&gt;1,0,SUMIFS('JLR Materials'!$G$2:$G$20001,'JLR Materials'!$A$2:$A$20001,$K141,'JLR Materials'!$C$2:$C$20001,IF(Settings!$B$2="","&lt;&gt;",Settings!$B$2),'JLR Materials'!$D$2:$D$20001,IF(Settings!$B$4="","&lt;&gt;",Settings!$B$4)))</f>
        <v>0</v>
      </c>
      <c r="Q141" s="40" t="s">
        <v>1690</v>
      </c>
      <c r="R141" s="40" t="s">
        <v>1382</v>
      </c>
    </row>
    <row r="142" spans="1:18" x14ac:dyDescent="0.25">
      <c r="A142" s="32" t="s">
        <v>547</v>
      </c>
      <c r="B142" s="33" t="s">
        <v>1691</v>
      </c>
      <c r="C142" s="33" t="s">
        <v>1605</v>
      </c>
      <c r="D142" s="34">
        <f>IF($M142&gt;0,$M142,3.2)</f>
        <v>3.2</v>
      </c>
      <c r="E142" s="34">
        <f>IF($O142&gt;0,$O142,0.08)</f>
        <v>0.08</v>
      </c>
      <c r="F142" s="35">
        <v>1210</v>
      </c>
      <c r="G142" s="33" t="s">
        <v>1379</v>
      </c>
      <c r="H142" s="36" t="str">
        <f>IF($M142&gt;0,IF($L142&lt;&gt;1,$R142,IFERROR(INDEX('JLR Materials'!$D$2:$D$20001,MATCH($K142,'JLR Materials'!$A$2:$A$20001,0)),$R142)),$R142)</f>
        <v>2026-09</v>
      </c>
      <c r="I142" s="36" t="str">
        <f>IF($M142&gt;0,"JLR rate card — material code "&amp;$K142,$Q142)</f>
        <v>UK resin distributor. Index-anchored 2026-07. Impact + chemical resistance — bumper beams, exterior body panels, sill covers. coolFactor ~2.3 s/mm². | Refresh 2026-09: NOT SOURCED — pc, pbt: Not sourced this period: engineering resin prices are paywalled (PIE/ICIS). Direction only: PC rising through Aug 2026, PA6 rebounding, PA66 under pressure, PET declining — no like-for-like June→Sep figures. Held at the June 2026 price.</v>
      </c>
      <c r="J142" s="33" t="s">
        <v>1393</v>
      </c>
      <c r="K142" s="37" t="str">
        <f>IFERROR(INDEX(Mapping!$C$2:$C$549,MATCH($A142,Mapping!$A$2:$A$549,0)),"")</f>
        <v/>
      </c>
      <c r="L142" s="37">
        <f>IF($K142="",0,COUNTIFS('JLR Materials'!$A$2:$A$20001,$K142,'JLR Materials'!$C$2:$C$20001,IF(Settings!$B$2="","&lt;&gt;",Settings!$B$2),'JLR Materials'!$D$2:$D$20001,IF(Settings!$B$4="","&lt;&gt;",Settings!$B$4)))</f>
        <v>0</v>
      </c>
      <c r="M142" s="38">
        <f>IF($L142&lt;&gt;1,0,SUMIFS('JLR Materials'!$E$2:$E$20001,'JLR Materials'!$A$2:$A$20001,$K142,'JLR Materials'!$C$2:$C$20001,IF(Settings!$B$2="","&lt;&gt;",Settings!$B$2),'JLR Materials'!$D$2:$D$20001,IF(Settings!$B$4="","&lt;&gt;",Settings!$B$4)))</f>
        <v>0</v>
      </c>
      <c r="N142" s="39">
        <f>IF($L142&lt;&gt;1,0,SUMIFS('JLR Materials'!$F$2:$F$20001,'JLR Materials'!$A$2:$A$20001,$K142,'JLR Materials'!$C$2:$C$20001,IF(Settings!$B$2="","&lt;&gt;",Settings!$B$2),'JLR Materials'!$D$2:$D$20001,IF(Settings!$B$4="","&lt;&gt;",Settings!$B$4)))</f>
        <v>0</v>
      </c>
      <c r="O142" s="38">
        <f>IF($N142=0,0,IF(Settings!$B$5="percent",$M142*$N142/100,$N142))</f>
        <v>0</v>
      </c>
      <c r="P142" s="39">
        <f>IF($L142&lt;&gt;1,0,SUMIFS('JLR Materials'!$G$2:$G$20001,'JLR Materials'!$A$2:$A$20001,$K142,'JLR Materials'!$C$2:$C$20001,IF(Settings!$B$2="","&lt;&gt;",Settings!$B$2),'JLR Materials'!$D$2:$D$20001,IF(Settings!$B$4="","&lt;&gt;",Settings!$B$4)))</f>
        <v>0</v>
      </c>
      <c r="Q142" s="40" t="s">
        <v>1692</v>
      </c>
      <c r="R142" s="40" t="s">
        <v>1382</v>
      </c>
    </row>
    <row r="143" spans="1:18" x14ac:dyDescent="0.25">
      <c r="A143" s="32" t="s">
        <v>549</v>
      </c>
      <c r="B143" s="33" t="s">
        <v>1693</v>
      </c>
      <c r="C143" s="33" t="s">
        <v>1605</v>
      </c>
      <c r="D143" s="34">
        <f>IF($M143&gt;0,$M143,3.4)</f>
        <v>3.4</v>
      </c>
      <c r="E143" s="34">
        <f>IF($O143&gt;0,$O143,0.08)</f>
        <v>0.08</v>
      </c>
      <c r="F143" s="35">
        <v>1090</v>
      </c>
      <c r="G143" s="33" t="s">
        <v>1379</v>
      </c>
      <c r="H143" s="36" t="str">
        <f>IF($M143&gt;0,IF($L143&lt;&gt;1,$R143,IFERROR(INDEX('JLR Materials'!$D$2:$D$20001,MATCH($K143,'JLR Materials'!$A$2:$A$20001,0)),$R143)),$R143)</f>
        <v>2026-09</v>
      </c>
      <c r="I143" s="36" t="str">
        <f>IF($M143&gt;0,"JLR rate card — material code "&amp;$K143,$Q143)</f>
        <v>UK resin distributor. Index-anchored 2026-07. Modified PPE — dimensional stability, low moisture — EV battery components, e-mobility, panels. coolFactor ~2.2 s/mm². | Refresh 2026-09: SPECIALTY — no public market index for this grade; held at the June 2026 price — refresh by supplier quote</v>
      </c>
      <c r="J143" s="33" t="s">
        <v>1393</v>
      </c>
      <c r="K143" s="37" t="str">
        <f>IFERROR(INDEX(Mapping!$C$2:$C$549,MATCH($A143,Mapping!$A$2:$A$549,0)),"")</f>
        <v/>
      </c>
      <c r="L143" s="37">
        <f>IF($K143="",0,COUNTIFS('JLR Materials'!$A$2:$A$20001,$K143,'JLR Materials'!$C$2:$C$20001,IF(Settings!$B$2="","&lt;&gt;",Settings!$B$2),'JLR Materials'!$D$2:$D$20001,IF(Settings!$B$4="","&lt;&gt;",Settings!$B$4)))</f>
        <v>0</v>
      </c>
      <c r="M143" s="38">
        <f>IF($L143&lt;&gt;1,0,SUMIFS('JLR Materials'!$E$2:$E$20001,'JLR Materials'!$A$2:$A$20001,$K143,'JLR Materials'!$C$2:$C$20001,IF(Settings!$B$2="","&lt;&gt;",Settings!$B$2),'JLR Materials'!$D$2:$D$20001,IF(Settings!$B$4="","&lt;&gt;",Settings!$B$4)))</f>
        <v>0</v>
      </c>
      <c r="N143" s="39">
        <f>IF($L143&lt;&gt;1,0,SUMIFS('JLR Materials'!$F$2:$F$20001,'JLR Materials'!$A$2:$A$20001,$K143,'JLR Materials'!$C$2:$C$20001,IF(Settings!$B$2="","&lt;&gt;",Settings!$B$2),'JLR Materials'!$D$2:$D$20001,IF(Settings!$B$4="","&lt;&gt;",Settings!$B$4)))</f>
        <v>0</v>
      </c>
      <c r="O143" s="38">
        <f>IF($N143=0,0,IF(Settings!$B$5="percent",$M143*$N143/100,$N143))</f>
        <v>0</v>
      </c>
      <c r="P143" s="39">
        <f>IF($L143&lt;&gt;1,0,SUMIFS('JLR Materials'!$G$2:$G$20001,'JLR Materials'!$A$2:$A$20001,$K143,'JLR Materials'!$C$2:$C$20001,IF(Settings!$B$2="","&lt;&gt;",Settings!$B$2),'JLR Materials'!$D$2:$D$20001,IF(Settings!$B$4="","&lt;&gt;",Settings!$B$4)))</f>
        <v>0</v>
      </c>
      <c r="Q143" s="40" t="s">
        <v>1694</v>
      </c>
      <c r="R143" s="40" t="s">
        <v>1382</v>
      </c>
    </row>
    <row r="144" spans="1:18" x14ac:dyDescent="0.25">
      <c r="A144" s="32" t="s">
        <v>551</v>
      </c>
      <c r="B144" s="33" t="s">
        <v>1695</v>
      </c>
      <c r="C144" s="33" t="s">
        <v>1605</v>
      </c>
      <c r="D144" s="34">
        <f>IF($M144&gt;0,$M144,3.6)</f>
        <v>3.6</v>
      </c>
      <c r="E144" s="34">
        <f>IF($O144&gt;0,$O144,0.08)</f>
        <v>0.08</v>
      </c>
      <c r="F144" s="35">
        <v>1220</v>
      </c>
      <c r="G144" s="33" t="s">
        <v>1379</v>
      </c>
      <c r="H144" s="36" t="str">
        <f>IF($M144&gt;0,IF($L144&lt;&gt;1,$R144,IFERROR(INDEX('JLR Materials'!$D$2:$D$20001,MATCH($K144,'JLR Materials'!$A$2:$A$20001,0)),$R144)),$R144)</f>
        <v>2026-09</v>
      </c>
      <c r="I144" s="36" t="str">
        <f>IF($M144&gt;0,"JLR rate card — material code "&amp;$K144,$Q144)</f>
        <v>UK resin distributor. Index-anchored 2026-07. Flame-retardant PC — EV enclosures, chargers, HV connectors, electronics. coolFactor ~2.5 s/mm². | Refresh 2026-09: NOT SOURCED — pc: Not sourced this period: engineering resin prices are paywalled (PIE/ICIS). Direction only: PC rising through Aug 2026, PA6 rebounding, PA66 under pressure, PET declining — no like-for-like June→Sep figures. Held at the June 2026 price.</v>
      </c>
      <c r="J144" s="33" t="s">
        <v>1393</v>
      </c>
      <c r="K144" s="37" t="str">
        <f>IFERROR(INDEX(Mapping!$C$2:$C$549,MATCH($A144,Mapping!$A$2:$A$549,0)),"")</f>
        <v/>
      </c>
      <c r="L144" s="37">
        <f>IF($K144="",0,COUNTIFS('JLR Materials'!$A$2:$A$20001,$K144,'JLR Materials'!$C$2:$C$20001,IF(Settings!$B$2="","&lt;&gt;",Settings!$B$2),'JLR Materials'!$D$2:$D$20001,IF(Settings!$B$4="","&lt;&gt;",Settings!$B$4)))</f>
        <v>0</v>
      </c>
      <c r="M144" s="38">
        <f>IF($L144&lt;&gt;1,0,SUMIFS('JLR Materials'!$E$2:$E$20001,'JLR Materials'!$A$2:$A$20001,$K144,'JLR Materials'!$C$2:$C$20001,IF(Settings!$B$2="","&lt;&gt;",Settings!$B$2),'JLR Materials'!$D$2:$D$20001,IF(Settings!$B$4="","&lt;&gt;",Settings!$B$4)))</f>
        <v>0</v>
      </c>
      <c r="N144" s="39">
        <f>IF($L144&lt;&gt;1,0,SUMIFS('JLR Materials'!$F$2:$F$20001,'JLR Materials'!$A$2:$A$20001,$K144,'JLR Materials'!$C$2:$C$20001,IF(Settings!$B$2="","&lt;&gt;",Settings!$B$2),'JLR Materials'!$D$2:$D$20001,IF(Settings!$B$4="","&lt;&gt;",Settings!$B$4)))</f>
        <v>0</v>
      </c>
      <c r="O144" s="38">
        <f>IF($N144=0,0,IF(Settings!$B$5="percent",$M144*$N144/100,$N144))</f>
        <v>0</v>
      </c>
      <c r="P144" s="39">
        <f>IF($L144&lt;&gt;1,0,SUMIFS('JLR Materials'!$G$2:$G$20001,'JLR Materials'!$A$2:$A$20001,$K144,'JLR Materials'!$C$2:$C$20001,IF(Settings!$B$2="","&lt;&gt;",Settings!$B$2),'JLR Materials'!$D$2:$D$20001,IF(Settings!$B$4="","&lt;&gt;",Settings!$B$4)))</f>
        <v>0</v>
      </c>
      <c r="Q144" s="40" t="s">
        <v>1696</v>
      </c>
      <c r="R144" s="40" t="s">
        <v>1382</v>
      </c>
    </row>
    <row r="145" spans="1:18" x14ac:dyDescent="0.25">
      <c r="A145" s="32" t="s">
        <v>553</v>
      </c>
      <c r="B145" s="33" t="s">
        <v>1697</v>
      </c>
      <c r="C145" s="33" t="s">
        <v>1605</v>
      </c>
      <c r="D145" s="34">
        <f>IF($M145&gt;0,$M145,4.2)</f>
        <v>4.2</v>
      </c>
      <c r="E145" s="34">
        <f>IF($O145&gt;0,$O145,0.05)</f>
        <v>0.05</v>
      </c>
      <c r="F145" s="35">
        <v>1450</v>
      </c>
      <c r="G145" s="33" t="s">
        <v>1379</v>
      </c>
      <c r="H145" s="36" t="str">
        <f>IF($M145&gt;0,IF($L145&lt;&gt;1,$R145,IFERROR(INDEX('JLR Materials'!$D$2:$D$20001,MATCH($K145,'JLR Materials'!$A$2:$A$20001,0)),$R145)),$R145)</f>
        <v>2026-09</v>
      </c>
      <c r="I145" s="36" t="str">
        <f>IF($M145&gt;0,"JLR rate card — material code "&amp;$K145,$Q145)</f>
        <v>UK resin distributor. Index-anchored 2026-07. Halogen-free FR glass-filled PA66 — HV connectors, busbar carriers, EV. coolFactor ~2.0 s/mm². | Refresh 2026-09: NOT SOURCED — pa66: Not sourced this period: engineering resin prices are paywalled (PIE/ICIS). Direction only: PC rising through Aug 2026, PA6 rebounding, PA66 under pressure, PET declining — no like-for-like June→Sep figures. Held at the June 2026 price.</v>
      </c>
      <c r="J145" s="33" t="s">
        <v>1393</v>
      </c>
      <c r="K145" s="37" t="str">
        <f>IFERROR(INDEX(Mapping!$C$2:$C$549,MATCH($A145,Mapping!$A$2:$A$549,0)),"")</f>
        <v/>
      </c>
      <c r="L145" s="37">
        <f>IF($K145="",0,COUNTIFS('JLR Materials'!$A$2:$A$20001,$K145,'JLR Materials'!$C$2:$C$20001,IF(Settings!$B$2="","&lt;&gt;",Settings!$B$2),'JLR Materials'!$D$2:$D$20001,IF(Settings!$B$4="","&lt;&gt;",Settings!$B$4)))</f>
        <v>0</v>
      </c>
      <c r="M145" s="38">
        <f>IF($L145&lt;&gt;1,0,SUMIFS('JLR Materials'!$E$2:$E$20001,'JLR Materials'!$A$2:$A$20001,$K145,'JLR Materials'!$C$2:$C$20001,IF(Settings!$B$2="","&lt;&gt;",Settings!$B$2),'JLR Materials'!$D$2:$D$20001,IF(Settings!$B$4="","&lt;&gt;",Settings!$B$4)))</f>
        <v>0</v>
      </c>
      <c r="N145" s="39">
        <f>IF($L145&lt;&gt;1,0,SUMIFS('JLR Materials'!$F$2:$F$20001,'JLR Materials'!$A$2:$A$20001,$K145,'JLR Materials'!$C$2:$C$20001,IF(Settings!$B$2="","&lt;&gt;",Settings!$B$2),'JLR Materials'!$D$2:$D$20001,IF(Settings!$B$4="","&lt;&gt;",Settings!$B$4)))</f>
        <v>0</v>
      </c>
      <c r="O145" s="38">
        <f>IF($N145=0,0,IF(Settings!$B$5="percent",$M145*$N145/100,$N145))</f>
        <v>0</v>
      </c>
      <c r="P145" s="39">
        <f>IF($L145&lt;&gt;1,0,SUMIFS('JLR Materials'!$G$2:$G$20001,'JLR Materials'!$A$2:$A$20001,$K145,'JLR Materials'!$C$2:$C$20001,IF(Settings!$B$2="","&lt;&gt;",Settings!$B$2),'JLR Materials'!$D$2:$D$20001,IF(Settings!$B$4="","&lt;&gt;",Settings!$B$4)))</f>
        <v>0</v>
      </c>
      <c r="Q145" s="40" t="s">
        <v>1698</v>
      </c>
      <c r="R145" s="40" t="s">
        <v>1382</v>
      </c>
    </row>
    <row r="146" spans="1:18" x14ac:dyDescent="0.25">
      <c r="A146" s="32" t="s">
        <v>555</v>
      </c>
      <c r="B146" s="33" t="s">
        <v>1699</v>
      </c>
      <c r="C146" s="33" t="s">
        <v>1605</v>
      </c>
      <c r="D146" s="34">
        <f>IF($M146&gt;0,$M146,0.97)</f>
        <v>0.97</v>
      </c>
      <c r="E146" s="34">
        <f>IF($O146&gt;0,$O146,0.1)</f>
        <v>0.1</v>
      </c>
      <c r="F146" s="35">
        <v>905</v>
      </c>
      <c r="G146" s="33" t="s">
        <v>1379</v>
      </c>
      <c r="H146" s="36" t="str">
        <f>IF($M146&gt;0,IF($L146&lt;&gt;1,$R146,IFERROR(INDEX('JLR Materials'!$D$2:$D$20001,MATCH($K146,'JLR Materials'!$A$2:$A$20001,0)),$R146)),$R146)</f>
        <v>2026-09</v>
      </c>
      <c r="I146" s="36" t="str">
        <f>IF($M146&gt;0,"JLR rate card — material code "&amp;$K146,$Q146)</f>
        <v>UK recycler. Index-anchored 2026-07. Recycled PP — non-visible trim, wheel-arch liners, under-body. ~10% cheaper than virgin, far lower CO₂; wider property tolerance. coolFactor ~3.16 s/mm². | Refresh 2026-09: +£0.016/kg from 0.6kg pp £0.960→£0.987/kg; premiums held</v>
      </c>
      <c r="J146" s="33" t="s">
        <v>1393</v>
      </c>
      <c r="K146" s="37" t="str">
        <f>IFERROR(INDEX(Mapping!$C$2:$C$549,MATCH($A146,Mapping!$A$2:$A$549,0)),"")</f>
        <v/>
      </c>
      <c r="L146" s="37">
        <f>IF($K146="",0,COUNTIFS('JLR Materials'!$A$2:$A$20001,$K146,'JLR Materials'!$C$2:$C$20001,IF(Settings!$B$2="","&lt;&gt;",Settings!$B$2),'JLR Materials'!$D$2:$D$20001,IF(Settings!$B$4="","&lt;&gt;",Settings!$B$4)))</f>
        <v>0</v>
      </c>
      <c r="M146" s="38">
        <f>IF($L146&lt;&gt;1,0,SUMIFS('JLR Materials'!$E$2:$E$20001,'JLR Materials'!$A$2:$A$20001,$K146,'JLR Materials'!$C$2:$C$20001,IF(Settings!$B$2="","&lt;&gt;",Settings!$B$2),'JLR Materials'!$D$2:$D$20001,IF(Settings!$B$4="","&lt;&gt;",Settings!$B$4)))</f>
        <v>0</v>
      </c>
      <c r="N146" s="39">
        <f>IF($L146&lt;&gt;1,0,SUMIFS('JLR Materials'!$F$2:$F$20001,'JLR Materials'!$A$2:$A$20001,$K146,'JLR Materials'!$C$2:$C$20001,IF(Settings!$B$2="","&lt;&gt;",Settings!$B$2),'JLR Materials'!$D$2:$D$20001,IF(Settings!$B$4="","&lt;&gt;",Settings!$B$4)))</f>
        <v>0</v>
      </c>
      <c r="O146" s="38">
        <f>IF($N146=0,0,IF(Settings!$B$5="percent",$M146*$N146/100,$N146))</f>
        <v>0</v>
      </c>
      <c r="P146" s="39">
        <f>IF($L146&lt;&gt;1,0,SUMIFS('JLR Materials'!$G$2:$G$20001,'JLR Materials'!$A$2:$A$20001,$K146,'JLR Materials'!$C$2:$C$20001,IF(Settings!$B$2="","&lt;&gt;",Settings!$B$2),'JLR Materials'!$D$2:$D$20001,IF(Settings!$B$4="","&lt;&gt;",Settings!$B$4)))</f>
        <v>0</v>
      </c>
      <c r="Q146" s="40" t="s">
        <v>1700</v>
      </c>
      <c r="R146" s="40" t="s">
        <v>1382</v>
      </c>
    </row>
    <row r="147" spans="1:18" x14ac:dyDescent="0.25">
      <c r="A147" s="32" t="s">
        <v>557</v>
      </c>
      <c r="B147" s="33" t="s">
        <v>1701</v>
      </c>
      <c r="C147" s="33" t="s">
        <v>1653</v>
      </c>
      <c r="D147" s="34">
        <f>IF($M147&gt;0,$M147,5.5)</f>
        <v>5.5</v>
      </c>
      <c r="E147" s="34">
        <f>IF($O147&gt;0,$O147,0.1)</f>
        <v>0.1</v>
      </c>
      <c r="F147" s="35">
        <v>1070</v>
      </c>
      <c r="G147" s="33" t="s">
        <v>1379</v>
      </c>
      <c r="H147" s="36" t="str">
        <f>IF($M147&gt;0,IF($L147&lt;&gt;1,$R147,IFERROR(INDEX('JLR Materials'!$D$2:$D$20001,MATCH($K147,'JLR Materials'!$A$2:$A$20001,0)),$R147)),$R147)</f>
        <v>2026-09</v>
      </c>
      <c r="I147" s="36" t="str">
        <f>IF($M147&gt;0,"JLR rate card — material code "&amp;$K147,$Q147)</f>
        <v>UK resin distributor. Index-anchored 2026-07. Partly bio-based polyamide — low moisture uptake, sustainable structural/fuel-system parts. coolFactor ~2.1 s/mm². | Refresh 2026-09: SPECIALTY — no public market index for this grade; held at the June 2026 price — refresh by supplier quote</v>
      </c>
      <c r="J147" s="33" t="s">
        <v>1393</v>
      </c>
      <c r="K147" s="37" t="str">
        <f>IFERROR(INDEX(Mapping!$C$2:$C$549,MATCH($A147,Mapping!$A$2:$A$549,0)),"")</f>
        <v/>
      </c>
      <c r="L147" s="37">
        <f>IF($K147="",0,COUNTIFS('JLR Materials'!$A$2:$A$20001,$K147,'JLR Materials'!$C$2:$C$20001,IF(Settings!$B$2="","&lt;&gt;",Settings!$B$2),'JLR Materials'!$D$2:$D$20001,IF(Settings!$B$4="","&lt;&gt;",Settings!$B$4)))</f>
        <v>0</v>
      </c>
      <c r="M147" s="38">
        <f>IF($L147&lt;&gt;1,0,SUMIFS('JLR Materials'!$E$2:$E$20001,'JLR Materials'!$A$2:$A$20001,$K147,'JLR Materials'!$C$2:$C$20001,IF(Settings!$B$2="","&lt;&gt;",Settings!$B$2),'JLR Materials'!$D$2:$D$20001,IF(Settings!$B$4="","&lt;&gt;",Settings!$B$4)))</f>
        <v>0</v>
      </c>
      <c r="N147" s="39">
        <f>IF($L147&lt;&gt;1,0,SUMIFS('JLR Materials'!$F$2:$F$20001,'JLR Materials'!$A$2:$A$20001,$K147,'JLR Materials'!$C$2:$C$20001,IF(Settings!$B$2="","&lt;&gt;",Settings!$B$2),'JLR Materials'!$D$2:$D$20001,IF(Settings!$B$4="","&lt;&gt;",Settings!$B$4)))</f>
        <v>0</v>
      </c>
      <c r="O147" s="38">
        <f>IF($N147=0,0,IF(Settings!$B$5="percent",$M147*$N147/100,$N147))</f>
        <v>0</v>
      </c>
      <c r="P147" s="39">
        <f>IF($L147&lt;&gt;1,0,SUMIFS('JLR Materials'!$G$2:$G$20001,'JLR Materials'!$A$2:$A$20001,$K147,'JLR Materials'!$C$2:$C$20001,IF(Settings!$B$2="","&lt;&gt;",Settings!$B$2),'JLR Materials'!$D$2:$D$20001,IF(Settings!$B$4="","&lt;&gt;",Settings!$B$4)))</f>
        <v>0</v>
      </c>
      <c r="Q147" s="40" t="s">
        <v>1702</v>
      </c>
      <c r="R147" s="40" t="s">
        <v>1382</v>
      </c>
    </row>
    <row r="148" spans="1:18" x14ac:dyDescent="0.25">
      <c r="A148" s="32" t="s">
        <v>559</v>
      </c>
      <c r="B148" s="33" t="s">
        <v>1703</v>
      </c>
      <c r="C148" s="33" t="s">
        <v>1605</v>
      </c>
      <c r="D148" s="34">
        <f>IF($M148&gt;0,$M148,4.2)</f>
        <v>4.2</v>
      </c>
      <c r="E148" s="34">
        <f>IF($O148&gt;0,$O148,0.08)</f>
        <v>0.08</v>
      </c>
      <c r="F148" s="35">
        <v>1200</v>
      </c>
      <c r="G148" s="33" t="s">
        <v>1379</v>
      </c>
      <c r="H148" s="36" t="str">
        <f>IF($M148&gt;0,IF($L148&lt;&gt;1,$R148,IFERROR(INDEX('JLR Materials'!$D$2:$D$20001,MATCH($K148,'JLR Materials'!$A$2:$A$20001,0)),$R148)),$R148)</f>
        <v>2026-09</v>
      </c>
      <c r="I148" s="36" t="str">
        <f>IF($M148&gt;0,"JLR rate card — material code "&amp;$K148,$Q148)</f>
        <v>UK resin distributor. Index-anchored 2026-07. Hard-coat-ready PC for polycarbonate glazing — panoramic roofs, fixed side windows, lightweighting vs glass. coolFactor ~2.5 s/mm². | Refresh 2026-09: NOT SOURCED — pc: Not sourced this period: engineering resin prices are paywalled (PIE/ICIS). Direction only: PC rising through Aug 2026, PA6 rebounding, PA66 under pressure, PET declining — no like-for-like June→Sep figures. Held at the June 2026 price.</v>
      </c>
      <c r="J148" s="33" t="s">
        <v>1393</v>
      </c>
      <c r="K148" s="37" t="str">
        <f>IFERROR(INDEX(Mapping!$C$2:$C$549,MATCH($A148,Mapping!$A$2:$A$549,0)),"")</f>
        <v/>
      </c>
      <c r="L148" s="37">
        <f>IF($K148="",0,COUNTIFS('JLR Materials'!$A$2:$A$20001,$K148,'JLR Materials'!$C$2:$C$20001,IF(Settings!$B$2="","&lt;&gt;",Settings!$B$2),'JLR Materials'!$D$2:$D$20001,IF(Settings!$B$4="","&lt;&gt;",Settings!$B$4)))</f>
        <v>0</v>
      </c>
      <c r="M148" s="38">
        <f>IF($L148&lt;&gt;1,0,SUMIFS('JLR Materials'!$E$2:$E$20001,'JLR Materials'!$A$2:$A$20001,$K148,'JLR Materials'!$C$2:$C$20001,IF(Settings!$B$2="","&lt;&gt;",Settings!$B$2),'JLR Materials'!$D$2:$D$20001,IF(Settings!$B$4="","&lt;&gt;",Settings!$B$4)))</f>
        <v>0</v>
      </c>
      <c r="N148" s="39">
        <f>IF($L148&lt;&gt;1,0,SUMIFS('JLR Materials'!$F$2:$F$20001,'JLR Materials'!$A$2:$A$20001,$K148,'JLR Materials'!$C$2:$C$20001,IF(Settings!$B$2="","&lt;&gt;",Settings!$B$2),'JLR Materials'!$D$2:$D$20001,IF(Settings!$B$4="","&lt;&gt;",Settings!$B$4)))</f>
        <v>0</v>
      </c>
      <c r="O148" s="38">
        <f>IF($N148=0,0,IF(Settings!$B$5="percent",$M148*$N148/100,$N148))</f>
        <v>0</v>
      </c>
      <c r="P148" s="39">
        <f>IF($L148&lt;&gt;1,0,SUMIFS('JLR Materials'!$G$2:$G$20001,'JLR Materials'!$A$2:$A$20001,$K148,'JLR Materials'!$C$2:$C$20001,IF(Settings!$B$2="","&lt;&gt;",Settings!$B$2),'JLR Materials'!$D$2:$D$20001,IF(Settings!$B$4="","&lt;&gt;",Settings!$B$4)))</f>
        <v>0</v>
      </c>
      <c r="Q148" s="40" t="s">
        <v>1704</v>
      </c>
      <c r="R148" s="40" t="s">
        <v>1382</v>
      </c>
    </row>
    <row r="149" spans="1:18" x14ac:dyDescent="0.25">
      <c r="A149" s="32" t="s">
        <v>561</v>
      </c>
      <c r="B149" s="33" t="s">
        <v>1705</v>
      </c>
      <c r="C149" s="33" t="s">
        <v>1706</v>
      </c>
      <c r="D149" s="34">
        <f>IF($M149&gt;0,$M149,2.75)</f>
        <v>2.75</v>
      </c>
      <c r="E149" s="34">
        <f>IF($O149&gt;0,$O149,0.54)</f>
        <v>0.54</v>
      </c>
      <c r="F149" s="35">
        <v>2700</v>
      </c>
      <c r="G149" s="33" t="s">
        <v>1379</v>
      </c>
      <c r="H149" s="36" t="str">
        <f>IF($M149&gt;0,IF($L149&lt;&gt;1,$R149,IFERROR(INDEX('JLR Materials'!$D$2:$D$20001,MATCH($K149,'JLR Materials'!$A$2:$A$20001,0)),$R149)),$R149)</f>
        <v>2026-09</v>
      </c>
      <c r="I149" s="36" t="str">
        <f>IF($M149&gt;0,"JLR rate card — material code "&amp;$K149,$Q149)</f>
        <v>UK Al alloy ingot, Jun 2026. Index-anchored 2026-07 (see CASTING PRICING BASIS). | Refresh 2026-09: −£0.035/kg from 0.85kg al £2.910→£2.849/kg, 0.11kg si £1.000→£1.000/kg, 0.025kg cu £10.070→£10.768/kg; premiums held</v>
      </c>
      <c r="J149" s="33" t="s">
        <v>1380</v>
      </c>
      <c r="K149" s="37" t="str">
        <f>IFERROR(INDEX(Mapping!$C$2:$C$549,MATCH($A149,Mapping!$A$2:$A$549,0)),"")</f>
        <v/>
      </c>
      <c r="L149" s="37">
        <f>IF($K149="",0,COUNTIFS('JLR Materials'!$A$2:$A$20001,$K149,'JLR Materials'!$C$2:$C$20001,IF(Settings!$B$2="","&lt;&gt;",Settings!$B$2),'JLR Materials'!$D$2:$D$20001,IF(Settings!$B$4="","&lt;&gt;",Settings!$B$4)))</f>
        <v>0</v>
      </c>
      <c r="M149" s="38">
        <f>IF($L149&lt;&gt;1,0,SUMIFS('JLR Materials'!$E$2:$E$20001,'JLR Materials'!$A$2:$A$20001,$K149,'JLR Materials'!$C$2:$C$20001,IF(Settings!$B$2="","&lt;&gt;",Settings!$B$2),'JLR Materials'!$D$2:$D$20001,IF(Settings!$B$4="","&lt;&gt;",Settings!$B$4)))</f>
        <v>0</v>
      </c>
      <c r="N149" s="39">
        <f>IF($L149&lt;&gt;1,0,SUMIFS('JLR Materials'!$F$2:$F$20001,'JLR Materials'!$A$2:$A$20001,$K149,'JLR Materials'!$C$2:$C$20001,IF(Settings!$B$2="","&lt;&gt;",Settings!$B$2),'JLR Materials'!$D$2:$D$20001,IF(Settings!$B$4="","&lt;&gt;",Settings!$B$4)))</f>
        <v>0</v>
      </c>
      <c r="O149" s="38">
        <f>IF($N149=0,0,IF(Settings!$B$5="percent",$M149*$N149/100,$N149))</f>
        <v>0</v>
      </c>
      <c r="P149" s="39">
        <f>IF($L149&lt;&gt;1,0,SUMIFS('JLR Materials'!$G$2:$G$20001,'JLR Materials'!$A$2:$A$20001,$K149,'JLR Materials'!$C$2:$C$20001,IF(Settings!$B$2="","&lt;&gt;",Settings!$B$2),'JLR Materials'!$D$2:$D$20001,IF(Settings!$B$4="","&lt;&gt;",Settings!$B$4)))</f>
        <v>0</v>
      </c>
      <c r="Q149" s="40" t="s">
        <v>1707</v>
      </c>
      <c r="R149" s="40" t="s">
        <v>1382</v>
      </c>
    </row>
    <row r="150" spans="1:18" x14ac:dyDescent="0.25">
      <c r="A150" s="32" t="s">
        <v>563</v>
      </c>
      <c r="B150" s="33" t="s">
        <v>1708</v>
      </c>
      <c r="C150" s="33" t="s">
        <v>1706</v>
      </c>
      <c r="D150" s="34">
        <f>IF($M150&gt;0,$M150,2.8)</f>
        <v>2.8</v>
      </c>
      <c r="E150" s="34">
        <f>IF($O150&gt;0,$O150,0.54)</f>
        <v>0.54</v>
      </c>
      <c r="F150" s="35">
        <v>2680</v>
      </c>
      <c r="G150" s="33" t="s">
        <v>1379</v>
      </c>
      <c r="H150" s="36" t="str">
        <f>IF($M150&gt;0,IF($L150&lt;&gt;1,$R150,IFERROR(INDEX('JLR Materials'!$D$2:$D$20001,MATCH($K150,'JLR Materials'!$A$2:$A$20001,0)),$R150)),$R150)</f>
        <v>2026-09</v>
      </c>
      <c r="I150" s="36" t="str">
        <f>IF($M150&gt;0,"JLR rate card — material code "&amp;$K150,$Q150)</f>
        <v>UK Al alloy ingot, Jun 2026. Index-anchored 2026-07 (see CASTING PRICING BASIS). | Refresh 2026-09: −£0.028/kg from 0.85kg al £2.910→£2.849/kg, 0.085kg si £1.000→£1.000/kg, 0.035kg cu £10.070→£10.768/kg; premiums held</v>
      </c>
      <c r="J150" s="33" t="s">
        <v>1380</v>
      </c>
      <c r="K150" s="37" t="str">
        <f>IFERROR(INDEX(Mapping!$C$2:$C$549,MATCH($A150,Mapping!$A$2:$A$549,0)),"")</f>
        <v/>
      </c>
      <c r="L150" s="37">
        <f>IF($K150="",0,COUNTIFS('JLR Materials'!$A$2:$A$20001,$K150,'JLR Materials'!$C$2:$C$20001,IF(Settings!$B$2="","&lt;&gt;",Settings!$B$2),'JLR Materials'!$D$2:$D$20001,IF(Settings!$B$4="","&lt;&gt;",Settings!$B$4)))</f>
        <v>0</v>
      </c>
      <c r="M150" s="38">
        <f>IF($L150&lt;&gt;1,0,SUMIFS('JLR Materials'!$E$2:$E$20001,'JLR Materials'!$A$2:$A$20001,$K150,'JLR Materials'!$C$2:$C$20001,IF(Settings!$B$2="","&lt;&gt;",Settings!$B$2),'JLR Materials'!$D$2:$D$20001,IF(Settings!$B$4="","&lt;&gt;",Settings!$B$4)))</f>
        <v>0</v>
      </c>
      <c r="N150" s="39">
        <f>IF($L150&lt;&gt;1,0,SUMIFS('JLR Materials'!$F$2:$F$20001,'JLR Materials'!$A$2:$A$20001,$K150,'JLR Materials'!$C$2:$C$20001,IF(Settings!$B$2="","&lt;&gt;",Settings!$B$2),'JLR Materials'!$D$2:$D$20001,IF(Settings!$B$4="","&lt;&gt;",Settings!$B$4)))</f>
        <v>0</v>
      </c>
      <c r="O150" s="38">
        <f>IF($N150=0,0,IF(Settings!$B$5="percent",$M150*$N150/100,$N150))</f>
        <v>0</v>
      </c>
      <c r="P150" s="39">
        <f>IF($L150&lt;&gt;1,0,SUMIFS('JLR Materials'!$G$2:$G$20001,'JLR Materials'!$A$2:$A$20001,$K150,'JLR Materials'!$C$2:$C$20001,IF(Settings!$B$2="","&lt;&gt;",Settings!$B$2),'JLR Materials'!$D$2:$D$20001,IF(Settings!$B$4="","&lt;&gt;",Settings!$B$4)))</f>
        <v>0</v>
      </c>
      <c r="Q150" s="40" t="s">
        <v>1709</v>
      </c>
      <c r="R150" s="40" t="s">
        <v>1382</v>
      </c>
    </row>
    <row r="151" spans="1:18" x14ac:dyDescent="0.25">
      <c r="A151" s="32" t="s">
        <v>565</v>
      </c>
      <c r="B151" s="33" t="s">
        <v>1710</v>
      </c>
      <c r="C151" s="33" t="s">
        <v>1711</v>
      </c>
      <c r="D151" s="34">
        <f>IF($M151&gt;0,$M151,0.64)</f>
        <v>0.64</v>
      </c>
      <c r="E151" s="34">
        <f>IF($O151&gt;0,$O151,0.12)</f>
        <v>0.12</v>
      </c>
      <c r="F151" s="35">
        <v>7200</v>
      </c>
      <c r="G151" s="33" t="s">
        <v>1379</v>
      </c>
      <c r="H151" s="36" t="str">
        <f>IF($M151&gt;0,IF($L151&lt;&gt;1,$R151,IFERROR(INDEX('JLR Materials'!$D$2:$D$20001,MATCH($K151,'JLR Materials'!$A$2:$A$20001,0)),$R151)),$R151)</f>
        <v>2026-09</v>
      </c>
      <c r="I151" s="36" t="str">
        <f>IF($M151&gt;0,"JLR rate card — material code "&amp;$K151,$Q151)</f>
        <v>UK iron foundry, Jun 2026. Index-anchored 2026-07 (see CASTING PRICING BASIS). | Refresh 2026-09: NOT SOURCED — pigiron, scrap: Not sourced this period: no June 2026 foundry pig iron or steel scrap price found on a like-for-like basis (Turkish HMS ’June’ figure found was a 2020 article; UK yard prices not comparable). Held at the June 2026 price.</v>
      </c>
      <c r="J151" s="33" t="s">
        <v>1393</v>
      </c>
      <c r="K151" s="37" t="str">
        <f>IFERROR(INDEX(Mapping!$C$2:$C$549,MATCH($A151,Mapping!$A$2:$A$549,0)),"")</f>
        <v/>
      </c>
      <c r="L151" s="37">
        <f>IF($K151="",0,COUNTIFS('JLR Materials'!$A$2:$A$20001,$K151,'JLR Materials'!$C$2:$C$20001,IF(Settings!$B$2="","&lt;&gt;",Settings!$B$2),'JLR Materials'!$D$2:$D$20001,IF(Settings!$B$4="","&lt;&gt;",Settings!$B$4)))</f>
        <v>0</v>
      </c>
      <c r="M151" s="38">
        <f>IF($L151&lt;&gt;1,0,SUMIFS('JLR Materials'!$E$2:$E$20001,'JLR Materials'!$A$2:$A$20001,$K151,'JLR Materials'!$C$2:$C$20001,IF(Settings!$B$2="","&lt;&gt;",Settings!$B$2),'JLR Materials'!$D$2:$D$20001,IF(Settings!$B$4="","&lt;&gt;",Settings!$B$4)))</f>
        <v>0</v>
      </c>
      <c r="N151" s="39">
        <f>IF($L151&lt;&gt;1,0,SUMIFS('JLR Materials'!$F$2:$F$20001,'JLR Materials'!$A$2:$A$20001,$K151,'JLR Materials'!$C$2:$C$20001,IF(Settings!$B$2="","&lt;&gt;",Settings!$B$2),'JLR Materials'!$D$2:$D$20001,IF(Settings!$B$4="","&lt;&gt;",Settings!$B$4)))</f>
        <v>0</v>
      </c>
      <c r="O151" s="38">
        <f>IF($N151=0,0,IF(Settings!$B$5="percent",$M151*$N151/100,$N151))</f>
        <v>0</v>
      </c>
      <c r="P151" s="39">
        <f>IF($L151&lt;&gt;1,0,SUMIFS('JLR Materials'!$G$2:$G$20001,'JLR Materials'!$A$2:$A$20001,$K151,'JLR Materials'!$C$2:$C$20001,IF(Settings!$B$2="","&lt;&gt;",Settings!$B$2),'JLR Materials'!$D$2:$D$20001,IF(Settings!$B$4="","&lt;&gt;",Settings!$B$4)))</f>
        <v>0</v>
      </c>
      <c r="Q151" s="40" t="s">
        <v>1712</v>
      </c>
      <c r="R151" s="40" t="s">
        <v>1382</v>
      </c>
    </row>
    <row r="152" spans="1:18" x14ac:dyDescent="0.25">
      <c r="A152" s="32" t="s">
        <v>567</v>
      </c>
      <c r="B152" s="33" t="s">
        <v>1713</v>
      </c>
      <c r="C152" s="33" t="s">
        <v>1714</v>
      </c>
      <c r="D152" s="34">
        <f>IF($M152&gt;0,$M152,2.98)</f>
        <v>2.98</v>
      </c>
      <c r="E152" s="34">
        <f>IF($O152&gt;0,$O152,0.54)</f>
        <v>0.54</v>
      </c>
      <c r="F152" s="35">
        <v>2680</v>
      </c>
      <c r="G152" s="33" t="s">
        <v>1379</v>
      </c>
      <c r="H152" s="36" t="str">
        <f>IF($M152&gt;0,IF($L152&lt;&gt;1,$R152,IFERROR(INDEX('JLR Materials'!$D$2:$D$20001,MATCH($K152,'JLR Materials'!$A$2:$A$20001,0)),$R152)),$R152)</f>
        <v>2026-09</v>
      </c>
      <c r="I152" s="36" t="str">
        <f>IF($M152&gt;0,"JLR rate card — material code "&amp;$K152,$Q152)</f>
        <v>UK Al alloy ingot, Jun 2026. Index-anchored 2026-07 (see CASTING PRICING BASIS). | Refresh 2026-09: −£0.057/kg from 0.92kg al £2.910→£2.849/kg, 0.07kg si £1.000→£1.000/kg; premiums held</v>
      </c>
      <c r="J152" s="33" t="s">
        <v>1380</v>
      </c>
      <c r="K152" s="37" t="str">
        <f>IFERROR(INDEX(Mapping!$C$2:$C$549,MATCH($A152,Mapping!$A$2:$A$549,0)),"")</f>
        <v/>
      </c>
      <c r="L152" s="37">
        <f>IF($K152="",0,COUNTIFS('JLR Materials'!$A$2:$A$20001,$K152,'JLR Materials'!$C$2:$C$20001,IF(Settings!$B$2="","&lt;&gt;",Settings!$B$2),'JLR Materials'!$D$2:$D$20001,IF(Settings!$B$4="","&lt;&gt;",Settings!$B$4)))</f>
        <v>0</v>
      </c>
      <c r="M152" s="38">
        <f>IF($L152&lt;&gt;1,0,SUMIFS('JLR Materials'!$E$2:$E$20001,'JLR Materials'!$A$2:$A$20001,$K152,'JLR Materials'!$C$2:$C$20001,IF(Settings!$B$2="","&lt;&gt;",Settings!$B$2),'JLR Materials'!$D$2:$D$20001,IF(Settings!$B$4="","&lt;&gt;",Settings!$B$4)))</f>
        <v>0</v>
      </c>
      <c r="N152" s="39">
        <f>IF($L152&lt;&gt;1,0,SUMIFS('JLR Materials'!$F$2:$F$20001,'JLR Materials'!$A$2:$A$20001,$K152,'JLR Materials'!$C$2:$C$20001,IF(Settings!$B$2="","&lt;&gt;",Settings!$B$2),'JLR Materials'!$D$2:$D$20001,IF(Settings!$B$4="","&lt;&gt;",Settings!$B$4)))</f>
        <v>0</v>
      </c>
      <c r="O152" s="38">
        <f>IF($N152=0,0,IF(Settings!$B$5="percent",$M152*$N152/100,$N152))</f>
        <v>0</v>
      </c>
      <c r="P152" s="39">
        <f>IF($L152&lt;&gt;1,0,SUMIFS('JLR Materials'!$G$2:$G$20001,'JLR Materials'!$A$2:$A$20001,$K152,'JLR Materials'!$C$2:$C$20001,IF(Settings!$B$2="","&lt;&gt;",Settings!$B$2),'JLR Materials'!$D$2:$D$20001,IF(Settings!$B$4="","&lt;&gt;",Settings!$B$4)))</f>
        <v>0</v>
      </c>
      <c r="Q152" s="40" t="s">
        <v>1715</v>
      </c>
      <c r="R152" s="40" t="s">
        <v>1382</v>
      </c>
    </row>
    <row r="153" spans="1:18" x14ac:dyDescent="0.25">
      <c r="A153" s="32" t="s">
        <v>569</v>
      </c>
      <c r="B153" s="33" t="s">
        <v>1716</v>
      </c>
      <c r="C153" s="33" t="s">
        <v>1711</v>
      </c>
      <c r="D153" s="34">
        <f>IF($M153&gt;0,$M153,0.74)</f>
        <v>0.74</v>
      </c>
      <c r="E153" s="34">
        <f>IF($O153&gt;0,$O153,0.12)</f>
        <v>0.12</v>
      </c>
      <c r="F153" s="35">
        <v>7200</v>
      </c>
      <c r="G153" s="33" t="s">
        <v>1379</v>
      </c>
      <c r="H153" s="36" t="str">
        <f>IF($M153&gt;0,IF($L153&lt;&gt;1,$R153,IFERROR(INDEX('JLR Materials'!$D$2:$D$20001,MATCH($K153,'JLR Materials'!$A$2:$A$20001,0)),$R153)),$R153)</f>
        <v>2026-09</v>
      </c>
      <c r="I153" s="36" t="str">
        <f>IF($M153&gt;0,"JLR rate card — material code "&amp;$K153,$Q153)</f>
        <v>UK iron foundry, Jun 2026. Index-anchored 2026-07 (see CASTING PRICING BASIS). | Refresh 2026-09: NOT SOURCED — pigiron, scrap: Not sourced this period: no June 2026 foundry pig iron or steel scrap price found on a like-for-like basis (Turkish HMS ’June’ figure found was a 2020 article; UK yard prices not comparable). Held at the June 2026 price.</v>
      </c>
      <c r="J153" s="33" t="s">
        <v>1393</v>
      </c>
      <c r="K153" s="37" t="str">
        <f>IFERROR(INDEX(Mapping!$C$2:$C$549,MATCH($A153,Mapping!$A$2:$A$549,0)),"")</f>
        <v/>
      </c>
      <c r="L153" s="37">
        <f>IF($K153="",0,COUNTIFS('JLR Materials'!$A$2:$A$20001,$K153,'JLR Materials'!$C$2:$C$20001,IF(Settings!$B$2="","&lt;&gt;",Settings!$B$2),'JLR Materials'!$D$2:$D$20001,IF(Settings!$B$4="","&lt;&gt;",Settings!$B$4)))</f>
        <v>0</v>
      </c>
      <c r="M153" s="38">
        <f>IF($L153&lt;&gt;1,0,SUMIFS('JLR Materials'!$E$2:$E$20001,'JLR Materials'!$A$2:$A$20001,$K153,'JLR Materials'!$C$2:$C$20001,IF(Settings!$B$2="","&lt;&gt;",Settings!$B$2),'JLR Materials'!$D$2:$D$20001,IF(Settings!$B$4="","&lt;&gt;",Settings!$B$4)))</f>
        <v>0</v>
      </c>
      <c r="N153" s="39">
        <f>IF($L153&lt;&gt;1,0,SUMIFS('JLR Materials'!$F$2:$F$20001,'JLR Materials'!$A$2:$A$20001,$K153,'JLR Materials'!$C$2:$C$20001,IF(Settings!$B$2="","&lt;&gt;",Settings!$B$2),'JLR Materials'!$D$2:$D$20001,IF(Settings!$B$4="","&lt;&gt;",Settings!$B$4)))</f>
        <v>0</v>
      </c>
      <c r="O153" s="38">
        <f>IF($N153=0,0,IF(Settings!$B$5="percent",$M153*$N153/100,$N153))</f>
        <v>0</v>
      </c>
      <c r="P153" s="39">
        <f>IF($L153&lt;&gt;1,0,SUMIFS('JLR Materials'!$G$2:$G$20001,'JLR Materials'!$A$2:$A$20001,$K153,'JLR Materials'!$C$2:$C$20001,IF(Settings!$B$2="","&lt;&gt;",Settings!$B$2),'JLR Materials'!$D$2:$D$20001,IF(Settings!$B$4="","&lt;&gt;",Settings!$B$4)))</f>
        <v>0</v>
      </c>
      <c r="Q153" s="40" t="s">
        <v>1712</v>
      </c>
      <c r="R153" s="40" t="s">
        <v>1382</v>
      </c>
    </row>
    <row r="154" spans="1:18" x14ac:dyDescent="0.25">
      <c r="A154" s="32" t="s">
        <v>571</v>
      </c>
      <c r="B154" s="33" t="s">
        <v>1717</v>
      </c>
      <c r="C154" s="33" t="s">
        <v>1410</v>
      </c>
      <c r="D154" s="34">
        <f>IF($M154&gt;0,$M154,13.66)</f>
        <v>13.66</v>
      </c>
      <c r="E154" s="34">
        <f>IF($O154&gt;0,$O154,4.3)</f>
        <v>4.3</v>
      </c>
      <c r="F154" s="35">
        <v>8800</v>
      </c>
      <c r="G154" s="33" t="s">
        <v>1379</v>
      </c>
      <c r="H154" s="36" t="str">
        <f>IF($M154&gt;0,IF($L154&lt;&gt;1,$R154,IFERROR(INDEX('JLR Materials'!$D$2:$D$20001,MATCH($K154,'JLR Materials'!$A$2:$A$20001,0)),$R154)),$R154)</f>
        <v>2026-09</v>
      </c>
      <c r="I154" s="36" t="str">
        <f>IF($M154&gt;0,"JLR rate card — material code "&amp;$K154,$Q154)</f>
        <v>UK copper alloy distributor, Jun 2026. Index-anchored 2026-07 (see CASTING PRICING BASIS). | Refresh 2026-09: +£4.760/kg from 0.88kg cu £10.070→£10.768/kg, 0.1kg sn £38.211→£41.201/kg, 0.02kg zn £2.164→£2.913/kg, floored at commodity content £13.65/kg (previous level was below the metal it contains); premiums held</v>
      </c>
      <c r="J154" s="33" t="s">
        <v>1393</v>
      </c>
      <c r="K154" s="37" t="str">
        <f>IFERROR(INDEX(Mapping!$C$2:$C$549,MATCH($A154,Mapping!$A$2:$A$549,0)),"")</f>
        <v/>
      </c>
      <c r="L154" s="37">
        <f>IF($K154="",0,COUNTIFS('JLR Materials'!$A$2:$A$20001,$K154,'JLR Materials'!$C$2:$C$20001,IF(Settings!$B$2="","&lt;&gt;",Settings!$B$2),'JLR Materials'!$D$2:$D$20001,IF(Settings!$B$4="","&lt;&gt;",Settings!$B$4)))</f>
        <v>0</v>
      </c>
      <c r="M154" s="38">
        <f>IF($L154&lt;&gt;1,0,SUMIFS('JLR Materials'!$E$2:$E$20001,'JLR Materials'!$A$2:$A$20001,$K154,'JLR Materials'!$C$2:$C$20001,IF(Settings!$B$2="","&lt;&gt;",Settings!$B$2),'JLR Materials'!$D$2:$D$20001,IF(Settings!$B$4="","&lt;&gt;",Settings!$B$4)))</f>
        <v>0</v>
      </c>
      <c r="N154" s="39">
        <f>IF($L154&lt;&gt;1,0,SUMIFS('JLR Materials'!$F$2:$F$20001,'JLR Materials'!$A$2:$A$20001,$K154,'JLR Materials'!$C$2:$C$20001,IF(Settings!$B$2="","&lt;&gt;",Settings!$B$2),'JLR Materials'!$D$2:$D$20001,IF(Settings!$B$4="","&lt;&gt;",Settings!$B$4)))</f>
        <v>0</v>
      </c>
      <c r="O154" s="38">
        <f>IF($N154=0,0,IF(Settings!$B$5="percent",$M154*$N154/100,$N154))</f>
        <v>0</v>
      </c>
      <c r="P154" s="39">
        <f>IF($L154&lt;&gt;1,0,SUMIFS('JLR Materials'!$G$2:$G$20001,'JLR Materials'!$A$2:$A$20001,$K154,'JLR Materials'!$C$2:$C$20001,IF(Settings!$B$2="","&lt;&gt;",Settings!$B$2),'JLR Materials'!$D$2:$D$20001,IF(Settings!$B$4="","&lt;&gt;",Settings!$B$4)))</f>
        <v>0</v>
      </c>
      <c r="Q154" s="40" t="s">
        <v>1718</v>
      </c>
      <c r="R154" s="40" t="s">
        <v>1382</v>
      </c>
    </row>
    <row r="155" spans="1:18" x14ac:dyDescent="0.25">
      <c r="A155" s="32" t="s">
        <v>573</v>
      </c>
      <c r="B155" s="33" t="s">
        <v>1719</v>
      </c>
      <c r="C155" s="33" t="s">
        <v>1720</v>
      </c>
      <c r="D155" s="34">
        <f>IF($M155&gt;0,$M155,3.81)</f>
        <v>3.81</v>
      </c>
      <c r="E155" s="34">
        <f>IF($O155&gt;0,$O155,0.76)</f>
        <v>0.76</v>
      </c>
      <c r="F155" s="35">
        <v>1810</v>
      </c>
      <c r="G155" s="33" t="s">
        <v>1379</v>
      </c>
      <c r="H155" s="36" t="str">
        <f>IF($M155&gt;0,IF($L155&lt;&gt;1,$R155,IFERROR(INDEX('JLR Materials'!$D$2:$D$20001,MATCH($K155,'JLR Materials'!$A$2:$A$20001,0)),$R155)),$R155)</f>
        <v>2026-09</v>
      </c>
      <c r="I155" s="36" t="str">
        <f>IF($M155&gt;0,"JLR rate card — material code "&amp;$K155,$Q155)</f>
        <v>UK Mg alloy ingot, Jun 2026. Index-anchored 2026-07 (see CASTING PRICING BASIS). | Refresh 2026-09: −£0.184/kg from 0.9kg mg £1.972→£1.773/kg, 0.09kg al £2.910→£2.849/kg; premiums held</v>
      </c>
      <c r="J155" s="33" t="s">
        <v>1393</v>
      </c>
      <c r="K155" s="37" t="str">
        <f>IFERROR(INDEX(Mapping!$C$2:$C$549,MATCH($A155,Mapping!$A$2:$A$549,0)),"")</f>
        <v/>
      </c>
      <c r="L155" s="37">
        <f>IF($K155="",0,COUNTIFS('JLR Materials'!$A$2:$A$20001,$K155,'JLR Materials'!$C$2:$C$20001,IF(Settings!$B$2="","&lt;&gt;",Settings!$B$2),'JLR Materials'!$D$2:$D$20001,IF(Settings!$B$4="","&lt;&gt;",Settings!$B$4)))</f>
        <v>0</v>
      </c>
      <c r="M155" s="38">
        <f>IF($L155&lt;&gt;1,0,SUMIFS('JLR Materials'!$E$2:$E$20001,'JLR Materials'!$A$2:$A$20001,$K155,'JLR Materials'!$C$2:$C$20001,IF(Settings!$B$2="","&lt;&gt;",Settings!$B$2),'JLR Materials'!$D$2:$D$20001,IF(Settings!$B$4="","&lt;&gt;",Settings!$B$4)))</f>
        <v>0</v>
      </c>
      <c r="N155" s="39">
        <f>IF($L155&lt;&gt;1,0,SUMIFS('JLR Materials'!$F$2:$F$20001,'JLR Materials'!$A$2:$A$20001,$K155,'JLR Materials'!$C$2:$C$20001,IF(Settings!$B$2="","&lt;&gt;",Settings!$B$2),'JLR Materials'!$D$2:$D$20001,IF(Settings!$B$4="","&lt;&gt;",Settings!$B$4)))</f>
        <v>0</v>
      </c>
      <c r="O155" s="38">
        <f>IF($N155=0,0,IF(Settings!$B$5="percent",$M155*$N155/100,$N155))</f>
        <v>0</v>
      </c>
      <c r="P155" s="39">
        <f>IF($L155&lt;&gt;1,0,SUMIFS('JLR Materials'!$G$2:$G$20001,'JLR Materials'!$A$2:$A$20001,$K155,'JLR Materials'!$C$2:$C$20001,IF(Settings!$B$2="","&lt;&gt;",Settings!$B$2),'JLR Materials'!$D$2:$D$20001,IF(Settings!$B$4="","&lt;&gt;",Settings!$B$4)))</f>
        <v>0</v>
      </c>
      <c r="Q155" s="40" t="s">
        <v>1721</v>
      </c>
      <c r="R155" s="40" t="s">
        <v>1382</v>
      </c>
    </row>
    <row r="156" spans="1:18" x14ac:dyDescent="0.25">
      <c r="A156" s="32" t="s">
        <v>575</v>
      </c>
      <c r="B156" s="33" t="s">
        <v>1722</v>
      </c>
      <c r="C156" s="33" t="s">
        <v>1723</v>
      </c>
      <c r="D156" s="34">
        <f>IF($M156&gt;0,$M156,5.17)</f>
        <v>5.17</v>
      </c>
      <c r="E156" s="34">
        <f>IF($O156&gt;0,$O156,1.23)</f>
        <v>1.23</v>
      </c>
      <c r="F156" s="35">
        <v>7900</v>
      </c>
      <c r="G156" s="33" t="s">
        <v>1379</v>
      </c>
      <c r="H156" s="36" t="str">
        <f>IF($M156&gt;0,IF($L156&lt;&gt;1,$R156,IFERROR(INDEX('JLR Materials'!$D$2:$D$20001,MATCH($K156,'JLR Materials'!$A$2:$A$20001,0)),$R156)),$R156)</f>
        <v>2026-09</v>
      </c>
      <c r="I156" s="36" t="str">
        <f>IF($M156&gt;0,"JLR rate card — material code "&amp;$K156,$Q156)</f>
        <v>UK stainless foundry, Jun 2026. Index-anchored 2026-07 (see CASTING PRICING BASIS). | Refresh 2026-09: +£0.127/kg from 1kg ss_sur £2.037→£2.164/kg; premiums held</v>
      </c>
      <c r="J156" s="33" t="s">
        <v>1393</v>
      </c>
      <c r="K156" s="37" t="str">
        <f>IFERROR(INDEX(Mapping!$C$2:$C$549,MATCH($A156,Mapping!$A$2:$A$549,0)),"")</f>
        <v/>
      </c>
      <c r="L156" s="37">
        <f>IF($K156="",0,COUNTIFS('JLR Materials'!$A$2:$A$20001,$K156,'JLR Materials'!$C$2:$C$20001,IF(Settings!$B$2="","&lt;&gt;",Settings!$B$2),'JLR Materials'!$D$2:$D$20001,IF(Settings!$B$4="","&lt;&gt;",Settings!$B$4)))</f>
        <v>0</v>
      </c>
      <c r="M156" s="38">
        <f>IF($L156&lt;&gt;1,0,SUMIFS('JLR Materials'!$E$2:$E$20001,'JLR Materials'!$A$2:$A$20001,$K156,'JLR Materials'!$C$2:$C$20001,IF(Settings!$B$2="","&lt;&gt;",Settings!$B$2),'JLR Materials'!$D$2:$D$20001,IF(Settings!$B$4="","&lt;&gt;",Settings!$B$4)))</f>
        <v>0</v>
      </c>
      <c r="N156" s="39">
        <f>IF($L156&lt;&gt;1,0,SUMIFS('JLR Materials'!$F$2:$F$20001,'JLR Materials'!$A$2:$A$20001,$K156,'JLR Materials'!$C$2:$C$20001,IF(Settings!$B$2="","&lt;&gt;",Settings!$B$2),'JLR Materials'!$D$2:$D$20001,IF(Settings!$B$4="","&lt;&gt;",Settings!$B$4)))</f>
        <v>0</v>
      </c>
      <c r="O156" s="38">
        <f>IF($N156=0,0,IF(Settings!$B$5="percent",$M156*$N156/100,$N156))</f>
        <v>0</v>
      </c>
      <c r="P156" s="39">
        <f>IF($L156&lt;&gt;1,0,SUMIFS('JLR Materials'!$G$2:$G$20001,'JLR Materials'!$A$2:$A$20001,$K156,'JLR Materials'!$C$2:$C$20001,IF(Settings!$B$2="","&lt;&gt;",Settings!$B$2),'JLR Materials'!$D$2:$D$20001,IF(Settings!$B$4="","&lt;&gt;",Settings!$B$4)))</f>
        <v>0</v>
      </c>
      <c r="Q156" s="40" t="s">
        <v>1724</v>
      </c>
      <c r="R156" s="40" t="s">
        <v>1382</v>
      </c>
    </row>
    <row r="157" spans="1:18" x14ac:dyDescent="0.25">
      <c r="A157" s="32" t="s">
        <v>577</v>
      </c>
      <c r="B157" s="33" t="s">
        <v>1725</v>
      </c>
      <c r="C157" s="33" t="s">
        <v>1706</v>
      </c>
      <c r="D157" s="34">
        <f>IF($M157&gt;0,$M157,2)</f>
        <v>2</v>
      </c>
      <c r="E157" s="34">
        <f>IF($O157&gt;0,$O157,0.44)</f>
        <v>0.44</v>
      </c>
      <c r="F157" s="35">
        <v>2700</v>
      </c>
      <c r="G157" s="33" t="s">
        <v>1379</v>
      </c>
      <c r="H157" s="36" t="str">
        <f>IF($M157&gt;0,IF($L157&lt;&gt;1,$R157,IFERROR(INDEX('JLR Materials'!$D$2:$D$20001,MATCH($K157,'JLR Materials'!$A$2:$A$20001,0)),$R157)),$R157)</f>
        <v>2026-09</v>
      </c>
      <c r="I157" s="36" t="str">
        <f>IF($M157&gt;0,"JLR rate card — material code "&amp;$K157,$Q157)</f>
        <v>UK secondary Al alloy ingot — lower purity, suitable for non-structural castings. Index-anchored 2026-07 (see CASTING PRICING BASIS). | Refresh 2026-09: −£0.052/kg from 0.85kg al £2.910→£2.849/kg; premiums held</v>
      </c>
      <c r="J157" s="33" t="s">
        <v>1393</v>
      </c>
      <c r="K157" s="37" t="str">
        <f>IFERROR(INDEX(Mapping!$C$2:$C$549,MATCH($A157,Mapping!$A$2:$A$549,0)),"")</f>
        <v/>
      </c>
      <c r="L157" s="37">
        <f>IF($K157="",0,COUNTIFS('JLR Materials'!$A$2:$A$20001,$K157,'JLR Materials'!$C$2:$C$20001,IF(Settings!$B$2="","&lt;&gt;",Settings!$B$2),'JLR Materials'!$D$2:$D$20001,IF(Settings!$B$4="","&lt;&gt;",Settings!$B$4)))</f>
        <v>0</v>
      </c>
      <c r="M157" s="38">
        <f>IF($L157&lt;&gt;1,0,SUMIFS('JLR Materials'!$E$2:$E$20001,'JLR Materials'!$A$2:$A$20001,$K157,'JLR Materials'!$C$2:$C$20001,IF(Settings!$B$2="","&lt;&gt;",Settings!$B$2),'JLR Materials'!$D$2:$D$20001,IF(Settings!$B$4="","&lt;&gt;",Settings!$B$4)))</f>
        <v>0</v>
      </c>
      <c r="N157" s="39">
        <f>IF($L157&lt;&gt;1,0,SUMIFS('JLR Materials'!$F$2:$F$20001,'JLR Materials'!$A$2:$A$20001,$K157,'JLR Materials'!$C$2:$C$20001,IF(Settings!$B$2="","&lt;&gt;",Settings!$B$2),'JLR Materials'!$D$2:$D$20001,IF(Settings!$B$4="","&lt;&gt;",Settings!$B$4)))</f>
        <v>0</v>
      </c>
      <c r="O157" s="38">
        <f>IF($N157=0,0,IF(Settings!$B$5="percent",$M157*$N157/100,$N157))</f>
        <v>0</v>
      </c>
      <c r="P157" s="39">
        <f>IF($L157&lt;&gt;1,0,SUMIFS('JLR Materials'!$G$2:$G$20001,'JLR Materials'!$A$2:$A$20001,$K157,'JLR Materials'!$C$2:$C$20001,IF(Settings!$B$2="","&lt;&gt;",Settings!$B$2),'JLR Materials'!$D$2:$D$20001,IF(Settings!$B$4="","&lt;&gt;",Settings!$B$4)))</f>
        <v>0</v>
      </c>
      <c r="Q157" s="40" t="s">
        <v>1726</v>
      </c>
      <c r="R157" s="40" t="s">
        <v>1382</v>
      </c>
    </row>
    <row r="158" spans="1:18" x14ac:dyDescent="0.25">
      <c r="A158" s="32" t="s">
        <v>579</v>
      </c>
      <c r="B158" s="33" t="s">
        <v>1727</v>
      </c>
      <c r="C158" s="33" t="s">
        <v>1706</v>
      </c>
      <c r="D158" s="34">
        <f>IF($M158&gt;0,$M158,2.89)</f>
        <v>2.89</v>
      </c>
      <c r="E158" s="34">
        <f>IF($O158&gt;0,$O158,0.54)</f>
        <v>0.54</v>
      </c>
      <c r="F158" s="35">
        <v>2670</v>
      </c>
      <c r="G158" s="33" t="s">
        <v>1379</v>
      </c>
      <c r="H158" s="36" t="str">
        <f>IF($M158&gt;0,IF($L158&lt;&gt;1,$R158,IFERROR(INDEX('JLR Materials'!$D$2:$D$20001,MATCH($K158,'JLR Materials'!$A$2:$A$20001,0)),$R158)),$R158)</f>
        <v>2026-09</v>
      </c>
      <c r="I158" s="36" t="str">
        <f>IF($M158&gt;0,"JLR rate card — material code "&amp;$K158,$Q158)</f>
        <v>Premium structural HPDC alloy, T5 heat treated. UK Al alloy ingot Jun 2026. Index-anchored 2026-07 (see CASTING PRICING BASIS). | Refresh 2026-09: −£0.055/kg from 0.89kg al £2.910→£2.849/kg, 0.1kg si £1.000→£1.000/kg; premiums held</v>
      </c>
      <c r="J158" s="33" t="s">
        <v>1380</v>
      </c>
      <c r="K158" s="37" t="str">
        <f>IFERROR(INDEX(Mapping!$C$2:$C$549,MATCH($A158,Mapping!$A$2:$A$549,0)),"")</f>
        <v/>
      </c>
      <c r="L158" s="37">
        <f>IF($K158="",0,COUNTIFS('JLR Materials'!$A$2:$A$20001,$K158,'JLR Materials'!$C$2:$C$20001,IF(Settings!$B$2="","&lt;&gt;",Settings!$B$2),'JLR Materials'!$D$2:$D$20001,IF(Settings!$B$4="","&lt;&gt;",Settings!$B$4)))</f>
        <v>0</v>
      </c>
      <c r="M158" s="38">
        <f>IF($L158&lt;&gt;1,0,SUMIFS('JLR Materials'!$E$2:$E$20001,'JLR Materials'!$A$2:$A$20001,$K158,'JLR Materials'!$C$2:$C$20001,IF(Settings!$B$2="","&lt;&gt;",Settings!$B$2),'JLR Materials'!$D$2:$D$20001,IF(Settings!$B$4="","&lt;&gt;",Settings!$B$4)))</f>
        <v>0</v>
      </c>
      <c r="N158" s="39">
        <f>IF($L158&lt;&gt;1,0,SUMIFS('JLR Materials'!$F$2:$F$20001,'JLR Materials'!$A$2:$A$20001,$K158,'JLR Materials'!$C$2:$C$20001,IF(Settings!$B$2="","&lt;&gt;",Settings!$B$2),'JLR Materials'!$D$2:$D$20001,IF(Settings!$B$4="","&lt;&gt;",Settings!$B$4)))</f>
        <v>0</v>
      </c>
      <c r="O158" s="38">
        <f>IF($N158=0,0,IF(Settings!$B$5="percent",$M158*$N158/100,$N158))</f>
        <v>0</v>
      </c>
      <c r="P158" s="39">
        <f>IF($L158&lt;&gt;1,0,SUMIFS('JLR Materials'!$G$2:$G$20001,'JLR Materials'!$A$2:$A$20001,$K158,'JLR Materials'!$C$2:$C$20001,IF(Settings!$B$2="","&lt;&gt;",Settings!$B$2),'JLR Materials'!$D$2:$D$20001,IF(Settings!$B$4="","&lt;&gt;",Settings!$B$4)))</f>
        <v>0</v>
      </c>
      <c r="Q158" s="40" t="s">
        <v>1728</v>
      </c>
      <c r="R158" s="40" t="s">
        <v>1382</v>
      </c>
    </row>
    <row r="159" spans="1:18" x14ac:dyDescent="0.25">
      <c r="A159" s="32" t="s">
        <v>581</v>
      </c>
      <c r="B159" s="33" t="s">
        <v>1729</v>
      </c>
      <c r="C159" s="33" t="s">
        <v>1706</v>
      </c>
      <c r="D159" s="34">
        <f>IF($M159&gt;0,$M159,2.77)</f>
        <v>2.77</v>
      </c>
      <c r="E159" s="34">
        <f>IF($O159&gt;0,$O159,0.51)</f>
        <v>0.51</v>
      </c>
      <c r="F159" s="35">
        <v>2680</v>
      </c>
      <c r="G159" s="33" t="s">
        <v>1379</v>
      </c>
      <c r="H159" s="36" t="str">
        <f>IF($M159&gt;0,IF($L159&lt;&gt;1,$R159,IFERROR(INDEX('JLR Materials'!$D$2:$D$20001,MATCH($K159,'JLR Materials'!$A$2:$A$20001,0)),$R159)),$R159)</f>
        <v>2026-09</v>
      </c>
      <c r="I159" s="36" t="str">
        <f>IF($M159&gt;0,"JLR rate card — material code "&amp;$K159,$Q159)</f>
        <v>Structural automotive HPDC alloy (EDU housings, battery trays). UK Jun 2026. Index-anchored 2026-07 (see CASTING PRICING BASIS). | Refresh 2026-09: −£0.057/kg from 0.92kg al £2.910→£2.849/kg, 0.07kg si £1.000→£1.000/kg; premiums held</v>
      </c>
      <c r="J159" s="33" t="s">
        <v>1380</v>
      </c>
      <c r="K159" s="37" t="str">
        <f>IFERROR(INDEX(Mapping!$C$2:$C$549,MATCH($A159,Mapping!$A$2:$A$549,0)),"")</f>
        <v/>
      </c>
      <c r="L159" s="37">
        <f>IF($K159="",0,COUNTIFS('JLR Materials'!$A$2:$A$20001,$K159,'JLR Materials'!$C$2:$C$20001,IF(Settings!$B$2="","&lt;&gt;",Settings!$B$2),'JLR Materials'!$D$2:$D$20001,IF(Settings!$B$4="","&lt;&gt;",Settings!$B$4)))</f>
        <v>0</v>
      </c>
      <c r="M159" s="38">
        <f>IF($L159&lt;&gt;1,0,SUMIFS('JLR Materials'!$E$2:$E$20001,'JLR Materials'!$A$2:$A$20001,$K159,'JLR Materials'!$C$2:$C$20001,IF(Settings!$B$2="","&lt;&gt;",Settings!$B$2),'JLR Materials'!$D$2:$D$20001,IF(Settings!$B$4="","&lt;&gt;",Settings!$B$4)))</f>
        <v>0</v>
      </c>
      <c r="N159" s="39">
        <f>IF($L159&lt;&gt;1,0,SUMIFS('JLR Materials'!$F$2:$F$20001,'JLR Materials'!$A$2:$A$20001,$K159,'JLR Materials'!$C$2:$C$20001,IF(Settings!$B$2="","&lt;&gt;",Settings!$B$2),'JLR Materials'!$D$2:$D$20001,IF(Settings!$B$4="","&lt;&gt;",Settings!$B$4)))</f>
        <v>0</v>
      </c>
      <c r="O159" s="38">
        <f>IF($N159=0,0,IF(Settings!$B$5="percent",$M159*$N159/100,$N159))</f>
        <v>0</v>
      </c>
      <c r="P159" s="39">
        <f>IF($L159&lt;&gt;1,0,SUMIFS('JLR Materials'!$G$2:$G$20001,'JLR Materials'!$A$2:$A$20001,$K159,'JLR Materials'!$C$2:$C$20001,IF(Settings!$B$2="","&lt;&gt;",Settings!$B$2),'JLR Materials'!$D$2:$D$20001,IF(Settings!$B$4="","&lt;&gt;",Settings!$B$4)))</f>
        <v>0</v>
      </c>
      <c r="Q159" s="40" t="s">
        <v>1730</v>
      </c>
      <c r="R159" s="40" t="s">
        <v>1382</v>
      </c>
    </row>
    <row r="160" spans="1:18" x14ac:dyDescent="0.25">
      <c r="A160" s="32" t="s">
        <v>583</v>
      </c>
      <c r="B160" s="33" t="s">
        <v>1731</v>
      </c>
      <c r="C160" s="33" t="s">
        <v>1732</v>
      </c>
      <c r="D160" s="34">
        <f>IF($M160&gt;0,$M160,3.19)</f>
        <v>3.19</v>
      </c>
      <c r="E160" s="34">
        <f>IF($O160&gt;0,$O160,1.55)</f>
        <v>1.55</v>
      </c>
      <c r="F160" s="35">
        <v>6600</v>
      </c>
      <c r="G160" s="33" t="s">
        <v>1379</v>
      </c>
      <c r="H160" s="36" t="str">
        <f>IF($M160&gt;0,IF($L160&lt;&gt;1,$R160,IFERROR(INDEX('JLR Materials'!$D$2:$D$20001,MATCH($K160,'JLR Materials'!$A$2:$A$20001,0)),$R160)),$R160)</f>
        <v>2026-09</v>
      </c>
      <c r="I160" s="36" t="str">
        <f>IF($M160&gt;0,"JLR rate card — material code "&amp;$K160,$Q160)</f>
        <v>Zamak 3 zinc alloy ingot, UK distributor Jun 2026. Index-anchored 2026-07 (see CASTING PRICING BASIS). | Refresh 2026-09: +£0.716/kg from 0.96kg zn £2.164→£2.913/kg, 0.04kg al £2.910→£2.849/kg; premiums held</v>
      </c>
      <c r="J160" s="33" t="s">
        <v>1380</v>
      </c>
      <c r="K160" s="37" t="str">
        <f>IFERROR(INDEX(Mapping!$C$2:$C$549,MATCH($A160,Mapping!$A$2:$A$549,0)),"")</f>
        <v/>
      </c>
      <c r="L160" s="37">
        <f>IF($K160="",0,COUNTIFS('JLR Materials'!$A$2:$A$20001,$K160,'JLR Materials'!$C$2:$C$20001,IF(Settings!$B$2="","&lt;&gt;",Settings!$B$2),'JLR Materials'!$D$2:$D$20001,IF(Settings!$B$4="","&lt;&gt;",Settings!$B$4)))</f>
        <v>0</v>
      </c>
      <c r="M160" s="38">
        <f>IF($L160&lt;&gt;1,0,SUMIFS('JLR Materials'!$E$2:$E$20001,'JLR Materials'!$A$2:$A$20001,$K160,'JLR Materials'!$C$2:$C$20001,IF(Settings!$B$2="","&lt;&gt;",Settings!$B$2),'JLR Materials'!$D$2:$D$20001,IF(Settings!$B$4="","&lt;&gt;",Settings!$B$4)))</f>
        <v>0</v>
      </c>
      <c r="N160" s="39">
        <f>IF($L160&lt;&gt;1,0,SUMIFS('JLR Materials'!$F$2:$F$20001,'JLR Materials'!$A$2:$A$20001,$K160,'JLR Materials'!$C$2:$C$20001,IF(Settings!$B$2="","&lt;&gt;",Settings!$B$2),'JLR Materials'!$D$2:$D$20001,IF(Settings!$B$4="","&lt;&gt;",Settings!$B$4)))</f>
        <v>0</v>
      </c>
      <c r="O160" s="38">
        <f>IF($N160=0,0,IF(Settings!$B$5="percent",$M160*$N160/100,$N160))</f>
        <v>0</v>
      </c>
      <c r="P160" s="39">
        <f>IF($L160&lt;&gt;1,0,SUMIFS('JLR Materials'!$G$2:$G$20001,'JLR Materials'!$A$2:$A$20001,$K160,'JLR Materials'!$C$2:$C$20001,IF(Settings!$B$2="","&lt;&gt;",Settings!$B$2),'JLR Materials'!$D$2:$D$20001,IF(Settings!$B$4="","&lt;&gt;",Settings!$B$4)))</f>
        <v>0</v>
      </c>
      <c r="Q160" s="40" t="s">
        <v>1733</v>
      </c>
      <c r="R160" s="40" t="s">
        <v>1382</v>
      </c>
    </row>
    <row r="161" spans="1:18" x14ac:dyDescent="0.25">
      <c r="A161" s="32" t="s">
        <v>585</v>
      </c>
      <c r="B161" s="33" t="s">
        <v>1734</v>
      </c>
      <c r="C161" s="33" t="s">
        <v>1732</v>
      </c>
      <c r="D161" s="34">
        <f>IF($M161&gt;0,$M161,3.24)</f>
        <v>3.24</v>
      </c>
      <c r="E161" s="34">
        <f>IF($O161&gt;0,$O161,1.54)</f>
        <v>1.54</v>
      </c>
      <c r="F161" s="35">
        <v>6600</v>
      </c>
      <c r="G161" s="33" t="s">
        <v>1379</v>
      </c>
      <c r="H161" s="36" t="str">
        <f>IF($M161&gt;0,IF($L161&lt;&gt;1,$R161,IFERROR(INDEX('JLR Materials'!$D$2:$D$20001,MATCH($K161,'JLR Materials'!$A$2:$A$20001,0)),$R161)),$R161)</f>
        <v>2026-09</v>
      </c>
      <c r="I161" s="36" t="str">
        <f>IF($M161&gt;0,"JLR rate card — material code "&amp;$K161,$Q161)</f>
        <v>Zamak 5 zinc alloy ingot, higher strength than Zamak 3. UK Jun 2026. Index-anchored 2026-07 (see CASTING PRICING BASIS). | Refresh 2026-09: +£0.716/kg from 0.96kg zn £2.164→£2.913/kg, 0.04kg al £2.910→£2.849/kg; premiums held</v>
      </c>
      <c r="J161" s="33" t="s">
        <v>1380</v>
      </c>
      <c r="K161" s="37" t="str">
        <f>IFERROR(INDEX(Mapping!$C$2:$C$549,MATCH($A161,Mapping!$A$2:$A$549,0)),"")</f>
        <v/>
      </c>
      <c r="L161" s="37">
        <f>IF($K161="",0,COUNTIFS('JLR Materials'!$A$2:$A$20001,$K161,'JLR Materials'!$C$2:$C$20001,IF(Settings!$B$2="","&lt;&gt;",Settings!$B$2),'JLR Materials'!$D$2:$D$20001,IF(Settings!$B$4="","&lt;&gt;",Settings!$B$4)))</f>
        <v>0</v>
      </c>
      <c r="M161" s="38">
        <f>IF($L161&lt;&gt;1,0,SUMIFS('JLR Materials'!$E$2:$E$20001,'JLR Materials'!$A$2:$A$20001,$K161,'JLR Materials'!$C$2:$C$20001,IF(Settings!$B$2="","&lt;&gt;",Settings!$B$2),'JLR Materials'!$D$2:$D$20001,IF(Settings!$B$4="","&lt;&gt;",Settings!$B$4)))</f>
        <v>0</v>
      </c>
      <c r="N161" s="39">
        <f>IF($L161&lt;&gt;1,0,SUMIFS('JLR Materials'!$F$2:$F$20001,'JLR Materials'!$A$2:$A$20001,$K161,'JLR Materials'!$C$2:$C$20001,IF(Settings!$B$2="","&lt;&gt;",Settings!$B$2),'JLR Materials'!$D$2:$D$20001,IF(Settings!$B$4="","&lt;&gt;",Settings!$B$4)))</f>
        <v>0</v>
      </c>
      <c r="O161" s="38">
        <f>IF($N161=0,0,IF(Settings!$B$5="percent",$M161*$N161/100,$N161))</f>
        <v>0</v>
      </c>
      <c r="P161" s="39">
        <f>IF($L161&lt;&gt;1,0,SUMIFS('JLR Materials'!$G$2:$G$20001,'JLR Materials'!$A$2:$A$20001,$K161,'JLR Materials'!$C$2:$C$20001,IF(Settings!$B$2="","&lt;&gt;",Settings!$B$2),'JLR Materials'!$D$2:$D$20001,IF(Settings!$B$4="","&lt;&gt;",Settings!$B$4)))</f>
        <v>0</v>
      </c>
      <c r="Q161" s="40" t="s">
        <v>1735</v>
      </c>
      <c r="R161" s="40" t="s">
        <v>1382</v>
      </c>
    </row>
    <row r="162" spans="1:18" x14ac:dyDescent="0.25">
      <c r="A162" s="32" t="s">
        <v>587</v>
      </c>
      <c r="B162" s="33" t="s">
        <v>1736</v>
      </c>
      <c r="C162" s="33" t="s">
        <v>1737</v>
      </c>
      <c r="D162" s="34">
        <f>IF($M162&gt;0,$M162,0.82)</f>
        <v>0.82</v>
      </c>
      <c r="E162" s="34">
        <f>IF($O162&gt;0,$O162,0.15)</f>
        <v>0.15</v>
      </c>
      <c r="F162" s="35">
        <v>7100</v>
      </c>
      <c r="G162" s="33" t="s">
        <v>1379</v>
      </c>
      <c r="H162" s="36" t="str">
        <f>IF($M162&gt;0,IF($L162&lt;&gt;1,$R162,IFERROR(INDEX('JLR Materials'!$D$2:$D$20001,MATCH($K162,'JLR Materials'!$A$2:$A$20001,0)),$R162)),$R162)</f>
        <v>2026-09</v>
      </c>
      <c r="I162" s="36" t="str">
        <f>IF($M162&gt;0,"JLR rate card — material code "&amp;$K162,$Q162)</f>
        <v>Spheroidal graphite cast iron — highest volume casting material globally. UK foundry Jun 2026. Index-anchored 2026-07 (see CASTING PRICING BASIS). | Refresh 2026-09: NOT SOURCED — pigiron, scrap: Not sourced this period: no June 2026 foundry pig iron or steel scrap price found on a like-for-like basis (Turkish HMS ’June’ figure found was a 2020 article; UK yard prices not comparable). Held at the June 2026 price.</v>
      </c>
      <c r="J162" s="33" t="s">
        <v>1393</v>
      </c>
      <c r="K162" s="37" t="str">
        <f>IFERROR(INDEX(Mapping!$C$2:$C$549,MATCH($A162,Mapping!$A$2:$A$549,0)),"")</f>
        <v/>
      </c>
      <c r="L162" s="37">
        <f>IF($K162="",0,COUNTIFS('JLR Materials'!$A$2:$A$20001,$K162,'JLR Materials'!$C$2:$C$20001,IF(Settings!$B$2="","&lt;&gt;",Settings!$B$2),'JLR Materials'!$D$2:$D$20001,IF(Settings!$B$4="","&lt;&gt;",Settings!$B$4)))</f>
        <v>0</v>
      </c>
      <c r="M162" s="38">
        <f>IF($L162&lt;&gt;1,0,SUMIFS('JLR Materials'!$E$2:$E$20001,'JLR Materials'!$A$2:$A$20001,$K162,'JLR Materials'!$C$2:$C$20001,IF(Settings!$B$2="","&lt;&gt;",Settings!$B$2),'JLR Materials'!$D$2:$D$20001,IF(Settings!$B$4="","&lt;&gt;",Settings!$B$4)))</f>
        <v>0</v>
      </c>
      <c r="N162" s="39">
        <f>IF($L162&lt;&gt;1,0,SUMIFS('JLR Materials'!$F$2:$F$20001,'JLR Materials'!$A$2:$A$20001,$K162,'JLR Materials'!$C$2:$C$20001,IF(Settings!$B$2="","&lt;&gt;",Settings!$B$2),'JLR Materials'!$D$2:$D$20001,IF(Settings!$B$4="","&lt;&gt;",Settings!$B$4)))</f>
        <v>0</v>
      </c>
      <c r="O162" s="38">
        <f>IF($N162=0,0,IF(Settings!$B$5="percent",$M162*$N162/100,$N162))</f>
        <v>0</v>
      </c>
      <c r="P162" s="39">
        <f>IF($L162&lt;&gt;1,0,SUMIFS('JLR Materials'!$G$2:$G$20001,'JLR Materials'!$A$2:$A$20001,$K162,'JLR Materials'!$C$2:$C$20001,IF(Settings!$B$2="","&lt;&gt;",Settings!$B$2),'JLR Materials'!$D$2:$D$20001,IF(Settings!$B$4="","&lt;&gt;",Settings!$B$4)))</f>
        <v>0</v>
      </c>
      <c r="Q162" s="40" t="s">
        <v>1738</v>
      </c>
      <c r="R162" s="40" t="s">
        <v>1382</v>
      </c>
    </row>
    <row r="163" spans="1:18" x14ac:dyDescent="0.25">
      <c r="A163" s="32" t="s">
        <v>589</v>
      </c>
      <c r="B163" s="33" t="s">
        <v>1739</v>
      </c>
      <c r="C163" s="33" t="s">
        <v>1737</v>
      </c>
      <c r="D163" s="34">
        <f>IF($M163&gt;0,$M163,0.9)</f>
        <v>0.9</v>
      </c>
      <c r="E163" s="34">
        <f>IF($O163&gt;0,$O163,0.15)</f>
        <v>0.15</v>
      </c>
      <c r="F163" s="35">
        <v>7100</v>
      </c>
      <c r="G163" s="33" t="s">
        <v>1379</v>
      </c>
      <c r="H163" s="36" t="str">
        <f>IF($M163&gt;0,IF($L163&lt;&gt;1,$R163,IFERROR(INDEX('JLR Materials'!$D$2:$D$20001,MATCH($K163,'JLR Materials'!$A$2:$A$20001,0)),$R163)),$R163)</f>
        <v>2026-09</v>
      </c>
      <c r="I163" s="36" t="str">
        <f>IF($M163&gt;0,"JLR rate card — material code "&amp;$K163,$Q163)</f>
        <v>High-strength ductile iron for crankshafts, diff housings. UK foundry Jun 2026. Index-anchored 2026-07 (see CASTING PRICING BASIS). | Refresh 2026-09: NOT SOURCED — pigiron, scrap: Not sourced this period: no June 2026 foundry pig iron or steel scrap price found on a like-for-like basis (Turkish HMS ’June’ figure found was a 2020 article; UK yard prices not comparable). Held at the June 2026 price.</v>
      </c>
      <c r="J163" s="33" t="s">
        <v>1393</v>
      </c>
      <c r="K163" s="37" t="str">
        <f>IFERROR(INDEX(Mapping!$C$2:$C$549,MATCH($A163,Mapping!$A$2:$A$549,0)),"")</f>
        <v/>
      </c>
      <c r="L163" s="37">
        <f>IF($K163="",0,COUNTIFS('JLR Materials'!$A$2:$A$20001,$K163,'JLR Materials'!$C$2:$C$20001,IF(Settings!$B$2="","&lt;&gt;",Settings!$B$2),'JLR Materials'!$D$2:$D$20001,IF(Settings!$B$4="","&lt;&gt;",Settings!$B$4)))</f>
        <v>0</v>
      </c>
      <c r="M163" s="38">
        <f>IF($L163&lt;&gt;1,0,SUMIFS('JLR Materials'!$E$2:$E$20001,'JLR Materials'!$A$2:$A$20001,$K163,'JLR Materials'!$C$2:$C$20001,IF(Settings!$B$2="","&lt;&gt;",Settings!$B$2),'JLR Materials'!$D$2:$D$20001,IF(Settings!$B$4="","&lt;&gt;",Settings!$B$4)))</f>
        <v>0</v>
      </c>
      <c r="N163" s="39">
        <f>IF($L163&lt;&gt;1,0,SUMIFS('JLR Materials'!$F$2:$F$20001,'JLR Materials'!$A$2:$A$20001,$K163,'JLR Materials'!$C$2:$C$20001,IF(Settings!$B$2="","&lt;&gt;",Settings!$B$2),'JLR Materials'!$D$2:$D$20001,IF(Settings!$B$4="","&lt;&gt;",Settings!$B$4)))</f>
        <v>0</v>
      </c>
      <c r="O163" s="38">
        <f>IF($N163=0,0,IF(Settings!$B$5="percent",$M163*$N163/100,$N163))</f>
        <v>0</v>
      </c>
      <c r="P163" s="39">
        <f>IF($L163&lt;&gt;1,0,SUMIFS('JLR Materials'!$G$2:$G$20001,'JLR Materials'!$A$2:$A$20001,$K163,'JLR Materials'!$C$2:$C$20001,IF(Settings!$B$2="","&lt;&gt;",Settings!$B$2),'JLR Materials'!$D$2:$D$20001,IF(Settings!$B$4="","&lt;&gt;",Settings!$B$4)))</f>
        <v>0</v>
      </c>
      <c r="Q163" s="40" t="s">
        <v>1740</v>
      </c>
      <c r="R163" s="40" t="s">
        <v>1382</v>
      </c>
    </row>
    <row r="164" spans="1:18" x14ac:dyDescent="0.25">
      <c r="A164" s="32" t="s">
        <v>591</v>
      </c>
      <c r="B164" s="33" t="s">
        <v>1741</v>
      </c>
      <c r="C164" s="33" t="s">
        <v>1742</v>
      </c>
      <c r="D164" s="34">
        <f>IF($M164&gt;0,$M164,3.07)</f>
        <v>3.07</v>
      </c>
      <c r="E164" s="34">
        <f>IF($O164&gt;0,$O164,0.57)</f>
        <v>0.57</v>
      </c>
      <c r="F164" s="35">
        <v>2680</v>
      </c>
      <c r="G164" s="33" t="s">
        <v>1379</v>
      </c>
      <c r="H164" s="36" t="str">
        <f>IF($M164&gt;0,IF($L164&lt;&gt;1,$R164,IFERROR(INDEX('JLR Materials'!$D$2:$D$20001,MATCH($K164,'JLR Materials'!$A$2:$A$20001,0)),$R164)),$R164)</f>
        <v>2026-09</v>
      </c>
      <c r="I164" s="36" t="str">
        <f>IF($M164&gt;0,"JLR rate card — material code "&amp;$K164,$Q164)</f>
        <v>Index-anchored 2026-07 (see CASTING PRICING BASIS). Ductile structural HPDC — shock towers, self-pierce-rivetable body nodes; T5/T7 heat treat. | Refresh 2026-09: −£0.055/kg from 0.89kg al £2.910→£2.849/kg, 0.1kg si £1.000→£1.000/kg; premiums held</v>
      </c>
      <c r="J164" s="33" t="s">
        <v>1380</v>
      </c>
      <c r="K164" s="37" t="str">
        <f>IFERROR(INDEX(Mapping!$C$2:$C$549,MATCH($A164,Mapping!$A$2:$A$549,0)),"")</f>
        <v/>
      </c>
      <c r="L164" s="37">
        <f>IF($K164="",0,COUNTIFS('JLR Materials'!$A$2:$A$20001,$K164,'JLR Materials'!$C$2:$C$20001,IF(Settings!$B$2="","&lt;&gt;",Settings!$B$2),'JLR Materials'!$D$2:$D$20001,IF(Settings!$B$4="","&lt;&gt;",Settings!$B$4)))</f>
        <v>0</v>
      </c>
      <c r="M164" s="38">
        <f>IF($L164&lt;&gt;1,0,SUMIFS('JLR Materials'!$E$2:$E$20001,'JLR Materials'!$A$2:$A$20001,$K164,'JLR Materials'!$C$2:$C$20001,IF(Settings!$B$2="","&lt;&gt;",Settings!$B$2),'JLR Materials'!$D$2:$D$20001,IF(Settings!$B$4="","&lt;&gt;",Settings!$B$4)))</f>
        <v>0</v>
      </c>
      <c r="N164" s="39">
        <f>IF($L164&lt;&gt;1,0,SUMIFS('JLR Materials'!$F$2:$F$20001,'JLR Materials'!$A$2:$A$20001,$K164,'JLR Materials'!$C$2:$C$20001,IF(Settings!$B$2="","&lt;&gt;",Settings!$B$2),'JLR Materials'!$D$2:$D$20001,IF(Settings!$B$4="","&lt;&gt;",Settings!$B$4)))</f>
        <v>0</v>
      </c>
      <c r="O164" s="38">
        <f>IF($N164=0,0,IF(Settings!$B$5="percent",$M164*$N164/100,$N164))</f>
        <v>0</v>
      </c>
      <c r="P164" s="39">
        <f>IF($L164&lt;&gt;1,0,SUMIFS('JLR Materials'!$G$2:$G$20001,'JLR Materials'!$A$2:$A$20001,$K164,'JLR Materials'!$C$2:$C$20001,IF(Settings!$B$2="","&lt;&gt;",Settings!$B$2),'JLR Materials'!$D$2:$D$20001,IF(Settings!$B$4="","&lt;&gt;",Settings!$B$4)))</f>
        <v>0</v>
      </c>
      <c r="Q164" s="40" t="s">
        <v>1743</v>
      </c>
      <c r="R164" s="40" t="s">
        <v>1382</v>
      </c>
    </row>
    <row r="165" spans="1:18" x14ac:dyDescent="0.25">
      <c r="A165" s="32" t="s">
        <v>593</v>
      </c>
      <c r="B165" s="33" t="s">
        <v>1744</v>
      </c>
      <c r="C165" s="33" t="s">
        <v>1742</v>
      </c>
      <c r="D165" s="34">
        <f>IF($M165&gt;0,$M165,3.1)</f>
        <v>3.1</v>
      </c>
      <c r="E165" s="34">
        <f>IF($O165&gt;0,$O165,0.57)</f>
        <v>0.57</v>
      </c>
      <c r="F165" s="35">
        <v>2670</v>
      </c>
      <c r="G165" s="33" t="s">
        <v>1379</v>
      </c>
      <c r="H165" s="36" t="str">
        <f>IF($M165&gt;0,IF($L165&lt;&gt;1,$R165,IFERROR(INDEX('JLR Materials'!$D$2:$D$20001,MATCH($K165,'JLR Materials'!$A$2:$A$20001,0)),$R165)),$R165)</f>
        <v>2026-09</v>
      </c>
      <c r="I165" s="36" t="str">
        <f>IF($M165&gt;0,"JLR rate card — material code "&amp;$K165,$Q165)</f>
        <v>Index-anchored 2026-07 (see CASTING PRICING BASIS). Crash-relevant structural HPDC — battery trays, longitudinal rails, megacastings; high elongation after T7. | Refresh 2026-09: −£0.055/kg from 0.89kg al £2.910→£2.849/kg, 0.1kg si £1.000→£1.000/kg; premiums held</v>
      </c>
      <c r="J165" s="33" t="s">
        <v>1380</v>
      </c>
      <c r="K165" s="37" t="str">
        <f>IFERROR(INDEX(Mapping!$C$2:$C$549,MATCH($A165,Mapping!$A$2:$A$549,0)),"")</f>
        <v/>
      </c>
      <c r="L165" s="37">
        <f>IF($K165="",0,COUNTIFS('JLR Materials'!$A$2:$A$20001,$K165,'JLR Materials'!$C$2:$C$20001,IF(Settings!$B$2="","&lt;&gt;",Settings!$B$2),'JLR Materials'!$D$2:$D$20001,IF(Settings!$B$4="","&lt;&gt;",Settings!$B$4)))</f>
        <v>0</v>
      </c>
      <c r="M165" s="38">
        <f>IF($L165&lt;&gt;1,0,SUMIFS('JLR Materials'!$E$2:$E$20001,'JLR Materials'!$A$2:$A$20001,$K165,'JLR Materials'!$C$2:$C$20001,IF(Settings!$B$2="","&lt;&gt;",Settings!$B$2),'JLR Materials'!$D$2:$D$20001,IF(Settings!$B$4="","&lt;&gt;",Settings!$B$4)))</f>
        <v>0</v>
      </c>
      <c r="N165" s="39">
        <f>IF($L165&lt;&gt;1,0,SUMIFS('JLR Materials'!$F$2:$F$20001,'JLR Materials'!$A$2:$A$20001,$K165,'JLR Materials'!$C$2:$C$20001,IF(Settings!$B$2="","&lt;&gt;",Settings!$B$2),'JLR Materials'!$D$2:$D$20001,IF(Settings!$B$4="","&lt;&gt;",Settings!$B$4)))</f>
        <v>0</v>
      </c>
      <c r="O165" s="38">
        <f>IF($N165=0,0,IF(Settings!$B$5="percent",$M165*$N165/100,$N165))</f>
        <v>0</v>
      </c>
      <c r="P165" s="39">
        <f>IF($L165&lt;&gt;1,0,SUMIFS('JLR Materials'!$G$2:$G$20001,'JLR Materials'!$A$2:$A$20001,$K165,'JLR Materials'!$C$2:$C$20001,IF(Settings!$B$2="","&lt;&gt;",Settings!$B$2),'JLR Materials'!$D$2:$D$20001,IF(Settings!$B$4="","&lt;&gt;",Settings!$B$4)))</f>
        <v>0</v>
      </c>
      <c r="Q165" s="40" t="s">
        <v>1745</v>
      </c>
      <c r="R165" s="40" t="s">
        <v>1382</v>
      </c>
    </row>
    <row r="166" spans="1:18" x14ac:dyDescent="0.25">
      <c r="A166" s="32" t="s">
        <v>595</v>
      </c>
      <c r="B166" s="33" t="s">
        <v>1746</v>
      </c>
      <c r="C166" s="33" t="s">
        <v>1742</v>
      </c>
      <c r="D166" s="34">
        <f>IF($M166&gt;0,$M166,3.03)</f>
        <v>3.03</v>
      </c>
      <c r="E166" s="34">
        <f>IF($O166&gt;0,$O166,0.57)</f>
        <v>0.57</v>
      </c>
      <c r="F166" s="35">
        <v>2670</v>
      </c>
      <c r="G166" s="33" t="s">
        <v>1379</v>
      </c>
      <c r="H166" s="36" t="str">
        <f>IF($M166&gt;0,IF($L166&lt;&gt;1,$R166,IFERROR(INDEX('JLR Materials'!$D$2:$D$20001,MATCH($K166,'JLR Materials'!$A$2:$A$20001,0)),$R166)),$R166)</f>
        <v>2026-09</v>
      </c>
      <c r="I166" s="36" t="str">
        <f>IF($M166&gt;0,"JLR rate card — material code "&amp;$K166,$Q166)</f>
        <v>Index-anchored 2026-07 (see CASTING PRICING BASIS). As-cast high-ductility HPDC needing no heat treatment — cross-car beams, structural brackets; dimensionally stable. | Refresh 2026-09: −£0.055/kg from 0.89kg al £2.910→£2.849/kg, 0.1kg si £1.000→£1.000/kg; premiums held</v>
      </c>
      <c r="J166" s="33" t="s">
        <v>1380</v>
      </c>
      <c r="K166" s="37" t="str">
        <f>IFERROR(INDEX(Mapping!$C$2:$C$549,MATCH($A166,Mapping!$A$2:$A$549,0)),"")</f>
        <v/>
      </c>
      <c r="L166" s="37">
        <f>IF($K166="",0,COUNTIFS('JLR Materials'!$A$2:$A$20001,$K166,'JLR Materials'!$C$2:$C$20001,IF(Settings!$B$2="","&lt;&gt;",Settings!$B$2),'JLR Materials'!$D$2:$D$20001,IF(Settings!$B$4="","&lt;&gt;",Settings!$B$4)))</f>
        <v>0</v>
      </c>
      <c r="M166" s="38">
        <f>IF($L166&lt;&gt;1,0,SUMIFS('JLR Materials'!$E$2:$E$20001,'JLR Materials'!$A$2:$A$20001,$K166,'JLR Materials'!$C$2:$C$20001,IF(Settings!$B$2="","&lt;&gt;",Settings!$B$2),'JLR Materials'!$D$2:$D$20001,IF(Settings!$B$4="","&lt;&gt;",Settings!$B$4)))</f>
        <v>0</v>
      </c>
      <c r="N166" s="39">
        <f>IF($L166&lt;&gt;1,0,SUMIFS('JLR Materials'!$F$2:$F$20001,'JLR Materials'!$A$2:$A$20001,$K166,'JLR Materials'!$C$2:$C$20001,IF(Settings!$B$2="","&lt;&gt;",Settings!$B$2),'JLR Materials'!$D$2:$D$20001,IF(Settings!$B$4="","&lt;&gt;",Settings!$B$4)))</f>
        <v>0</v>
      </c>
      <c r="O166" s="38">
        <f>IF($N166=0,0,IF(Settings!$B$5="percent",$M166*$N166/100,$N166))</f>
        <v>0</v>
      </c>
      <c r="P166" s="39">
        <f>IF($L166&lt;&gt;1,0,SUMIFS('JLR Materials'!$G$2:$G$20001,'JLR Materials'!$A$2:$A$20001,$K166,'JLR Materials'!$C$2:$C$20001,IF(Settings!$B$2="","&lt;&gt;",Settings!$B$2),'JLR Materials'!$D$2:$D$20001,IF(Settings!$B$4="","&lt;&gt;",Settings!$B$4)))</f>
        <v>0</v>
      </c>
      <c r="Q166" s="40" t="s">
        <v>1747</v>
      </c>
      <c r="R166" s="40" t="s">
        <v>1382</v>
      </c>
    </row>
    <row r="167" spans="1:18" x14ac:dyDescent="0.25">
      <c r="A167" s="32" t="s">
        <v>597</v>
      </c>
      <c r="B167" s="33" t="s">
        <v>1748</v>
      </c>
      <c r="C167" s="33" t="s">
        <v>1742</v>
      </c>
      <c r="D167" s="34">
        <f>IF($M167&gt;0,$M167,3.15)</f>
        <v>3.15</v>
      </c>
      <c r="E167" s="34">
        <f>IF($O167&gt;0,$O167,0.57)</f>
        <v>0.57</v>
      </c>
      <c r="F167" s="35">
        <v>2650</v>
      </c>
      <c r="G167" s="33" t="s">
        <v>1379</v>
      </c>
      <c r="H167" s="36" t="str">
        <f>IF($M167&gt;0,IF($L167&lt;&gt;1,$R167,IFERROR(INDEX('JLR Materials'!$D$2:$D$20001,MATCH($K167,'JLR Materials'!$A$2:$A$20001,0)),$R167)),$R167)</f>
        <v>2026-09</v>
      </c>
      <c r="I167" s="36" t="str">
        <f>IF($M167&gt;0,"JLR rate card — material code "&amp;$K167,$Q167)</f>
        <v>Index-anchored 2026-07 (see CASTING PRICING BASIS). High-strength/high-ductility as-cast HPDC — chassis nodes, suspension parts; excellent corrosion resistance. | Refresh 2026-09: −£0.066/kg from 0.92kg al £2.910→£2.849/kg, 0.05kg mg £1.972→£1.773/kg; premiums held</v>
      </c>
      <c r="J167" s="33" t="s">
        <v>1380</v>
      </c>
      <c r="K167" s="37" t="str">
        <f>IFERROR(INDEX(Mapping!$C$2:$C$549,MATCH($A167,Mapping!$A$2:$A$549,0)),"")</f>
        <v/>
      </c>
      <c r="L167" s="37">
        <f>IF($K167="",0,COUNTIFS('JLR Materials'!$A$2:$A$20001,$K167,'JLR Materials'!$C$2:$C$20001,IF(Settings!$B$2="","&lt;&gt;",Settings!$B$2),'JLR Materials'!$D$2:$D$20001,IF(Settings!$B$4="","&lt;&gt;",Settings!$B$4)))</f>
        <v>0</v>
      </c>
      <c r="M167" s="38">
        <f>IF($L167&lt;&gt;1,0,SUMIFS('JLR Materials'!$E$2:$E$20001,'JLR Materials'!$A$2:$A$20001,$K167,'JLR Materials'!$C$2:$C$20001,IF(Settings!$B$2="","&lt;&gt;",Settings!$B$2),'JLR Materials'!$D$2:$D$20001,IF(Settings!$B$4="","&lt;&gt;",Settings!$B$4)))</f>
        <v>0</v>
      </c>
      <c r="N167" s="39">
        <f>IF($L167&lt;&gt;1,0,SUMIFS('JLR Materials'!$F$2:$F$20001,'JLR Materials'!$A$2:$A$20001,$K167,'JLR Materials'!$C$2:$C$20001,IF(Settings!$B$2="","&lt;&gt;",Settings!$B$2),'JLR Materials'!$D$2:$D$20001,IF(Settings!$B$4="","&lt;&gt;",Settings!$B$4)))</f>
        <v>0</v>
      </c>
      <c r="O167" s="38">
        <f>IF($N167=0,0,IF(Settings!$B$5="percent",$M167*$N167/100,$N167))</f>
        <v>0</v>
      </c>
      <c r="P167" s="39">
        <f>IF($L167&lt;&gt;1,0,SUMIFS('JLR Materials'!$G$2:$G$20001,'JLR Materials'!$A$2:$A$20001,$K167,'JLR Materials'!$C$2:$C$20001,IF(Settings!$B$2="","&lt;&gt;",Settings!$B$2),'JLR Materials'!$D$2:$D$20001,IF(Settings!$B$4="","&lt;&gt;",Settings!$B$4)))</f>
        <v>0</v>
      </c>
      <c r="Q167" s="40" t="s">
        <v>1749</v>
      </c>
      <c r="R167" s="40" t="s">
        <v>1382</v>
      </c>
    </row>
    <row r="168" spans="1:18" x14ac:dyDescent="0.25">
      <c r="A168" s="32" t="s">
        <v>599</v>
      </c>
      <c r="B168" s="33" t="s">
        <v>1750</v>
      </c>
      <c r="C168" s="33" t="s">
        <v>1742</v>
      </c>
      <c r="D168" s="34">
        <f>IF($M168&gt;0,$M168,3)</f>
        <v>3</v>
      </c>
      <c r="E168" s="34">
        <f>IF($O168&gt;0,$O168,0.59)</f>
        <v>0.59</v>
      </c>
      <c r="F168" s="35">
        <v>2670</v>
      </c>
      <c r="G168" s="33" t="s">
        <v>1379</v>
      </c>
      <c r="H168" s="36" t="str">
        <f>IF($M168&gt;0,IF($L168&lt;&gt;1,$R168,IFERROR(INDEX('JLR Materials'!$D$2:$D$20001,MATCH($K168,'JLR Materials'!$A$2:$A$20001,0)),$R168)),$R168)</f>
        <v>2026-09</v>
      </c>
      <c r="I168" s="36" t="str">
        <f>IF($M168&gt;0,"JLR rate card — material code "&amp;$K168,$Q168)</f>
        <v>Index-anchored 2026-07 (see CASTING PRICING BASIS). ≥75% recycled-content structural HPDC alloy — same mechanicals as Silafont, ~3–4 kg CO₂/kg vs ~8–20 for primary; OEM green-casting programmes. | Refresh 2026-09: −£0.055/kg from 0.89kg al £2.910→£2.849/kg, 0.1kg si £1.000→£1.000/kg; premiums held</v>
      </c>
      <c r="J168" s="33" t="s">
        <v>1393</v>
      </c>
      <c r="K168" s="37" t="str">
        <f>IFERROR(INDEX(Mapping!$C$2:$C$549,MATCH($A168,Mapping!$A$2:$A$549,0)),"")</f>
        <v/>
      </c>
      <c r="L168" s="37">
        <f>IF($K168="",0,COUNTIFS('JLR Materials'!$A$2:$A$20001,$K168,'JLR Materials'!$C$2:$C$20001,IF(Settings!$B$2="","&lt;&gt;",Settings!$B$2),'JLR Materials'!$D$2:$D$20001,IF(Settings!$B$4="","&lt;&gt;",Settings!$B$4)))</f>
        <v>0</v>
      </c>
      <c r="M168" s="38">
        <f>IF($L168&lt;&gt;1,0,SUMIFS('JLR Materials'!$E$2:$E$20001,'JLR Materials'!$A$2:$A$20001,$K168,'JLR Materials'!$C$2:$C$20001,IF(Settings!$B$2="","&lt;&gt;",Settings!$B$2),'JLR Materials'!$D$2:$D$20001,IF(Settings!$B$4="","&lt;&gt;",Settings!$B$4)))</f>
        <v>0</v>
      </c>
      <c r="N168" s="39">
        <f>IF($L168&lt;&gt;1,0,SUMIFS('JLR Materials'!$F$2:$F$20001,'JLR Materials'!$A$2:$A$20001,$K168,'JLR Materials'!$C$2:$C$20001,IF(Settings!$B$2="","&lt;&gt;",Settings!$B$2),'JLR Materials'!$D$2:$D$20001,IF(Settings!$B$4="","&lt;&gt;",Settings!$B$4)))</f>
        <v>0</v>
      </c>
      <c r="O168" s="38">
        <f>IF($N168=0,0,IF(Settings!$B$5="percent",$M168*$N168/100,$N168))</f>
        <v>0</v>
      </c>
      <c r="P168" s="39">
        <f>IF($L168&lt;&gt;1,0,SUMIFS('JLR Materials'!$G$2:$G$20001,'JLR Materials'!$A$2:$A$20001,$K168,'JLR Materials'!$C$2:$C$20001,IF(Settings!$B$2="","&lt;&gt;",Settings!$B$2),'JLR Materials'!$D$2:$D$20001,IF(Settings!$B$4="","&lt;&gt;",Settings!$B$4)))</f>
        <v>0</v>
      </c>
      <c r="Q168" s="40" t="s">
        <v>1751</v>
      </c>
      <c r="R168" s="40" t="s">
        <v>1382</v>
      </c>
    </row>
    <row r="169" spans="1:18" x14ac:dyDescent="0.25">
      <c r="A169" s="32" t="s">
        <v>601</v>
      </c>
      <c r="B169" s="33" t="s">
        <v>1752</v>
      </c>
      <c r="C169" s="33" t="s">
        <v>1742</v>
      </c>
      <c r="D169" s="34">
        <f>IF($M169&gt;0,$M169,3.3)</f>
        <v>3.3</v>
      </c>
      <c r="E169" s="34">
        <f>IF($O169&gt;0,$O169,0.59)</f>
        <v>0.59</v>
      </c>
      <c r="F169" s="35">
        <v>2680</v>
      </c>
      <c r="G169" s="33" t="s">
        <v>1379</v>
      </c>
      <c r="H169" s="36" t="str">
        <f>IF($M169&gt;0,IF($L169&lt;&gt;1,$R169,IFERROR(INDEX('JLR Materials'!$D$2:$D$20001,MATCH($K169,'JLR Materials'!$A$2:$A$20001,0)),$R169)),$R169)</f>
        <v>2026-09</v>
      </c>
      <c r="I169" s="36" t="str">
        <f>IF($M169&gt;0,"JLR rate card — material code "&amp;$K169,$Q169)</f>
        <v>Index-anchored 2026-07 (see CASTING PRICING BASIS). Self-developed heat-treat-free AlSi(Mn)Mg family for single-piece rear/front-underbody megacastings on 6,000–9,000T+ giga-presses (Xiaomi "Titan Metal", Tesla HTF, BYD). As-cast ductility, no distortion-prone T7; represents the OEM self-alloyed class — override price with the actual supply quote. | Refresh 2026-09: −£0.055/kg from 0.89kg al £2.910→£2.849/kg, 0.1kg si £1.000→£1.000/kg; premiums held</v>
      </c>
      <c r="J169" s="33" t="s">
        <v>1393</v>
      </c>
      <c r="K169" s="37" t="str">
        <f>IFERROR(INDEX(Mapping!$C$2:$C$549,MATCH($A169,Mapping!$A$2:$A$549,0)),"")</f>
        <v/>
      </c>
      <c r="L169" s="37">
        <f>IF($K169="",0,COUNTIFS('JLR Materials'!$A$2:$A$20001,$K169,'JLR Materials'!$C$2:$C$20001,IF(Settings!$B$2="","&lt;&gt;",Settings!$B$2),'JLR Materials'!$D$2:$D$20001,IF(Settings!$B$4="","&lt;&gt;",Settings!$B$4)))</f>
        <v>0</v>
      </c>
      <c r="M169" s="38">
        <f>IF($L169&lt;&gt;1,0,SUMIFS('JLR Materials'!$E$2:$E$20001,'JLR Materials'!$A$2:$A$20001,$K169,'JLR Materials'!$C$2:$C$20001,IF(Settings!$B$2="","&lt;&gt;",Settings!$B$2),'JLR Materials'!$D$2:$D$20001,IF(Settings!$B$4="","&lt;&gt;",Settings!$B$4)))</f>
        <v>0</v>
      </c>
      <c r="N169" s="39">
        <f>IF($L169&lt;&gt;1,0,SUMIFS('JLR Materials'!$F$2:$F$20001,'JLR Materials'!$A$2:$A$20001,$K169,'JLR Materials'!$C$2:$C$20001,IF(Settings!$B$2="","&lt;&gt;",Settings!$B$2),'JLR Materials'!$D$2:$D$20001,IF(Settings!$B$4="","&lt;&gt;",Settings!$B$4)))</f>
        <v>0</v>
      </c>
      <c r="O169" s="38">
        <f>IF($N169=0,0,IF(Settings!$B$5="percent",$M169*$N169/100,$N169))</f>
        <v>0</v>
      </c>
      <c r="P169" s="39">
        <f>IF($L169&lt;&gt;1,0,SUMIFS('JLR Materials'!$G$2:$G$20001,'JLR Materials'!$A$2:$A$20001,$K169,'JLR Materials'!$C$2:$C$20001,IF(Settings!$B$2="","&lt;&gt;",Settings!$B$2),'JLR Materials'!$D$2:$D$20001,IF(Settings!$B$4="","&lt;&gt;",Settings!$B$4)))</f>
        <v>0</v>
      </c>
      <c r="Q169" s="40" t="s">
        <v>1753</v>
      </c>
      <c r="R169" s="40" t="s">
        <v>1382</v>
      </c>
    </row>
    <row r="170" spans="1:18" x14ac:dyDescent="0.25">
      <c r="A170" s="32" t="s">
        <v>603</v>
      </c>
      <c r="B170" s="33" t="s">
        <v>1754</v>
      </c>
      <c r="C170" s="33" t="s">
        <v>1706</v>
      </c>
      <c r="D170" s="34">
        <f>IF($M170&gt;0,$M170,2.75)</f>
        <v>2.75</v>
      </c>
      <c r="E170" s="34">
        <f>IF($O170&gt;0,$O170,0.53)</f>
        <v>0.53</v>
      </c>
      <c r="F170" s="35">
        <v>2660</v>
      </c>
      <c r="G170" s="33" t="s">
        <v>1379</v>
      </c>
      <c r="H170" s="36" t="str">
        <f>IF($M170&gt;0,IF($L170&lt;&gt;1,$R170,IFERROR(INDEX('JLR Materials'!$D$2:$D$20001,MATCH($K170,'JLR Materials'!$A$2:$A$20001,0)),$R170)),$R170)</f>
        <v>2026-09</v>
      </c>
      <c r="I170" s="36" t="str">
        <f>IF($M170&gt;0,"JLR rate card — material code "&amp;$K170,$Q170)</f>
        <v>Index-anchored 2026-07 (see CASTING PRICING BASIS). Near-eutectic high-fluidity alloy — thin-wall pressure-tight housings, pump bodies, intricate die castings. | Refresh 2026-09: −£0.053/kg from 0.87kg al £2.910→£2.849/kg, 0.12kg si £1.000→£1.000/kg; premiums held</v>
      </c>
      <c r="J170" s="33" t="s">
        <v>1380</v>
      </c>
      <c r="K170" s="37" t="str">
        <f>IFERROR(INDEX(Mapping!$C$2:$C$549,MATCH($A170,Mapping!$A$2:$A$549,0)),"")</f>
        <v/>
      </c>
      <c r="L170" s="37">
        <f>IF($K170="",0,COUNTIFS('JLR Materials'!$A$2:$A$20001,$K170,'JLR Materials'!$C$2:$C$20001,IF(Settings!$B$2="","&lt;&gt;",Settings!$B$2),'JLR Materials'!$D$2:$D$20001,IF(Settings!$B$4="","&lt;&gt;",Settings!$B$4)))</f>
        <v>0</v>
      </c>
      <c r="M170" s="38">
        <f>IF($L170&lt;&gt;1,0,SUMIFS('JLR Materials'!$E$2:$E$20001,'JLR Materials'!$A$2:$A$20001,$K170,'JLR Materials'!$C$2:$C$20001,IF(Settings!$B$2="","&lt;&gt;",Settings!$B$2),'JLR Materials'!$D$2:$D$20001,IF(Settings!$B$4="","&lt;&gt;",Settings!$B$4)))</f>
        <v>0</v>
      </c>
      <c r="N170" s="39">
        <f>IF($L170&lt;&gt;1,0,SUMIFS('JLR Materials'!$F$2:$F$20001,'JLR Materials'!$A$2:$A$20001,$K170,'JLR Materials'!$C$2:$C$20001,IF(Settings!$B$2="","&lt;&gt;",Settings!$B$2),'JLR Materials'!$D$2:$D$20001,IF(Settings!$B$4="","&lt;&gt;",Settings!$B$4)))</f>
        <v>0</v>
      </c>
      <c r="O170" s="38">
        <f>IF($N170=0,0,IF(Settings!$B$5="percent",$M170*$N170/100,$N170))</f>
        <v>0</v>
      </c>
      <c r="P170" s="39">
        <f>IF($L170&lt;&gt;1,0,SUMIFS('JLR Materials'!$G$2:$G$20001,'JLR Materials'!$A$2:$A$20001,$K170,'JLR Materials'!$C$2:$C$20001,IF(Settings!$B$2="","&lt;&gt;",Settings!$B$2),'JLR Materials'!$D$2:$D$20001,IF(Settings!$B$4="","&lt;&gt;",Settings!$B$4)))</f>
        <v>0</v>
      </c>
      <c r="Q170" s="40" t="s">
        <v>1755</v>
      </c>
      <c r="R170" s="40" t="s">
        <v>1382</v>
      </c>
    </row>
    <row r="171" spans="1:18" x14ac:dyDescent="0.25">
      <c r="A171" s="32" t="s">
        <v>605</v>
      </c>
      <c r="B171" s="33" t="s">
        <v>1756</v>
      </c>
      <c r="C171" s="33" t="s">
        <v>1706</v>
      </c>
      <c r="D171" s="34">
        <f>IF($M171&gt;0,$M171,2.97)</f>
        <v>2.97</v>
      </c>
      <c r="E171" s="34">
        <f>IF($O171&gt;0,$O171,0.58)</f>
        <v>0.58</v>
      </c>
      <c r="F171" s="35">
        <v>2790</v>
      </c>
      <c r="G171" s="33" t="s">
        <v>1379</v>
      </c>
      <c r="H171" s="36" t="str">
        <f>IF($M171&gt;0,IF($L171&lt;&gt;1,$R171,IFERROR(INDEX('JLR Materials'!$D$2:$D$20001,MATCH($K171,'JLR Materials'!$A$2:$A$20001,0)),$R171)),$R171)</f>
        <v>2026-09</v>
      </c>
      <c r="I171" s="36" t="str">
        <f>IF($M171&gt;0,"JLR rate card — material code "&amp;$K171,$Q171)</f>
        <v>Index-anchored 2026-07 (see CASTING PRICING BASIS). General-purpose Al-Si-Cu — sand/permanent-mould engine blocks, manifolds, cylinder heads; good machinability. | Refresh 2026-09: +£0.210/kg from 0.89kg al £2.910→£2.849/kg, 0.06kg si £1.000→£1.000/kg, 0.04kg cu £10.070→£10.768/kg, floored at commodity content £2.97/kg (previous level was below the metal it contains); premiums held</v>
      </c>
      <c r="J171" s="33" t="s">
        <v>1380</v>
      </c>
      <c r="K171" s="37" t="str">
        <f>IFERROR(INDEX(Mapping!$C$2:$C$549,MATCH($A171,Mapping!$A$2:$A$549,0)),"")</f>
        <v/>
      </c>
      <c r="L171" s="37">
        <f>IF($K171="",0,COUNTIFS('JLR Materials'!$A$2:$A$20001,$K171,'JLR Materials'!$C$2:$C$20001,IF(Settings!$B$2="","&lt;&gt;",Settings!$B$2),'JLR Materials'!$D$2:$D$20001,IF(Settings!$B$4="","&lt;&gt;",Settings!$B$4)))</f>
        <v>0</v>
      </c>
      <c r="M171" s="38">
        <f>IF($L171&lt;&gt;1,0,SUMIFS('JLR Materials'!$E$2:$E$20001,'JLR Materials'!$A$2:$A$20001,$K171,'JLR Materials'!$C$2:$C$20001,IF(Settings!$B$2="","&lt;&gt;",Settings!$B$2),'JLR Materials'!$D$2:$D$20001,IF(Settings!$B$4="","&lt;&gt;",Settings!$B$4)))</f>
        <v>0</v>
      </c>
      <c r="N171" s="39">
        <f>IF($L171&lt;&gt;1,0,SUMIFS('JLR Materials'!$F$2:$F$20001,'JLR Materials'!$A$2:$A$20001,$K171,'JLR Materials'!$C$2:$C$20001,IF(Settings!$B$2="","&lt;&gt;",Settings!$B$2),'JLR Materials'!$D$2:$D$20001,IF(Settings!$B$4="","&lt;&gt;",Settings!$B$4)))</f>
        <v>0</v>
      </c>
      <c r="O171" s="38">
        <f>IF($N171=0,0,IF(Settings!$B$5="percent",$M171*$N171/100,$N171))</f>
        <v>0</v>
      </c>
      <c r="P171" s="39">
        <f>IF($L171&lt;&gt;1,0,SUMIFS('JLR Materials'!$G$2:$G$20001,'JLR Materials'!$A$2:$A$20001,$K171,'JLR Materials'!$C$2:$C$20001,IF(Settings!$B$2="","&lt;&gt;",Settings!$B$2),'JLR Materials'!$D$2:$D$20001,IF(Settings!$B$4="","&lt;&gt;",Settings!$B$4)))</f>
        <v>0</v>
      </c>
      <c r="Q171" s="40" t="s">
        <v>1757</v>
      </c>
      <c r="R171" s="40" t="s">
        <v>1382</v>
      </c>
    </row>
    <row r="172" spans="1:18" x14ac:dyDescent="0.25">
      <c r="A172" s="32" t="s">
        <v>607</v>
      </c>
      <c r="B172" s="33" t="s">
        <v>1758</v>
      </c>
      <c r="C172" s="33" t="s">
        <v>1706</v>
      </c>
      <c r="D172" s="34">
        <f>IF($M172&gt;0,$M172,3.3)</f>
        <v>3.3</v>
      </c>
      <c r="E172" s="34">
        <f>IF($O172&gt;0,$O172,0.55)</f>
        <v>0.55</v>
      </c>
      <c r="F172" s="35">
        <v>2730</v>
      </c>
      <c r="G172" s="33" t="s">
        <v>1379</v>
      </c>
      <c r="H172" s="36" t="str">
        <f>IF($M172&gt;0,IF($L172&lt;&gt;1,$R172,IFERROR(INDEX('JLR Materials'!$D$2:$D$20001,MATCH($K172,'JLR Materials'!$A$2:$A$20001,0)),$R172)),$R172)</f>
        <v>2026-09</v>
      </c>
      <c r="I172" s="36" t="str">
        <f>IF($M172&gt;0,"JLR rate card — material code "&amp;$K172,$Q172)</f>
        <v>Index-anchored 2026-07 (see CASTING PRICING BASIS). Hypereutectic wear-resistant alloy — compressor scrolls, pistons, cylinder liners; low CTE, high hardness. | Refresh 2026-09: −£0.017/kg from 0.78kg al £2.910→£2.849/kg, 0.17kg si £1.000→£1.000/kg, 0.045kg cu £10.070→£10.768/kg; premiums held</v>
      </c>
      <c r="J172" s="33" t="s">
        <v>1380</v>
      </c>
      <c r="K172" s="37" t="str">
        <f>IFERROR(INDEX(Mapping!$C$2:$C$549,MATCH($A172,Mapping!$A$2:$A$549,0)),"")</f>
        <v/>
      </c>
      <c r="L172" s="37">
        <f>IF($K172="",0,COUNTIFS('JLR Materials'!$A$2:$A$20001,$K172,'JLR Materials'!$C$2:$C$20001,IF(Settings!$B$2="","&lt;&gt;",Settings!$B$2),'JLR Materials'!$D$2:$D$20001,IF(Settings!$B$4="","&lt;&gt;",Settings!$B$4)))</f>
        <v>0</v>
      </c>
      <c r="M172" s="38">
        <f>IF($L172&lt;&gt;1,0,SUMIFS('JLR Materials'!$E$2:$E$20001,'JLR Materials'!$A$2:$A$20001,$K172,'JLR Materials'!$C$2:$C$20001,IF(Settings!$B$2="","&lt;&gt;",Settings!$B$2),'JLR Materials'!$D$2:$D$20001,IF(Settings!$B$4="","&lt;&gt;",Settings!$B$4)))</f>
        <v>0</v>
      </c>
      <c r="N172" s="39">
        <f>IF($L172&lt;&gt;1,0,SUMIFS('JLR Materials'!$F$2:$F$20001,'JLR Materials'!$A$2:$A$20001,$K172,'JLR Materials'!$C$2:$C$20001,IF(Settings!$B$2="","&lt;&gt;",Settings!$B$2),'JLR Materials'!$D$2:$D$20001,IF(Settings!$B$4="","&lt;&gt;",Settings!$B$4)))</f>
        <v>0</v>
      </c>
      <c r="O172" s="38">
        <f>IF($N172=0,0,IF(Settings!$B$5="percent",$M172*$N172/100,$N172))</f>
        <v>0</v>
      </c>
      <c r="P172" s="39">
        <f>IF($L172&lt;&gt;1,0,SUMIFS('JLR Materials'!$G$2:$G$20001,'JLR Materials'!$A$2:$A$20001,$K172,'JLR Materials'!$C$2:$C$20001,IF(Settings!$B$2="","&lt;&gt;",Settings!$B$2),'JLR Materials'!$D$2:$D$20001,IF(Settings!$B$4="","&lt;&gt;",Settings!$B$4)))</f>
        <v>0</v>
      </c>
      <c r="Q172" s="40" t="s">
        <v>1759</v>
      </c>
      <c r="R172" s="40" t="s">
        <v>1382</v>
      </c>
    </row>
    <row r="173" spans="1:18" x14ac:dyDescent="0.25">
      <c r="A173" s="32" t="s">
        <v>609</v>
      </c>
      <c r="B173" s="33" t="s">
        <v>1760</v>
      </c>
      <c r="C173" s="33" t="s">
        <v>1714</v>
      </c>
      <c r="D173" s="34">
        <f>IF($M173&gt;0,$M173,3.2)</f>
        <v>3.2</v>
      </c>
      <c r="E173" s="34">
        <f>IF($O173&gt;0,$O173,0.55)</f>
        <v>0.55</v>
      </c>
      <c r="F173" s="35">
        <v>2680</v>
      </c>
      <c r="G173" s="33" t="s">
        <v>1379</v>
      </c>
      <c r="H173" s="36" t="str">
        <f>IF($M173&gt;0,IF($L173&lt;&gt;1,$R173,IFERROR(INDEX('JLR Materials'!$D$2:$D$20001,MATCH($K173,'JLR Materials'!$A$2:$A$20001,0)),$R173)),$R173)</f>
        <v>2026-09</v>
      </c>
      <c r="I173" s="36" t="str">
        <f>IF($M173&gt;0,"JLR rate card — material code "&amp;$K173,$Q173)</f>
        <v>Index-anchored 2026-07 (see CASTING PRICING BASIS). Premium high-integrity T6 alloy — aerospace structural, motorsport wheels, suspension uprights; HIP-capable. | Refresh 2026-09: −£0.057/kg from 0.92kg al £2.910→£2.849/kg, 0.07kg si £1.000→£1.000/kg; premiums held</v>
      </c>
      <c r="J173" s="33" t="s">
        <v>1380</v>
      </c>
      <c r="K173" s="37" t="str">
        <f>IFERROR(INDEX(Mapping!$C$2:$C$549,MATCH($A173,Mapping!$A$2:$A$549,0)),"")</f>
        <v/>
      </c>
      <c r="L173" s="37">
        <f>IF($K173="",0,COUNTIFS('JLR Materials'!$A$2:$A$20001,$K173,'JLR Materials'!$C$2:$C$20001,IF(Settings!$B$2="","&lt;&gt;",Settings!$B$2),'JLR Materials'!$D$2:$D$20001,IF(Settings!$B$4="","&lt;&gt;",Settings!$B$4)))</f>
        <v>0</v>
      </c>
      <c r="M173" s="38">
        <f>IF($L173&lt;&gt;1,0,SUMIFS('JLR Materials'!$E$2:$E$20001,'JLR Materials'!$A$2:$A$20001,$K173,'JLR Materials'!$C$2:$C$20001,IF(Settings!$B$2="","&lt;&gt;",Settings!$B$2),'JLR Materials'!$D$2:$D$20001,IF(Settings!$B$4="","&lt;&gt;",Settings!$B$4)))</f>
        <v>0</v>
      </c>
      <c r="N173" s="39">
        <f>IF($L173&lt;&gt;1,0,SUMIFS('JLR Materials'!$F$2:$F$20001,'JLR Materials'!$A$2:$A$20001,$K173,'JLR Materials'!$C$2:$C$20001,IF(Settings!$B$2="","&lt;&gt;",Settings!$B$2),'JLR Materials'!$D$2:$D$20001,IF(Settings!$B$4="","&lt;&gt;",Settings!$B$4)))</f>
        <v>0</v>
      </c>
      <c r="O173" s="38">
        <f>IF($N173=0,0,IF(Settings!$B$5="percent",$M173*$N173/100,$N173))</f>
        <v>0</v>
      </c>
      <c r="P173" s="39">
        <f>IF($L173&lt;&gt;1,0,SUMIFS('JLR Materials'!$G$2:$G$20001,'JLR Materials'!$A$2:$A$20001,$K173,'JLR Materials'!$C$2:$C$20001,IF(Settings!$B$2="","&lt;&gt;",Settings!$B$2),'JLR Materials'!$D$2:$D$20001,IF(Settings!$B$4="","&lt;&gt;",Settings!$B$4)))</f>
        <v>0</v>
      </c>
      <c r="Q173" s="40" t="s">
        <v>1761</v>
      </c>
      <c r="R173" s="40" t="s">
        <v>1382</v>
      </c>
    </row>
    <row r="174" spans="1:18" x14ac:dyDescent="0.25">
      <c r="A174" s="32" t="s">
        <v>611</v>
      </c>
      <c r="B174" s="33" t="s">
        <v>1762</v>
      </c>
      <c r="C174" s="33" t="s">
        <v>1711</v>
      </c>
      <c r="D174" s="34">
        <f>IF($M174&gt;0,$M174,0.6)</f>
        <v>0.6</v>
      </c>
      <c r="E174" s="34">
        <f>IF($O174&gt;0,$O174,0.12)</f>
        <v>0.12</v>
      </c>
      <c r="F174" s="35">
        <v>7200</v>
      </c>
      <c r="G174" s="33" t="s">
        <v>1379</v>
      </c>
      <c r="H174" s="36" t="str">
        <f>IF($M174&gt;0,IF($L174&lt;&gt;1,$R174,IFERROR(INDEX('JLR Materials'!$D$2:$D$20001,MATCH($K174,'JLR Materials'!$A$2:$A$20001,0)),$R174)),$R174)</f>
        <v>2026-09</v>
      </c>
      <c r="I174" s="36" t="str">
        <f>IF($M174&gt;0,"JLR rate card — material code "&amp;$K174,$Q174)</f>
        <v>Index-anchored 2026-07 (see CASTING PRICING BASIS). General-purpose grey iron — housings, covers, counterweights; good damping and machinability. | Refresh 2026-09: NOT SOURCED — pigiron, scrap: Not sourced this period: no June 2026 foundry pig iron or steel scrap price found on a like-for-like basis (Turkish HMS ’June’ figure found was a 2020 article; UK yard prices not comparable). Held at the June 2026 price.</v>
      </c>
      <c r="J174" s="33" t="s">
        <v>1393</v>
      </c>
      <c r="K174" s="37" t="str">
        <f>IFERROR(INDEX(Mapping!$C$2:$C$549,MATCH($A174,Mapping!$A$2:$A$549,0)),"")</f>
        <v/>
      </c>
      <c r="L174" s="37">
        <f>IF($K174="",0,COUNTIFS('JLR Materials'!$A$2:$A$20001,$K174,'JLR Materials'!$C$2:$C$20001,IF(Settings!$B$2="","&lt;&gt;",Settings!$B$2),'JLR Materials'!$D$2:$D$20001,IF(Settings!$B$4="","&lt;&gt;",Settings!$B$4)))</f>
        <v>0</v>
      </c>
      <c r="M174" s="38">
        <f>IF($L174&lt;&gt;1,0,SUMIFS('JLR Materials'!$E$2:$E$20001,'JLR Materials'!$A$2:$A$20001,$K174,'JLR Materials'!$C$2:$C$20001,IF(Settings!$B$2="","&lt;&gt;",Settings!$B$2),'JLR Materials'!$D$2:$D$20001,IF(Settings!$B$4="","&lt;&gt;",Settings!$B$4)))</f>
        <v>0</v>
      </c>
      <c r="N174" s="39">
        <f>IF($L174&lt;&gt;1,0,SUMIFS('JLR Materials'!$F$2:$F$20001,'JLR Materials'!$A$2:$A$20001,$K174,'JLR Materials'!$C$2:$C$20001,IF(Settings!$B$2="","&lt;&gt;",Settings!$B$2),'JLR Materials'!$D$2:$D$20001,IF(Settings!$B$4="","&lt;&gt;",Settings!$B$4)))</f>
        <v>0</v>
      </c>
      <c r="O174" s="38">
        <f>IF($N174=0,0,IF(Settings!$B$5="percent",$M174*$N174/100,$N174))</f>
        <v>0</v>
      </c>
      <c r="P174" s="39">
        <f>IF($L174&lt;&gt;1,0,SUMIFS('JLR Materials'!$G$2:$G$20001,'JLR Materials'!$A$2:$A$20001,$K174,'JLR Materials'!$C$2:$C$20001,IF(Settings!$B$2="","&lt;&gt;",Settings!$B$2),'JLR Materials'!$D$2:$D$20001,IF(Settings!$B$4="","&lt;&gt;",Settings!$B$4)))</f>
        <v>0</v>
      </c>
      <c r="Q174" s="40" t="s">
        <v>1763</v>
      </c>
      <c r="R174" s="40" t="s">
        <v>1382</v>
      </c>
    </row>
    <row r="175" spans="1:18" x14ac:dyDescent="0.25">
      <c r="A175" s="32" t="s">
        <v>613</v>
      </c>
      <c r="B175" s="33" t="s">
        <v>1764</v>
      </c>
      <c r="C175" s="33" t="s">
        <v>1711</v>
      </c>
      <c r="D175" s="34">
        <f>IF($M175&gt;0,$M175,0.7)</f>
        <v>0.7</v>
      </c>
      <c r="E175" s="34">
        <f>IF($O175&gt;0,$O175,0.12)</f>
        <v>0.12</v>
      </c>
      <c r="F175" s="35">
        <v>7200</v>
      </c>
      <c r="G175" s="33" t="s">
        <v>1379</v>
      </c>
      <c r="H175" s="36" t="str">
        <f>IF($M175&gt;0,IF($L175&lt;&gt;1,$R175,IFERROR(INDEX('JLR Materials'!$D$2:$D$20001,MATCH($K175,'JLR Materials'!$A$2:$A$20001,0)),$R175)),$R175)</f>
        <v>2026-09</v>
      </c>
      <c r="I175" s="36" t="str">
        <f>IF($M175&gt;0,"JLR rate card — material code "&amp;$K175,$Q175)</f>
        <v>Index-anchored 2026-07 (see CASTING PRICING BASIS). Higher-strength grey iron — engine blocks, brake discs/drums, machine-tool structures. | Refresh 2026-09: NOT SOURCED — pigiron, scrap: Not sourced this period: no June 2026 foundry pig iron or steel scrap price found on a like-for-like basis (Turkish HMS ’June’ figure found was a 2020 article; UK yard prices not comparable). Held at the June 2026 price.</v>
      </c>
      <c r="J175" s="33" t="s">
        <v>1393</v>
      </c>
      <c r="K175" s="37" t="str">
        <f>IFERROR(INDEX(Mapping!$C$2:$C$549,MATCH($A175,Mapping!$A$2:$A$549,0)),"")</f>
        <v/>
      </c>
      <c r="L175" s="37">
        <f>IF($K175="",0,COUNTIFS('JLR Materials'!$A$2:$A$20001,$K175,'JLR Materials'!$C$2:$C$20001,IF(Settings!$B$2="","&lt;&gt;",Settings!$B$2),'JLR Materials'!$D$2:$D$20001,IF(Settings!$B$4="","&lt;&gt;",Settings!$B$4)))</f>
        <v>0</v>
      </c>
      <c r="M175" s="38">
        <f>IF($L175&lt;&gt;1,0,SUMIFS('JLR Materials'!$E$2:$E$20001,'JLR Materials'!$A$2:$A$20001,$K175,'JLR Materials'!$C$2:$C$20001,IF(Settings!$B$2="","&lt;&gt;",Settings!$B$2),'JLR Materials'!$D$2:$D$20001,IF(Settings!$B$4="","&lt;&gt;",Settings!$B$4)))</f>
        <v>0</v>
      </c>
      <c r="N175" s="39">
        <f>IF($L175&lt;&gt;1,0,SUMIFS('JLR Materials'!$F$2:$F$20001,'JLR Materials'!$A$2:$A$20001,$K175,'JLR Materials'!$C$2:$C$20001,IF(Settings!$B$2="","&lt;&gt;",Settings!$B$2),'JLR Materials'!$D$2:$D$20001,IF(Settings!$B$4="","&lt;&gt;",Settings!$B$4)))</f>
        <v>0</v>
      </c>
      <c r="O175" s="38">
        <f>IF($N175=0,0,IF(Settings!$B$5="percent",$M175*$N175/100,$N175))</f>
        <v>0</v>
      </c>
      <c r="P175" s="39">
        <f>IF($L175&lt;&gt;1,0,SUMIFS('JLR Materials'!$G$2:$G$20001,'JLR Materials'!$A$2:$A$20001,$K175,'JLR Materials'!$C$2:$C$20001,IF(Settings!$B$2="","&lt;&gt;",Settings!$B$2),'JLR Materials'!$D$2:$D$20001,IF(Settings!$B$4="","&lt;&gt;",Settings!$B$4)))</f>
        <v>0</v>
      </c>
      <c r="Q175" s="40" t="s">
        <v>1765</v>
      </c>
      <c r="R175" s="40" t="s">
        <v>1382</v>
      </c>
    </row>
    <row r="176" spans="1:18" x14ac:dyDescent="0.25">
      <c r="A176" s="32" t="s">
        <v>615</v>
      </c>
      <c r="B176" s="33" t="s">
        <v>1766</v>
      </c>
      <c r="C176" s="33" t="s">
        <v>1737</v>
      </c>
      <c r="D176" s="34">
        <f>IF($M176&gt;0,$M176,0.86)</f>
        <v>0.86</v>
      </c>
      <c r="E176" s="34">
        <f>IF($O176&gt;0,$O176,0.15)</f>
        <v>0.15</v>
      </c>
      <c r="F176" s="35">
        <v>7100</v>
      </c>
      <c r="G176" s="33" t="s">
        <v>1379</v>
      </c>
      <c r="H176" s="36" t="str">
        <f>IF($M176&gt;0,IF($L176&lt;&gt;1,$R176,IFERROR(INDEX('JLR Materials'!$D$2:$D$20001,MATCH($K176,'JLR Materials'!$A$2:$A$20001,0)),$R176)),$R176)</f>
        <v>2026-09</v>
      </c>
      <c r="I176" s="36" t="str">
        <f>IF($M176&gt;0,"JLR rate card — material code "&amp;$K176,$Q176)</f>
        <v>Index-anchored 2026-07 (see CASTING PRICING BASIS). Mid-grade ductile iron — steering knuckles, hubs, brackets; balance of strength and ductility. | Refresh 2026-09: NOT SOURCED — pigiron, scrap: Not sourced this period: no June 2026 foundry pig iron or steel scrap price found on a like-for-like basis (Turkish HMS ’June’ figure found was a 2020 article; UK yard prices not comparable). Held at the June 2026 price.</v>
      </c>
      <c r="J176" s="33" t="s">
        <v>1393</v>
      </c>
      <c r="K176" s="37" t="str">
        <f>IFERROR(INDEX(Mapping!$C$2:$C$549,MATCH($A176,Mapping!$A$2:$A$549,0)),"")</f>
        <v/>
      </c>
      <c r="L176" s="37">
        <f>IF($K176="",0,COUNTIFS('JLR Materials'!$A$2:$A$20001,$K176,'JLR Materials'!$C$2:$C$20001,IF(Settings!$B$2="","&lt;&gt;",Settings!$B$2),'JLR Materials'!$D$2:$D$20001,IF(Settings!$B$4="","&lt;&gt;",Settings!$B$4)))</f>
        <v>0</v>
      </c>
      <c r="M176" s="38">
        <f>IF($L176&lt;&gt;1,0,SUMIFS('JLR Materials'!$E$2:$E$20001,'JLR Materials'!$A$2:$A$20001,$K176,'JLR Materials'!$C$2:$C$20001,IF(Settings!$B$2="","&lt;&gt;",Settings!$B$2),'JLR Materials'!$D$2:$D$20001,IF(Settings!$B$4="","&lt;&gt;",Settings!$B$4)))</f>
        <v>0</v>
      </c>
      <c r="N176" s="39">
        <f>IF($L176&lt;&gt;1,0,SUMIFS('JLR Materials'!$F$2:$F$20001,'JLR Materials'!$A$2:$A$20001,$K176,'JLR Materials'!$C$2:$C$20001,IF(Settings!$B$2="","&lt;&gt;",Settings!$B$2),'JLR Materials'!$D$2:$D$20001,IF(Settings!$B$4="","&lt;&gt;",Settings!$B$4)))</f>
        <v>0</v>
      </c>
      <c r="O176" s="38">
        <f>IF($N176=0,0,IF(Settings!$B$5="percent",$M176*$N176/100,$N176))</f>
        <v>0</v>
      </c>
      <c r="P176" s="39">
        <f>IF($L176&lt;&gt;1,0,SUMIFS('JLR Materials'!$G$2:$G$20001,'JLR Materials'!$A$2:$A$20001,$K176,'JLR Materials'!$C$2:$C$20001,IF(Settings!$B$2="","&lt;&gt;",Settings!$B$2),'JLR Materials'!$D$2:$D$20001,IF(Settings!$B$4="","&lt;&gt;",Settings!$B$4)))</f>
        <v>0</v>
      </c>
      <c r="Q176" s="40" t="s">
        <v>1767</v>
      </c>
      <c r="R176" s="40" t="s">
        <v>1382</v>
      </c>
    </row>
    <row r="177" spans="1:18" x14ac:dyDescent="0.25">
      <c r="A177" s="32" t="s">
        <v>617</v>
      </c>
      <c r="B177" s="33" t="s">
        <v>1768</v>
      </c>
      <c r="C177" s="33" t="s">
        <v>1737</v>
      </c>
      <c r="D177" s="34">
        <f>IF($M177&gt;0,$M177,0.95)</f>
        <v>0.95</v>
      </c>
      <c r="E177" s="34">
        <f>IF($O177&gt;0,$O177,0.15)</f>
        <v>0.15</v>
      </c>
      <c r="F177" s="35">
        <v>7100</v>
      </c>
      <c r="G177" s="33" t="s">
        <v>1379</v>
      </c>
      <c r="H177" s="36" t="str">
        <f>IF($M177&gt;0,IF($L177&lt;&gt;1,$R177,IFERROR(INDEX('JLR Materials'!$D$2:$D$20001,MATCH($K177,'JLR Materials'!$A$2:$A$20001,0)),$R177)),$R177)</f>
        <v>2026-09</v>
      </c>
      <c r="I177" s="36" t="str">
        <f>IF($M177&gt;0,"JLR rate card — material code "&amp;$K177,$Q177)</f>
        <v>Index-anchored 2026-07 (see CASTING PRICING BASIS). High-strength ductile iron — heavy-duty gears, crankshafts, hydraulic bodies. | Refresh 2026-09: NOT SOURCED — pigiron, scrap: Not sourced this period: no June 2026 foundry pig iron or steel scrap price found on a like-for-like basis (Turkish HMS ’June’ figure found was a 2020 article; UK yard prices not comparable). Held at the June 2026 price.</v>
      </c>
      <c r="J177" s="33" t="s">
        <v>1393</v>
      </c>
      <c r="K177" s="37" t="str">
        <f>IFERROR(INDEX(Mapping!$C$2:$C$549,MATCH($A177,Mapping!$A$2:$A$549,0)),"")</f>
        <v/>
      </c>
      <c r="L177" s="37">
        <f>IF($K177="",0,COUNTIFS('JLR Materials'!$A$2:$A$20001,$K177,'JLR Materials'!$C$2:$C$20001,IF(Settings!$B$2="","&lt;&gt;",Settings!$B$2),'JLR Materials'!$D$2:$D$20001,IF(Settings!$B$4="","&lt;&gt;",Settings!$B$4)))</f>
        <v>0</v>
      </c>
      <c r="M177" s="38">
        <f>IF($L177&lt;&gt;1,0,SUMIFS('JLR Materials'!$E$2:$E$20001,'JLR Materials'!$A$2:$A$20001,$K177,'JLR Materials'!$C$2:$C$20001,IF(Settings!$B$2="","&lt;&gt;",Settings!$B$2),'JLR Materials'!$D$2:$D$20001,IF(Settings!$B$4="","&lt;&gt;",Settings!$B$4)))</f>
        <v>0</v>
      </c>
      <c r="N177" s="39">
        <f>IF($L177&lt;&gt;1,0,SUMIFS('JLR Materials'!$F$2:$F$20001,'JLR Materials'!$A$2:$A$20001,$K177,'JLR Materials'!$C$2:$C$20001,IF(Settings!$B$2="","&lt;&gt;",Settings!$B$2),'JLR Materials'!$D$2:$D$20001,IF(Settings!$B$4="","&lt;&gt;",Settings!$B$4)))</f>
        <v>0</v>
      </c>
      <c r="O177" s="38">
        <f>IF($N177=0,0,IF(Settings!$B$5="percent",$M177*$N177/100,$N177))</f>
        <v>0</v>
      </c>
      <c r="P177" s="39">
        <f>IF($L177&lt;&gt;1,0,SUMIFS('JLR Materials'!$G$2:$G$20001,'JLR Materials'!$A$2:$A$20001,$K177,'JLR Materials'!$C$2:$C$20001,IF(Settings!$B$2="","&lt;&gt;",Settings!$B$2),'JLR Materials'!$D$2:$D$20001,IF(Settings!$B$4="","&lt;&gt;",Settings!$B$4)))</f>
        <v>0</v>
      </c>
      <c r="Q177" s="40" t="s">
        <v>1769</v>
      </c>
      <c r="R177" s="40" t="s">
        <v>1382</v>
      </c>
    </row>
    <row r="178" spans="1:18" x14ac:dyDescent="0.25">
      <c r="A178" s="32" t="s">
        <v>619</v>
      </c>
      <c r="B178" s="33" t="s">
        <v>1770</v>
      </c>
      <c r="C178" s="33" t="s">
        <v>1771</v>
      </c>
      <c r="D178" s="34">
        <f>IF($M178&gt;0,$M178,1.12)</f>
        <v>1.12</v>
      </c>
      <c r="E178" s="34">
        <f>IF($O178&gt;0,$O178,0.16)</f>
        <v>0.16</v>
      </c>
      <c r="F178" s="35">
        <v>7100</v>
      </c>
      <c r="G178" s="33" t="s">
        <v>1379</v>
      </c>
      <c r="H178" s="36" t="str">
        <f>IF($M178&gt;0,IF($L178&lt;&gt;1,$R178,IFERROR(INDEX('JLR Materials'!$D$2:$D$20001,MATCH($K178,'JLR Materials'!$A$2:$A$20001,0)),$R178)),$R178)</f>
        <v>2026-09</v>
      </c>
      <c r="I178" s="36" t="str">
        <f>IF($M178&gt;0,"JLR rate card — material code "&amp;$K178,$Q178)</f>
        <v>Index-anchored 2026-07 (see CASTING PRICING BASIS). CGI — high-output diesel cylinder blocks/heads, exhaust manifolds; ~75% stronger than grey iron with better thermal fatigue. | Refresh 2026-09: NOT SOURCED — pigiron, scrap: Not sourced this period: no June 2026 foundry pig iron or steel scrap price found on a like-for-like basis (Turkish HMS ’June’ figure found was a 2020 article; UK yard prices not comparable). Held at the June 2026 price.</v>
      </c>
      <c r="J178" s="33" t="s">
        <v>1393</v>
      </c>
      <c r="K178" s="37" t="str">
        <f>IFERROR(INDEX(Mapping!$C$2:$C$549,MATCH($A178,Mapping!$A$2:$A$549,0)),"")</f>
        <v/>
      </c>
      <c r="L178" s="37">
        <f>IF($K178="",0,COUNTIFS('JLR Materials'!$A$2:$A$20001,$K178,'JLR Materials'!$C$2:$C$20001,IF(Settings!$B$2="","&lt;&gt;",Settings!$B$2),'JLR Materials'!$D$2:$D$20001,IF(Settings!$B$4="","&lt;&gt;",Settings!$B$4)))</f>
        <v>0</v>
      </c>
      <c r="M178" s="38">
        <f>IF($L178&lt;&gt;1,0,SUMIFS('JLR Materials'!$E$2:$E$20001,'JLR Materials'!$A$2:$A$20001,$K178,'JLR Materials'!$C$2:$C$20001,IF(Settings!$B$2="","&lt;&gt;",Settings!$B$2),'JLR Materials'!$D$2:$D$20001,IF(Settings!$B$4="","&lt;&gt;",Settings!$B$4)))</f>
        <v>0</v>
      </c>
      <c r="N178" s="39">
        <f>IF($L178&lt;&gt;1,0,SUMIFS('JLR Materials'!$F$2:$F$20001,'JLR Materials'!$A$2:$A$20001,$K178,'JLR Materials'!$C$2:$C$20001,IF(Settings!$B$2="","&lt;&gt;",Settings!$B$2),'JLR Materials'!$D$2:$D$20001,IF(Settings!$B$4="","&lt;&gt;",Settings!$B$4)))</f>
        <v>0</v>
      </c>
      <c r="O178" s="38">
        <f>IF($N178=0,0,IF(Settings!$B$5="percent",$M178*$N178/100,$N178))</f>
        <v>0</v>
      </c>
      <c r="P178" s="39">
        <f>IF($L178&lt;&gt;1,0,SUMIFS('JLR Materials'!$G$2:$G$20001,'JLR Materials'!$A$2:$A$20001,$K178,'JLR Materials'!$C$2:$C$20001,IF(Settings!$B$2="","&lt;&gt;",Settings!$B$2),'JLR Materials'!$D$2:$D$20001,IF(Settings!$B$4="","&lt;&gt;",Settings!$B$4)))</f>
        <v>0</v>
      </c>
      <c r="Q178" s="40" t="s">
        <v>1772</v>
      </c>
      <c r="R178" s="40" t="s">
        <v>1382</v>
      </c>
    </row>
    <row r="179" spans="1:18" x14ac:dyDescent="0.25">
      <c r="A179" s="32" t="s">
        <v>621</v>
      </c>
      <c r="B179" s="33" t="s">
        <v>1773</v>
      </c>
      <c r="C179" s="33" t="s">
        <v>1737</v>
      </c>
      <c r="D179" s="34">
        <f>IF($M179&gt;0,$M179,1.35)</f>
        <v>1.35</v>
      </c>
      <c r="E179" s="34">
        <f>IF($O179&gt;0,$O179,0.16)</f>
        <v>0.16</v>
      </c>
      <c r="F179" s="35">
        <v>7100</v>
      </c>
      <c r="G179" s="33" t="s">
        <v>1379</v>
      </c>
      <c r="H179" s="36" t="str">
        <f>IF($M179&gt;0,IF($L179&lt;&gt;1,$R179,IFERROR(INDEX('JLR Materials'!$D$2:$D$20001,MATCH($K179,'JLR Materials'!$A$2:$A$20001,0)),$R179)),$R179)</f>
        <v>2026-09</v>
      </c>
      <c r="I179" s="36" t="str">
        <f>IF($M179&gt;0,"JLR rate card — material code "&amp;$K179,$Q179)</f>
        <v>Index-anchored 2026-07 (see CASTING PRICING BASIS). SiMo heat-resistant ductile iron — exhaust manifolds, turbocharger housings; stable to ~800°C. | Refresh 2026-09: NOT SOURCED — pigiron, scrap: Not sourced this period: no June 2026 foundry pig iron or steel scrap price found on a like-for-like basis (Turkish HMS ’June’ figure found was a 2020 article; UK yard prices not comparable). Held at the June 2026 price.</v>
      </c>
      <c r="J179" s="33" t="s">
        <v>1393</v>
      </c>
      <c r="K179" s="37" t="str">
        <f>IFERROR(INDEX(Mapping!$C$2:$C$549,MATCH($A179,Mapping!$A$2:$A$549,0)),"")</f>
        <v/>
      </c>
      <c r="L179" s="37">
        <f>IF($K179="",0,COUNTIFS('JLR Materials'!$A$2:$A$20001,$K179,'JLR Materials'!$C$2:$C$20001,IF(Settings!$B$2="","&lt;&gt;",Settings!$B$2),'JLR Materials'!$D$2:$D$20001,IF(Settings!$B$4="","&lt;&gt;",Settings!$B$4)))</f>
        <v>0</v>
      </c>
      <c r="M179" s="38">
        <f>IF($L179&lt;&gt;1,0,SUMIFS('JLR Materials'!$E$2:$E$20001,'JLR Materials'!$A$2:$A$20001,$K179,'JLR Materials'!$C$2:$C$20001,IF(Settings!$B$2="","&lt;&gt;",Settings!$B$2),'JLR Materials'!$D$2:$D$20001,IF(Settings!$B$4="","&lt;&gt;",Settings!$B$4)))</f>
        <v>0</v>
      </c>
      <c r="N179" s="39">
        <f>IF($L179&lt;&gt;1,0,SUMIFS('JLR Materials'!$F$2:$F$20001,'JLR Materials'!$A$2:$A$20001,$K179,'JLR Materials'!$C$2:$C$20001,IF(Settings!$B$2="","&lt;&gt;",Settings!$B$2),'JLR Materials'!$D$2:$D$20001,IF(Settings!$B$4="","&lt;&gt;",Settings!$B$4)))</f>
        <v>0</v>
      </c>
      <c r="O179" s="38">
        <f>IF($N179=0,0,IF(Settings!$B$5="percent",$M179*$N179/100,$N179))</f>
        <v>0</v>
      </c>
      <c r="P179" s="39">
        <f>IF($L179&lt;&gt;1,0,SUMIFS('JLR Materials'!$G$2:$G$20001,'JLR Materials'!$A$2:$A$20001,$K179,'JLR Materials'!$C$2:$C$20001,IF(Settings!$B$2="","&lt;&gt;",Settings!$B$2),'JLR Materials'!$D$2:$D$20001,IF(Settings!$B$4="","&lt;&gt;",Settings!$B$4)))</f>
        <v>0</v>
      </c>
      <c r="Q179" s="40" t="s">
        <v>1774</v>
      </c>
      <c r="R179" s="40" t="s">
        <v>1382</v>
      </c>
    </row>
    <row r="180" spans="1:18" x14ac:dyDescent="0.25">
      <c r="A180" s="32" t="s">
        <v>623</v>
      </c>
      <c r="B180" s="33" t="s">
        <v>1775</v>
      </c>
      <c r="C180" s="33" t="s">
        <v>1737</v>
      </c>
      <c r="D180" s="34">
        <f>IF($M180&gt;0,$M180,1.58)</f>
        <v>1.58</v>
      </c>
      <c r="E180" s="34">
        <f>IF($O180&gt;0,$O180,0.16)</f>
        <v>0.16</v>
      </c>
      <c r="F180" s="35">
        <v>7100</v>
      </c>
      <c r="G180" s="33" t="s">
        <v>1379</v>
      </c>
      <c r="H180" s="36" t="str">
        <f>IF($M180&gt;0,IF($L180&lt;&gt;1,$R180,IFERROR(INDEX('JLR Materials'!$D$2:$D$20001,MATCH($K180,'JLR Materials'!$A$2:$A$20001,0)),$R180)),$R180)</f>
        <v>2026-09</v>
      </c>
      <c r="I180" s="36" t="str">
        <f>IF($M180&gt;0,"JLR rate card — material code "&amp;$K180,$Q180)</f>
        <v>Index-anchored 2026-07 (see CASTING PRICING BASIS). Austempered ductile iron — gears, crankshafts, suspension arms; steel-like strength at lower weight/cost, austempering heat-treat included. | Refresh 2026-09: NOT SOURCED — pigiron, scrap: Not sourced this period: no June 2026 foundry pig iron or steel scrap price found on a like-for-like basis (Turkish HMS ’June’ figure found was a 2020 article; UK yard prices not comparable). Held at the June 2026 price.</v>
      </c>
      <c r="J180" s="33" t="s">
        <v>1393</v>
      </c>
      <c r="K180" s="37" t="str">
        <f>IFERROR(INDEX(Mapping!$C$2:$C$549,MATCH($A180,Mapping!$A$2:$A$549,0)),"")</f>
        <v/>
      </c>
      <c r="L180" s="37">
        <f>IF($K180="",0,COUNTIFS('JLR Materials'!$A$2:$A$20001,$K180,'JLR Materials'!$C$2:$C$20001,IF(Settings!$B$2="","&lt;&gt;",Settings!$B$2),'JLR Materials'!$D$2:$D$20001,IF(Settings!$B$4="","&lt;&gt;",Settings!$B$4)))</f>
        <v>0</v>
      </c>
      <c r="M180" s="38">
        <f>IF($L180&lt;&gt;1,0,SUMIFS('JLR Materials'!$E$2:$E$20001,'JLR Materials'!$A$2:$A$20001,$K180,'JLR Materials'!$C$2:$C$20001,IF(Settings!$B$2="","&lt;&gt;",Settings!$B$2),'JLR Materials'!$D$2:$D$20001,IF(Settings!$B$4="","&lt;&gt;",Settings!$B$4)))</f>
        <v>0</v>
      </c>
      <c r="N180" s="39">
        <f>IF($L180&lt;&gt;1,0,SUMIFS('JLR Materials'!$F$2:$F$20001,'JLR Materials'!$A$2:$A$20001,$K180,'JLR Materials'!$C$2:$C$20001,IF(Settings!$B$2="","&lt;&gt;",Settings!$B$2),'JLR Materials'!$D$2:$D$20001,IF(Settings!$B$4="","&lt;&gt;",Settings!$B$4)))</f>
        <v>0</v>
      </c>
      <c r="O180" s="38">
        <f>IF($N180=0,0,IF(Settings!$B$5="percent",$M180*$N180/100,$N180))</f>
        <v>0</v>
      </c>
      <c r="P180" s="39">
        <f>IF($L180&lt;&gt;1,0,SUMIFS('JLR Materials'!$G$2:$G$20001,'JLR Materials'!$A$2:$A$20001,$K180,'JLR Materials'!$C$2:$C$20001,IF(Settings!$B$2="","&lt;&gt;",Settings!$B$2),'JLR Materials'!$D$2:$D$20001,IF(Settings!$B$4="","&lt;&gt;",Settings!$B$4)))</f>
        <v>0</v>
      </c>
      <c r="Q180" s="40" t="s">
        <v>1776</v>
      </c>
      <c r="R180" s="40" t="s">
        <v>1382</v>
      </c>
    </row>
    <row r="181" spans="1:18" x14ac:dyDescent="0.25">
      <c r="A181" s="32" t="s">
        <v>625</v>
      </c>
      <c r="B181" s="33" t="s">
        <v>1777</v>
      </c>
      <c r="C181" s="33" t="s">
        <v>1720</v>
      </c>
      <c r="D181" s="34">
        <f>IF($M181&gt;0,$M181,3.66)</f>
        <v>3.66</v>
      </c>
      <c r="E181" s="34">
        <f>IF($O181&gt;0,$O181,0.76)</f>
        <v>0.76</v>
      </c>
      <c r="F181" s="35">
        <v>1800</v>
      </c>
      <c r="G181" s="33" t="s">
        <v>1379</v>
      </c>
      <c r="H181" s="36" t="str">
        <f>IF($M181&gt;0,IF($L181&lt;&gt;1,$R181,IFERROR(INDEX('JLR Materials'!$D$2:$D$20001,MATCH($K181,'JLR Materials'!$A$2:$A$20001,0)),$R181)),$R181)</f>
        <v>2026-09</v>
      </c>
      <c r="I181" s="36" t="str">
        <f>IF($M181&gt;0,"JLR rate card — material code "&amp;$K181,$Q181)</f>
        <v>Index-anchored 2026-07 (see CASTING PRICING BASIS). High-ductility Mg — steering wheels, seat frames, instrument-panel beams; better elongation than AZ91. | Refresh 2026-09: −£0.190/kg from 0.94kg mg £1.972→£1.773/kg, 0.055kg al £2.910→£2.849/kg; premiums held</v>
      </c>
      <c r="J181" s="33" t="s">
        <v>1393</v>
      </c>
      <c r="K181" s="37" t="str">
        <f>IFERROR(INDEX(Mapping!$C$2:$C$549,MATCH($A181,Mapping!$A$2:$A$549,0)),"")</f>
        <v/>
      </c>
      <c r="L181" s="37">
        <f>IF($K181="",0,COUNTIFS('JLR Materials'!$A$2:$A$20001,$K181,'JLR Materials'!$C$2:$C$20001,IF(Settings!$B$2="","&lt;&gt;",Settings!$B$2),'JLR Materials'!$D$2:$D$20001,IF(Settings!$B$4="","&lt;&gt;",Settings!$B$4)))</f>
        <v>0</v>
      </c>
      <c r="M181" s="38">
        <f>IF($L181&lt;&gt;1,0,SUMIFS('JLR Materials'!$E$2:$E$20001,'JLR Materials'!$A$2:$A$20001,$K181,'JLR Materials'!$C$2:$C$20001,IF(Settings!$B$2="","&lt;&gt;",Settings!$B$2),'JLR Materials'!$D$2:$D$20001,IF(Settings!$B$4="","&lt;&gt;",Settings!$B$4)))</f>
        <v>0</v>
      </c>
      <c r="N181" s="39">
        <f>IF($L181&lt;&gt;1,0,SUMIFS('JLR Materials'!$F$2:$F$20001,'JLR Materials'!$A$2:$A$20001,$K181,'JLR Materials'!$C$2:$C$20001,IF(Settings!$B$2="","&lt;&gt;",Settings!$B$2),'JLR Materials'!$D$2:$D$20001,IF(Settings!$B$4="","&lt;&gt;",Settings!$B$4)))</f>
        <v>0</v>
      </c>
      <c r="O181" s="38">
        <f>IF($N181=0,0,IF(Settings!$B$5="percent",$M181*$N181/100,$N181))</f>
        <v>0</v>
      </c>
      <c r="P181" s="39">
        <f>IF($L181&lt;&gt;1,0,SUMIFS('JLR Materials'!$G$2:$G$20001,'JLR Materials'!$A$2:$A$20001,$K181,'JLR Materials'!$C$2:$C$20001,IF(Settings!$B$2="","&lt;&gt;",Settings!$B$2),'JLR Materials'!$D$2:$D$20001,IF(Settings!$B$4="","&lt;&gt;",Settings!$B$4)))</f>
        <v>0</v>
      </c>
      <c r="Q181" s="40" t="s">
        <v>1778</v>
      </c>
      <c r="R181" s="40" t="s">
        <v>1382</v>
      </c>
    </row>
    <row r="182" spans="1:18" x14ac:dyDescent="0.25">
      <c r="A182" s="32" t="s">
        <v>627</v>
      </c>
      <c r="B182" s="33" t="s">
        <v>1779</v>
      </c>
      <c r="C182" s="33" t="s">
        <v>1720</v>
      </c>
      <c r="D182" s="34">
        <f>IF($M182&gt;0,$M182,3.71)</f>
        <v>3.71</v>
      </c>
      <c r="E182" s="34">
        <f>IF($O182&gt;0,$O182,0.76)</f>
        <v>0.76</v>
      </c>
      <c r="F182" s="35">
        <v>1770</v>
      </c>
      <c r="G182" s="33" t="s">
        <v>1379</v>
      </c>
      <c r="H182" s="36" t="str">
        <f>IF($M182&gt;0,IF($L182&lt;&gt;1,$R182,IFERROR(INDEX('JLR Materials'!$D$2:$D$20001,MATCH($K182,'JLR Materials'!$A$2:$A$20001,0)),$R182)),$R182)</f>
        <v>2026-09</v>
      </c>
      <c r="I182" s="36" t="str">
        <f>IF($M182&gt;0,"JLR rate card — material code "&amp;$K182,$Q182)</f>
        <v>Index-anchored 2026-07 (see CASTING PRICING BASIS). Highest-ductility standard Mg die-cast alloy — safety-critical energy-absorbing structures, IP beams, brackets. | Refresh 2026-09: −£0.190/kg from 0.94kg mg £1.972→£1.773/kg, 0.055kg al £2.910→£2.849/kg; premiums held</v>
      </c>
      <c r="J182" s="33" t="s">
        <v>1393</v>
      </c>
      <c r="K182" s="37" t="str">
        <f>IFERROR(INDEX(Mapping!$C$2:$C$549,MATCH($A182,Mapping!$A$2:$A$549,0)),"")</f>
        <v/>
      </c>
      <c r="L182" s="37">
        <f>IF($K182="",0,COUNTIFS('JLR Materials'!$A$2:$A$20001,$K182,'JLR Materials'!$C$2:$C$20001,IF(Settings!$B$2="","&lt;&gt;",Settings!$B$2),'JLR Materials'!$D$2:$D$20001,IF(Settings!$B$4="","&lt;&gt;",Settings!$B$4)))</f>
        <v>0</v>
      </c>
      <c r="M182" s="38">
        <f>IF($L182&lt;&gt;1,0,SUMIFS('JLR Materials'!$E$2:$E$20001,'JLR Materials'!$A$2:$A$20001,$K182,'JLR Materials'!$C$2:$C$20001,IF(Settings!$B$2="","&lt;&gt;",Settings!$B$2),'JLR Materials'!$D$2:$D$20001,IF(Settings!$B$4="","&lt;&gt;",Settings!$B$4)))</f>
        <v>0</v>
      </c>
      <c r="N182" s="39">
        <f>IF($L182&lt;&gt;1,0,SUMIFS('JLR Materials'!$F$2:$F$20001,'JLR Materials'!$A$2:$A$20001,$K182,'JLR Materials'!$C$2:$C$20001,IF(Settings!$B$2="","&lt;&gt;",Settings!$B$2),'JLR Materials'!$D$2:$D$20001,IF(Settings!$B$4="","&lt;&gt;",Settings!$B$4)))</f>
        <v>0</v>
      </c>
      <c r="O182" s="38">
        <f>IF($N182=0,0,IF(Settings!$B$5="percent",$M182*$N182/100,$N182))</f>
        <v>0</v>
      </c>
      <c r="P182" s="39">
        <f>IF($L182&lt;&gt;1,0,SUMIFS('JLR Materials'!$G$2:$G$20001,'JLR Materials'!$A$2:$A$20001,$K182,'JLR Materials'!$C$2:$C$20001,IF(Settings!$B$2="","&lt;&gt;",Settings!$B$2),'JLR Materials'!$D$2:$D$20001,IF(Settings!$B$4="","&lt;&gt;",Settings!$B$4)))</f>
        <v>0</v>
      </c>
      <c r="Q182" s="40" t="s">
        <v>1780</v>
      </c>
      <c r="R182" s="40" t="s">
        <v>1382</v>
      </c>
    </row>
    <row r="183" spans="1:18" x14ac:dyDescent="0.25">
      <c r="A183" s="32" t="s">
        <v>629</v>
      </c>
      <c r="B183" s="33" t="s">
        <v>1781</v>
      </c>
      <c r="C183" s="33" t="s">
        <v>1720</v>
      </c>
      <c r="D183" s="34">
        <f>IF($M183&gt;0,$M183,5.02)</f>
        <v>5.02</v>
      </c>
      <c r="E183" s="34">
        <f>IF($O183&gt;0,$O183,0.87)</f>
        <v>0.87</v>
      </c>
      <c r="F183" s="35">
        <v>1820</v>
      </c>
      <c r="G183" s="33" t="s">
        <v>1379</v>
      </c>
      <c r="H183" s="36" t="str">
        <f>IF($M183&gt;0,IF($L183&lt;&gt;1,$R183,IFERROR(INDEX('JLR Materials'!$D$2:$D$20001,MATCH($K183,'JLR Materials'!$A$2:$A$20001,0)),$R183)),$R183)</f>
        <v>2026-09</v>
      </c>
      <c r="I183" s="36" t="str">
        <f>IF($M183&gt;0,"JLR rate card — material code "&amp;$K183,$Q183)</f>
        <v>Index-anchored 2026-07 (see CASTING PRICING BASIS). Rare-earth (Ce/La) creep-resistant Mg — powertrain, engine cradles, transmission cases at elevated temperature; RE adder over AZ/AM grades. | Refresh 2026-09: −£0.185/kg from 0.92kg mg £1.972→£1.773/kg, 0.04kg al £2.910→£2.849/kg; premiums held</v>
      </c>
      <c r="J183" s="33" t="s">
        <v>1393</v>
      </c>
      <c r="K183" s="37" t="str">
        <f>IFERROR(INDEX(Mapping!$C$2:$C$549,MATCH($A183,Mapping!$A$2:$A$549,0)),"")</f>
        <v/>
      </c>
      <c r="L183" s="37">
        <f>IF($K183="",0,COUNTIFS('JLR Materials'!$A$2:$A$20001,$K183,'JLR Materials'!$C$2:$C$20001,IF(Settings!$B$2="","&lt;&gt;",Settings!$B$2),'JLR Materials'!$D$2:$D$20001,IF(Settings!$B$4="","&lt;&gt;",Settings!$B$4)))</f>
        <v>0</v>
      </c>
      <c r="M183" s="38">
        <f>IF($L183&lt;&gt;1,0,SUMIFS('JLR Materials'!$E$2:$E$20001,'JLR Materials'!$A$2:$A$20001,$K183,'JLR Materials'!$C$2:$C$20001,IF(Settings!$B$2="","&lt;&gt;",Settings!$B$2),'JLR Materials'!$D$2:$D$20001,IF(Settings!$B$4="","&lt;&gt;",Settings!$B$4)))</f>
        <v>0</v>
      </c>
      <c r="N183" s="39">
        <f>IF($L183&lt;&gt;1,0,SUMIFS('JLR Materials'!$F$2:$F$20001,'JLR Materials'!$A$2:$A$20001,$K183,'JLR Materials'!$C$2:$C$20001,IF(Settings!$B$2="","&lt;&gt;",Settings!$B$2),'JLR Materials'!$D$2:$D$20001,IF(Settings!$B$4="","&lt;&gt;",Settings!$B$4)))</f>
        <v>0</v>
      </c>
      <c r="O183" s="38">
        <f>IF($N183=0,0,IF(Settings!$B$5="percent",$M183*$N183/100,$N183))</f>
        <v>0</v>
      </c>
      <c r="P183" s="39">
        <f>IF($L183&lt;&gt;1,0,SUMIFS('JLR Materials'!$G$2:$G$20001,'JLR Materials'!$A$2:$A$20001,$K183,'JLR Materials'!$C$2:$C$20001,IF(Settings!$B$2="","&lt;&gt;",Settings!$B$2),'JLR Materials'!$D$2:$D$20001,IF(Settings!$B$4="","&lt;&gt;",Settings!$B$4)))</f>
        <v>0</v>
      </c>
      <c r="Q183" s="40" t="s">
        <v>1782</v>
      </c>
      <c r="R183" s="40" t="s">
        <v>1382</v>
      </c>
    </row>
    <row r="184" spans="1:18" x14ac:dyDescent="0.25">
      <c r="A184" s="32" t="s">
        <v>631</v>
      </c>
      <c r="B184" s="33" t="s">
        <v>1783</v>
      </c>
      <c r="C184" s="33" t="s">
        <v>1732</v>
      </c>
      <c r="D184" s="34">
        <f>IF($M184&gt;0,$M184,3.5)</f>
        <v>3.5</v>
      </c>
      <c r="E184" s="34">
        <f>IF($O184&gt;0,$O184,1.55)</f>
        <v>1.55</v>
      </c>
      <c r="F184" s="35">
        <v>6300</v>
      </c>
      <c r="G184" s="33" t="s">
        <v>1379</v>
      </c>
      <c r="H184" s="36" t="str">
        <f>IF($M184&gt;0,IF($L184&lt;&gt;1,$R184,IFERROR(INDEX('JLR Materials'!$D$2:$D$20001,MATCH($K184,'JLR Materials'!$A$2:$A$20001,0)),$R184)),$R184)</f>
        <v>2026-09</v>
      </c>
      <c r="I184" s="36" t="str">
        <f>IF($M184&gt;0,"JLR rate card — material code "&amp;$K184,$Q184)</f>
        <v>Index-anchored 2026-07 (see CASTING PRICING BASIS). Hot-chamber ZA-8 — higher strength/creep than Zamak; hardware, gears, bushings. | Refresh 2026-09: +£0.683/kg from 0.91kg zn £2.164→£2.913/kg, 0.08kg al £2.910→£2.849/kg, 0.01kg cu £10.070→£10.768/kg; premiums held</v>
      </c>
      <c r="J184" s="33" t="s">
        <v>1393</v>
      </c>
      <c r="K184" s="37" t="str">
        <f>IFERROR(INDEX(Mapping!$C$2:$C$549,MATCH($A184,Mapping!$A$2:$A$549,0)),"")</f>
        <v/>
      </c>
      <c r="L184" s="37">
        <f>IF($K184="",0,COUNTIFS('JLR Materials'!$A$2:$A$20001,$K184,'JLR Materials'!$C$2:$C$20001,IF(Settings!$B$2="","&lt;&gt;",Settings!$B$2),'JLR Materials'!$D$2:$D$20001,IF(Settings!$B$4="","&lt;&gt;",Settings!$B$4)))</f>
        <v>0</v>
      </c>
      <c r="M184" s="38">
        <f>IF($L184&lt;&gt;1,0,SUMIFS('JLR Materials'!$E$2:$E$20001,'JLR Materials'!$A$2:$A$20001,$K184,'JLR Materials'!$C$2:$C$20001,IF(Settings!$B$2="","&lt;&gt;",Settings!$B$2),'JLR Materials'!$D$2:$D$20001,IF(Settings!$B$4="","&lt;&gt;",Settings!$B$4)))</f>
        <v>0</v>
      </c>
      <c r="N184" s="39">
        <f>IF($L184&lt;&gt;1,0,SUMIFS('JLR Materials'!$F$2:$F$20001,'JLR Materials'!$A$2:$A$20001,$K184,'JLR Materials'!$C$2:$C$20001,IF(Settings!$B$2="","&lt;&gt;",Settings!$B$2),'JLR Materials'!$D$2:$D$20001,IF(Settings!$B$4="","&lt;&gt;",Settings!$B$4)))</f>
        <v>0</v>
      </c>
      <c r="O184" s="38">
        <f>IF($N184=0,0,IF(Settings!$B$5="percent",$M184*$N184/100,$N184))</f>
        <v>0</v>
      </c>
      <c r="P184" s="39">
        <f>IF($L184&lt;&gt;1,0,SUMIFS('JLR Materials'!$G$2:$G$20001,'JLR Materials'!$A$2:$A$20001,$K184,'JLR Materials'!$C$2:$C$20001,IF(Settings!$B$2="","&lt;&gt;",Settings!$B$2),'JLR Materials'!$D$2:$D$20001,IF(Settings!$B$4="","&lt;&gt;",Settings!$B$4)))</f>
        <v>0</v>
      </c>
      <c r="Q184" s="40" t="s">
        <v>1784</v>
      </c>
      <c r="R184" s="40" t="s">
        <v>1382</v>
      </c>
    </row>
    <row r="185" spans="1:18" x14ac:dyDescent="0.25">
      <c r="A185" s="32" t="s">
        <v>633</v>
      </c>
      <c r="B185" s="33" t="s">
        <v>1785</v>
      </c>
      <c r="C185" s="33" t="s">
        <v>1732</v>
      </c>
      <c r="D185" s="34">
        <f>IF($M185&gt;0,$M185,3.63)</f>
        <v>3.63</v>
      </c>
      <c r="E185" s="34">
        <f>IF($O185&gt;0,$O185,1.35)</f>
        <v>1.35</v>
      </c>
      <c r="F185" s="35">
        <v>5000</v>
      </c>
      <c r="G185" s="33" t="s">
        <v>1379</v>
      </c>
      <c r="H185" s="36" t="str">
        <f>IF($M185&gt;0,IF($L185&lt;&gt;1,$R185,IFERROR(INDEX('JLR Materials'!$D$2:$D$20001,MATCH($K185,'JLR Materials'!$A$2:$A$20001,0)),$R185)),$R185)</f>
        <v>2026-09</v>
      </c>
      <c r="I185" s="36" t="str">
        <f>IF($M185&gt;0,"JLR rate card — material code "&amp;$K185,$Q185)</f>
        <v>Index-anchored 2026-07 (see CASTING PRICING BASIS). Highest-strength ZA alloy — bronze-replacement bearings, high-load gravity/sand castings; lower density than Zamak. | Refresh 2026-09: +£0.529/kg from 0.71kg zn £2.164→£2.913/kg, 0.27kg al £2.910→£2.849/kg, 0.02kg cu £10.070→£10.768/kg; premiums held</v>
      </c>
      <c r="J185" s="33" t="s">
        <v>1393</v>
      </c>
      <c r="K185" s="37" t="str">
        <f>IFERROR(INDEX(Mapping!$C$2:$C$549,MATCH($A185,Mapping!$A$2:$A$549,0)),"")</f>
        <v/>
      </c>
      <c r="L185" s="37">
        <f>IF($K185="",0,COUNTIFS('JLR Materials'!$A$2:$A$20001,$K185,'JLR Materials'!$C$2:$C$20001,IF(Settings!$B$2="","&lt;&gt;",Settings!$B$2),'JLR Materials'!$D$2:$D$20001,IF(Settings!$B$4="","&lt;&gt;",Settings!$B$4)))</f>
        <v>0</v>
      </c>
      <c r="M185" s="38">
        <f>IF($L185&lt;&gt;1,0,SUMIFS('JLR Materials'!$E$2:$E$20001,'JLR Materials'!$A$2:$A$20001,$K185,'JLR Materials'!$C$2:$C$20001,IF(Settings!$B$2="","&lt;&gt;",Settings!$B$2),'JLR Materials'!$D$2:$D$20001,IF(Settings!$B$4="","&lt;&gt;",Settings!$B$4)))</f>
        <v>0</v>
      </c>
      <c r="N185" s="39">
        <f>IF($L185&lt;&gt;1,0,SUMIFS('JLR Materials'!$F$2:$F$20001,'JLR Materials'!$A$2:$A$20001,$K185,'JLR Materials'!$C$2:$C$20001,IF(Settings!$B$2="","&lt;&gt;",Settings!$B$2),'JLR Materials'!$D$2:$D$20001,IF(Settings!$B$4="","&lt;&gt;",Settings!$B$4)))</f>
        <v>0</v>
      </c>
      <c r="O185" s="38">
        <f>IF($N185=0,0,IF(Settings!$B$5="percent",$M185*$N185/100,$N185))</f>
        <v>0</v>
      </c>
      <c r="P185" s="39">
        <f>IF($L185&lt;&gt;1,0,SUMIFS('JLR Materials'!$G$2:$G$20001,'JLR Materials'!$A$2:$A$20001,$K185,'JLR Materials'!$C$2:$C$20001,IF(Settings!$B$2="","&lt;&gt;",Settings!$B$2),'JLR Materials'!$D$2:$D$20001,IF(Settings!$B$4="","&lt;&gt;",Settings!$B$4)))</f>
        <v>0</v>
      </c>
      <c r="Q185" s="40" t="s">
        <v>1786</v>
      </c>
      <c r="R185" s="40" t="s">
        <v>1382</v>
      </c>
    </row>
    <row r="186" spans="1:18" x14ac:dyDescent="0.25">
      <c r="A186" s="32" t="s">
        <v>635</v>
      </c>
      <c r="B186" s="33" t="s">
        <v>1787</v>
      </c>
      <c r="C186" s="33" t="s">
        <v>1788</v>
      </c>
      <c r="D186" s="34">
        <f>IF($M186&gt;0,$M186,2.1)</f>
        <v>2.1</v>
      </c>
      <c r="E186" s="34">
        <f>IF($O186&gt;0,$O186,0.28)</f>
        <v>0.28</v>
      </c>
      <c r="F186" s="35">
        <v>7850</v>
      </c>
      <c r="G186" s="33" t="s">
        <v>1379</v>
      </c>
      <c r="H186" s="36" t="str">
        <f>IF($M186&gt;0,IF($L186&lt;&gt;1,$R186,IFERROR(INDEX('JLR Materials'!$D$2:$D$20001,MATCH($K186,'JLR Materials'!$A$2:$A$20001,0)),$R186)),$R186)</f>
        <v>2026-09</v>
      </c>
      <c r="I186" s="36" t="str">
        <f>IF($M186&gt;0,"JLR rate card — material code "&amp;$K186,$Q186)</f>
        <v>Index-anchored 2026-07 (see CASTING PRICING BASIS). General-purpose cast carbon steel — structural brackets, valve bodies, machine frames; weldable, machinable. | Refresh 2026-09: NOT SOURCED — scrap: Not sourced this period: no June 2026 foundry pig iron or steel scrap price found on a like-for-like basis (Turkish HMS ’June’ figure found was a 2020 article; UK yard prices not comparable). Held at the June 2026 price.</v>
      </c>
      <c r="J186" s="33" t="s">
        <v>1393</v>
      </c>
      <c r="K186" s="37" t="str">
        <f>IFERROR(INDEX(Mapping!$C$2:$C$549,MATCH($A186,Mapping!$A$2:$A$549,0)),"")</f>
        <v/>
      </c>
      <c r="L186" s="37">
        <f>IF($K186="",0,COUNTIFS('JLR Materials'!$A$2:$A$20001,$K186,'JLR Materials'!$C$2:$C$20001,IF(Settings!$B$2="","&lt;&gt;",Settings!$B$2),'JLR Materials'!$D$2:$D$20001,IF(Settings!$B$4="","&lt;&gt;",Settings!$B$4)))</f>
        <v>0</v>
      </c>
      <c r="M186" s="38">
        <f>IF($L186&lt;&gt;1,0,SUMIFS('JLR Materials'!$E$2:$E$20001,'JLR Materials'!$A$2:$A$20001,$K186,'JLR Materials'!$C$2:$C$20001,IF(Settings!$B$2="","&lt;&gt;",Settings!$B$2),'JLR Materials'!$D$2:$D$20001,IF(Settings!$B$4="","&lt;&gt;",Settings!$B$4)))</f>
        <v>0</v>
      </c>
      <c r="N186" s="39">
        <f>IF($L186&lt;&gt;1,0,SUMIFS('JLR Materials'!$F$2:$F$20001,'JLR Materials'!$A$2:$A$20001,$K186,'JLR Materials'!$C$2:$C$20001,IF(Settings!$B$2="","&lt;&gt;",Settings!$B$2),'JLR Materials'!$D$2:$D$20001,IF(Settings!$B$4="","&lt;&gt;",Settings!$B$4)))</f>
        <v>0</v>
      </c>
      <c r="O186" s="38">
        <f>IF($N186=0,0,IF(Settings!$B$5="percent",$M186*$N186/100,$N186))</f>
        <v>0</v>
      </c>
      <c r="P186" s="39">
        <f>IF($L186&lt;&gt;1,0,SUMIFS('JLR Materials'!$G$2:$G$20001,'JLR Materials'!$A$2:$A$20001,$K186,'JLR Materials'!$C$2:$C$20001,IF(Settings!$B$2="","&lt;&gt;",Settings!$B$2),'JLR Materials'!$D$2:$D$20001,IF(Settings!$B$4="","&lt;&gt;",Settings!$B$4)))</f>
        <v>0</v>
      </c>
      <c r="Q186" s="40" t="s">
        <v>1789</v>
      </c>
      <c r="R186" s="40" t="s">
        <v>1382</v>
      </c>
    </row>
    <row r="187" spans="1:18" x14ac:dyDescent="0.25">
      <c r="A187" s="32" t="s">
        <v>637</v>
      </c>
      <c r="B187" s="33" t="s">
        <v>1790</v>
      </c>
      <c r="C187" s="33" t="s">
        <v>1723</v>
      </c>
      <c r="D187" s="34">
        <f>IF($M187&gt;0,$M187,9.6)</f>
        <v>9.6</v>
      </c>
      <c r="E187" s="34">
        <f>IF($O187&gt;0,$O187,1.52)</f>
        <v>1.52</v>
      </c>
      <c r="F187" s="35">
        <v>7800</v>
      </c>
      <c r="G187" s="33" t="s">
        <v>1379</v>
      </c>
      <c r="H187" s="36" t="str">
        <f>IF($M187&gt;0,IF($L187&lt;&gt;1,$R187,IFERROR(INDEX('JLR Materials'!$D$2:$D$20001,MATCH($K187,'JLR Materials'!$A$2:$A$20001,0)),$R187)),$R187)</f>
        <v>2026-09</v>
      </c>
      <c r="I187" s="36" t="str">
        <f>IF($M187&gt;0,"JLR rate card — material code "&amp;$K187,$Q187)</f>
        <v>Index-anchored 2026-07 (see CASTING PRICING BASIS). Precipitation-hardening martensitic stainless investment casting — pump/valve internals, aerospace fittings, high strength + corrosion resistance. | Refresh 2026-09: +£0.101/kg from 0.6kg ss_sur £2.037→£2.164/kg, 0.035kg cu £10.070→£10.768/kg; premiums held</v>
      </c>
      <c r="J187" s="33" t="s">
        <v>1393</v>
      </c>
      <c r="K187" s="37" t="str">
        <f>IFERROR(INDEX(Mapping!$C$2:$C$549,MATCH($A187,Mapping!$A$2:$A$549,0)),"")</f>
        <v/>
      </c>
      <c r="L187" s="37">
        <f>IF($K187="",0,COUNTIFS('JLR Materials'!$A$2:$A$20001,$K187,'JLR Materials'!$C$2:$C$20001,IF(Settings!$B$2="","&lt;&gt;",Settings!$B$2),'JLR Materials'!$D$2:$D$20001,IF(Settings!$B$4="","&lt;&gt;",Settings!$B$4)))</f>
        <v>0</v>
      </c>
      <c r="M187" s="38">
        <f>IF($L187&lt;&gt;1,0,SUMIFS('JLR Materials'!$E$2:$E$20001,'JLR Materials'!$A$2:$A$20001,$K187,'JLR Materials'!$C$2:$C$20001,IF(Settings!$B$2="","&lt;&gt;",Settings!$B$2),'JLR Materials'!$D$2:$D$20001,IF(Settings!$B$4="","&lt;&gt;",Settings!$B$4)))</f>
        <v>0</v>
      </c>
      <c r="N187" s="39">
        <f>IF($L187&lt;&gt;1,0,SUMIFS('JLR Materials'!$F$2:$F$20001,'JLR Materials'!$A$2:$A$20001,$K187,'JLR Materials'!$C$2:$C$20001,IF(Settings!$B$2="","&lt;&gt;",Settings!$B$2),'JLR Materials'!$D$2:$D$20001,IF(Settings!$B$4="","&lt;&gt;",Settings!$B$4)))</f>
        <v>0</v>
      </c>
      <c r="O187" s="38">
        <f>IF($N187=0,0,IF(Settings!$B$5="percent",$M187*$N187/100,$N187))</f>
        <v>0</v>
      </c>
      <c r="P187" s="39">
        <f>IF($L187&lt;&gt;1,0,SUMIFS('JLR Materials'!$G$2:$G$20001,'JLR Materials'!$A$2:$A$20001,$K187,'JLR Materials'!$C$2:$C$20001,IF(Settings!$B$2="","&lt;&gt;",Settings!$B$2),'JLR Materials'!$D$2:$D$20001,IF(Settings!$B$4="","&lt;&gt;",Settings!$B$4)))</f>
        <v>0</v>
      </c>
      <c r="Q187" s="40" t="s">
        <v>1791</v>
      </c>
      <c r="R187" s="40" t="s">
        <v>1382</v>
      </c>
    </row>
    <row r="188" spans="1:18" x14ac:dyDescent="0.25">
      <c r="A188" s="32" t="s">
        <v>639</v>
      </c>
      <c r="B188" s="33" t="s">
        <v>1792</v>
      </c>
      <c r="C188" s="33" t="s">
        <v>1793</v>
      </c>
      <c r="D188" s="34">
        <f>IF($M188&gt;0,$M188,42.04)</f>
        <v>42.04</v>
      </c>
      <c r="E188" s="34">
        <f>IF($O188&gt;0,$O188,8.01)</f>
        <v>8.01</v>
      </c>
      <c r="F188" s="35">
        <v>8190</v>
      </c>
      <c r="G188" s="33" t="s">
        <v>1379</v>
      </c>
      <c r="H188" s="36" t="str">
        <f>IF($M188&gt;0,IF($L188&lt;&gt;1,$R188,IFERROR(INDEX('JLR Materials'!$D$2:$D$20001,MATCH($K188,'JLR Materials'!$A$2:$A$20001,0)),$R188)),$R188)</f>
        <v>2026-09</v>
      </c>
      <c r="I188" s="36" t="str">
        <f>IF($M188&gt;0,"JLR rate card — material code "&amp;$K188,$Q188)</f>
        <v>Index-anchored 2026-07 (see CASTING PRICING BASIS). Ni-Cr-Fe superalloy investment casting — turbine/hot-section, high-temperature structural; nickel + cobalt dominated, low casting yield. | Refresh 2026-09: +£0.040/kg from 0.53kg ni £12.302→£12.378/kg, 0.03kg mo £1.000→£1.000/kg; premiums held</v>
      </c>
      <c r="J188" s="33" t="s">
        <v>1393</v>
      </c>
      <c r="K188" s="37" t="str">
        <f>IFERROR(INDEX(Mapping!$C$2:$C$549,MATCH($A188,Mapping!$A$2:$A$549,0)),"")</f>
        <v/>
      </c>
      <c r="L188" s="37">
        <f>IF($K188="",0,COUNTIFS('JLR Materials'!$A$2:$A$20001,$K188,'JLR Materials'!$C$2:$C$20001,IF(Settings!$B$2="","&lt;&gt;",Settings!$B$2),'JLR Materials'!$D$2:$D$20001,IF(Settings!$B$4="","&lt;&gt;",Settings!$B$4)))</f>
        <v>0</v>
      </c>
      <c r="M188" s="38">
        <f>IF($L188&lt;&gt;1,0,SUMIFS('JLR Materials'!$E$2:$E$20001,'JLR Materials'!$A$2:$A$20001,$K188,'JLR Materials'!$C$2:$C$20001,IF(Settings!$B$2="","&lt;&gt;",Settings!$B$2),'JLR Materials'!$D$2:$D$20001,IF(Settings!$B$4="","&lt;&gt;",Settings!$B$4)))</f>
        <v>0</v>
      </c>
      <c r="N188" s="39">
        <f>IF($L188&lt;&gt;1,0,SUMIFS('JLR Materials'!$F$2:$F$20001,'JLR Materials'!$A$2:$A$20001,$K188,'JLR Materials'!$C$2:$C$20001,IF(Settings!$B$2="","&lt;&gt;",Settings!$B$2),'JLR Materials'!$D$2:$D$20001,IF(Settings!$B$4="","&lt;&gt;",Settings!$B$4)))</f>
        <v>0</v>
      </c>
      <c r="O188" s="38">
        <f>IF($N188=0,0,IF(Settings!$B$5="percent",$M188*$N188/100,$N188))</f>
        <v>0</v>
      </c>
      <c r="P188" s="39">
        <f>IF($L188&lt;&gt;1,0,SUMIFS('JLR Materials'!$G$2:$G$20001,'JLR Materials'!$A$2:$A$20001,$K188,'JLR Materials'!$C$2:$C$20001,IF(Settings!$B$2="","&lt;&gt;",Settings!$B$2),'JLR Materials'!$D$2:$D$20001,IF(Settings!$B$4="","&lt;&gt;",Settings!$B$4)))</f>
        <v>0</v>
      </c>
      <c r="Q188" s="40" t="s">
        <v>1794</v>
      </c>
      <c r="R188" s="40" t="s">
        <v>1382</v>
      </c>
    </row>
    <row r="189" spans="1:18" x14ac:dyDescent="0.25">
      <c r="A189" s="32" t="s">
        <v>641</v>
      </c>
      <c r="B189" s="33" t="s">
        <v>1795</v>
      </c>
      <c r="C189" s="33" t="s">
        <v>1796</v>
      </c>
      <c r="D189" s="34">
        <f>IF($M189&gt;0,$M189,0.82)</f>
        <v>0.82</v>
      </c>
      <c r="E189" s="34">
        <f>IF($O189&gt;0,$O189,0.19)</f>
        <v>0.19</v>
      </c>
      <c r="F189" s="35">
        <v>7850</v>
      </c>
      <c r="G189" s="33" t="s">
        <v>1379</v>
      </c>
      <c r="H189" s="36" t="str">
        <f>IF($M189&gt;0,IF($L189&lt;&gt;1,$R189,IFERROR(INDEX('JLR Materials'!$D$2:$D$20001,MATCH($K189,'JLR Materials'!$A$2:$A$20001,0)),$R189)),$R189)</f>
        <v>2026-09</v>
      </c>
      <c r="I189" s="36" t="str">
        <f>IF($M189&gt;0,"JLR rate card — material code "&amp;$K189,$Q189)</f>
        <v>UK steel billet, Jun 2026. Index-anchored 2026-07 (see FORGING PRICING BASIS). | Refresh 2026-09: INDEX FLAT — Index flat: Kallanish N-Europe wire rod ’stable’ (Jun 2026), ’decrease slightly’ (Jul), ’remain stable’ / ’flat’ (Sep 2026) — carbon and alloy bar unchanged.</v>
      </c>
      <c r="J189" s="33" t="s">
        <v>1380</v>
      </c>
      <c r="K189" s="37" t="str">
        <f>IFERROR(INDEX(Mapping!$C$2:$C$549,MATCH($A189,Mapping!$A$2:$A$549,0)),"")</f>
        <v/>
      </c>
      <c r="L189" s="37">
        <f>IF($K189="",0,COUNTIFS('JLR Materials'!$A$2:$A$20001,$K189,'JLR Materials'!$C$2:$C$20001,IF(Settings!$B$2="","&lt;&gt;",Settings!$B$2),'JLR Materials'!$D$2:$D$20001,IF(Settings!$B$4="","&lt;&gt;",Settings!$B$4)))</f>
        <v>0</v>
      </c>
      <c r="M189" s="38">
        <f>IF($L189&lt;&gt;1,0,SUMIFS('JLR Materials'!$E$2:$E$20001,'JLR Materials'!$A$2:$A$20001,$K189,'JLR Materials'!$C$2:$C$20001,IF(Settings!$B$2="","&lt;&gt;",Settings!$B$2),'JLR Materials'!$D$2:$D$20001,IF(Settings!$B$4="","&lt;&gt;",Settings!$B$4)))</f>
        <v>0</v>
      </c>
      <c r="N189" s="39">
        <f>IF($L189&lt;&gt;1,0,SUMIFS('JLR Materials'!$F$2:$F$20001,'JLR Materials'!$A$2:$A$20001,$K189,'JLR Materials'!$C$2:$C$20001,IF(Settings!$B$2="","&lt;&gt;",Settings!$B$2),'JLR Materials'!$D$2:$D$20001,IF(Settings!$B$4="","&lt;&gt;",Settings!$B$4)))</f>
        <v>0</v>
      </c>
      <c r="O189" s="38">
        <f>IF($N189=0,0,IF(Settings!$B$5="percent",$M189*$N189/100,$N189))</f>
        <v>0</v>
      </c>
      <c r="P189" s="39">
        <f>IF($L189&lt;&gt;1,0,SUMIFS('JLR Materials'!$G$2:$G$20001,'JLR Materials'!$A$2:$A$20001,$K189,'JLR Materials'!$C$2:$C$20001,IF(Settings!$B$2="","&lt;&gt;",Settings!$B$2),'JLR Materials'!$D$2:$D$20001,IF(Settings!$B$4="","&lt;&gt;",Settings!$B$4)))</f>
        <v>0</v>
      </c>
      <c r="Q189" s="40" t="s">
        <v>1797</v>
      </c>
      <c r="R189" s="40" t="s">
        <v>1382</v>
      </c>
    </row>
    <row r="190" spans="1:18" x14ac:dyDescent="0.25">
      <c r="A190" s="32" t="s">
        <v>643</v>
      </c>
      <c r="B190" s="33" t="s">
        <v>1798</v>
      </c>
      <c r="C190" s="33" t="s">
        <v>1799</v>
      </c>
      <c r="D190" s="34">
        <f>IF($M190&gt;0,$M190,1.45)</f>
        <v>1.45</v>
      </c>
      <c r="E190" s="34">
        <f>IF($O190&gt;0,$O190,0.22)</f>
        <v>0.22</v>
      </c>
      <c r="F190" s="35">
        <v>7850</v>
      </c>
      <c r="G190" s="33" t="s">
        <v>1379</v>
      </c>
      <c r="H190" s="36" t="str">
        <f>IF($M190&gt;0,IF($L190&lt;&gt;1,$R190,IFERROR(INDEX('JLR Materials'!$D$2:$D$20001,MATCH($K190,'JLR Materials'!$A$2:$A$20001,0)),$R190)),$R190)</f>
        <v>2026-09</v>
      </c>
      <c r="I190" s="36" t="str">
        <f>IF($M190&gt;0,"JLR rate card — material code "&amp;$K190,$Q190)</f>
        <v>UK alloy billet, Jun 2026. Index-anchored 2026-07 (see FORGING PRICING BASIS). | Refresh 2026-09: −£0.002/kg from 1kg bar £0.861→£0.858/kg, 0.018kg ni £12.302→£12.378/kg, 0.0025kg mo £1.000→£1.000/kg; premiums held</v>
      </c>
      <c r="J190" s="33" t="s">
        <v>1380</v>
      </c>
      <c r="K190" s="37" t="str">
        <f>IFERROR(INDEX(Mapping!$C$2:$C$549,MATCH($A190,Mapping!$A$2:$A$549,0)),"")</f>
        <v/>
      </c>
      <c r="L190" s="37">
        <f>IF($K190="",0,COUNTIFS('JLR Materials'!$A$2:$A$20001,$K190,'JLR Materials'!$C$2:$C$20001,IF(Settings!$B$2="","&lt;&gt;",Settings!$B$2),'JLR Materials'!$D$2:$D$20001,IF(Settings!$B$4="","&lt;&gt;",Settings!$B$4)))</f>
        <v>0</v>
      </c>
      <c r="M190" s="38">
        <f>IF($L190&lt;&gt;1,0,SUMIFS('JLR Materials'!$E$2:$E$20001,'JLR Materials'!$A$2:$A$20001,$K190,'JLR Materials'!$C$2:$C$20001,IF(Settings!$B$2="","&lt;&gt;",Settings!$B$2),'JLR Materials'!$D$2:$D$20001,IF(Settings!$B$4="","&lt;&gt;",Settings!$B$4)))</f>
        <v>0</v>
      </c>
      <c r="N190" s="39">
        <f>IF($L190&lt;&gt;1,0,SUMIFS('JLR Materials'!$F$2:$F$20001,'JLR Materials'!$A$2:$A$20001,$K190,'JLR Materials'!$C$2:$C$20001,IF(Settings!$B$2="","&lt;&gt;",Settings!$B$2),'JLR Materials'!$D$2:$D$20001,IF(Settings!$B$4="","&lt;&gt;",Settings!$B$4)))</f>
        <v>0</v>
      </c>
      <c r="O190" s="38">
        <f>IF($N190=0,0,IF(Settings!$B$5="percent",$M190*$N190/100,$N190))</f>
        <v>0</v>
      </c>
      <c r="P190" s="39">
        <f>IF($L190&lt;&gt;1,0,SUMIFS('JLR Materials'!$G$2:$G$20001,'JLR Materials'!$A$2:$A$20001,$K190,'JLR Materials'!$C$2:$C$20001,IF(Settings!$B$2="","&lt;&gt;",Settings!$B$2),'JLR Materials'!$D$2:$D$20001,IF(Settings!$B$4="","&lt;&gt;",Settings!$B$4)))</f>
        <v>0</v>
      </c>
      <c r="Q190" s="40" t="s">
        <v>1800</v>
      </c>
      <c r="R190" s="40" t="s">
        <v>1382</v>
      </c>
    </row>
    <row r="191" spans="1:18" x14ac:dyDescent="0.25">
      <c r="A191" s="32" t="s">
        <v>645</v>
      </c>
      <c r="B191" s="33" t="s">
        <v>1801</v>
      </c>
      <c r="C191" s="33" t="s">
        <v>1796</v>
      </c>
      <c r="D191" s="34">
        <f>IF($M191&gt;0,$M191,1.05)</f>
        <v>1.05</v>
      </c>
      <c r="E191" s="34">
        <f>IF($O191&gt;0,$O191,0.19)</f>
        <v>0.19</v>
      </c>
      <c r="F191" s="35">
        <v>7850</v>
      </c>
      <c r="G191" s="33" t="s">
        <v>1379</v>
      </c>
      <c r="H191" s="36" t="str">
        <f>IF($M191&gt;0,IF($L191&lt;&gt;1,$R191,IFERROR(INDEX('JLR Materials'!$D$2:$D$20001,MATCH($K191,'JLR Materials'!$A$2:$A$20001,0)),$R191)),$R191)</f>
        <v>2026-09</v>
      </c>
      <c r="I191" s="36" t="str">
        <f>IF($M191&gt;0,"JLR rate card — material code "&amp;$K191,$Q191)</f>
        <v>Index-anchored 2026-07 (see FORGING PRICING BASIS). Resulphurised free-machining carbon steel — high-volume machined forgings, studs, couplings. | Refresh 2026-09: INDEX FLAT — Index flat: Kallanish N-Europe wire rod ’stable’ (Jun 2026), ’decrease slightly’ (Jul), ’remain stable’ / ’flat’ (Sep 2026) — carbon and alloy bar unchanged.</v>
      </c>
      <c r="J191" s="33" t="s">
        <v>1380</v>
      </c>
      <c r="K191" s="37" t="str">
        <f>IFERROR(INDEX(Mapping!$C$2:$C$549,MATCH($A191,Mapping!$A$2:$A$549,0)),"")</f>
        <v/>
      </c>
      <c r="L191" s="37">
        <f>IF($K191="",0,COUNTIFS('JLR Materials'!$A$2:$A$20001,$K191,'JLR Materials'!$C$2:$C$20001,IF(Settings!$B$2="","&lt;&gt;",Settings!$B$2),'JLR Materials'!$D$2:$D$20001,IF(Settings!$B$4="","&lt;&gt;",Settings!$B$4)))</f>
        <v>0</v>
      </c>
      <c r="M191" s="38">
        <f>IF($L191&lt;&gt;1,0,SUMIFS('JLR Materials'!$E$2:$E$20001,'JLR Materials'!$A$2:$A$20001,$K191,'JLR Materials'!$C$2:$C$20001,IF(Settings!$B$2="","&lt;&gt;",Settings!$B$2),'JLR Materials'!$D$2:$D$20001,IF(Settings!$B$4="","&lt;&gt;",Settings!$B$4)))</f>
        <v>0</v>
      </c>
      <c r="N191" s="39">
        <f>IF($L191&lt;&gt;1,0,SUMIFS('JLR Materials'!$F$2:$F$20001,'JLR Materials'!$A$2:$A$20001,$K191,'JLR Materials'!$C$2:$C$20001,IF(Settings!$B$2="","&lt;&gt;",Settings!$B$2),'JLR Materials'!$D$2:$D$20001,IF(Settings!$B$4="","&lt;&gt;",Settings!$B$4)))</f>
        <v>0</v>
      </c>
      <c r="O191" s="38">
        <f>IF($N191=0,0,IF(Settings!$B$5="percent",$M191*$N191/100,$N191))</f>
        <v>0</v>
      </c>
      <c r="P191" s="39">
        <f>IF($L191&lt;&gt;1,0,SUMIFS('JLR Materials'!$G$2:$G$20001,'JLR Materials'!$A$2:$A$20001,$K191,'JLR Materials'!$C$2:$C$20001,IF(Settings!$B$2="","&lt;&gt;",Settings!$B$2),'JLR Materials'!$D$2:$D$20001,IF(Settings!$B$4="","&lt;&gt;",Settings!$B$4)))</f>
        <v>0</v>
      </c>
      <c r="Q191" s="40" t="s">
        <v>1802</v>
      </c>
      <c r="R191" s="40" t="s">
        <v>1382</v>
      </c>
    </row>
    <row r="192" spans="1:18" x14ac:dyDescent="0.25">
      <c r="A192" s="32" t="s">
        <v>647</v>
      </c>
      <c r="B192" s="33" t="s">
        <v>1803</v>
      </c>
      <c r="C192" s="33" t="s">
        <v>1804</v>
      </c>
      <c r="D192" s="34">
        <f>IF($M192&gt;0,$M192,1.15)</f>
        <v>1.15</v>
      </c>
      <c r="E192" s="34">
        <f>IF($O192&gt;0,$O192,0.2)</f>
        <v>0.2</v>
      </c>
      <c r="F192" s="35">
        <v>7850</v>
      </c>
      <c r="G192" s="33" t="s">
        <v>1379</v>
      </c>
      <c r="H192" s="36" t="str">
        <f>IF($M192&gt;0,IF($L192&lt;&gt;1,$R192,IFERROR(INDEX('JLR Materials'!$D$2:$D$20001,MATCH($K192,'JLR Materials'!$A$2:$A$20001,0)),$R192)),$R192)</f>
        <v>2026-09</v>
      </c>
      <c r="I192" s="36" t="str">
        <f>IF($M192&gt;0,"JLR rate card — material code "&amp;$K192,$Q192)</f>
        <v>Index-anchored 2026-07 (see FORGING PRICING BASIS). Air-hardening V-microalloyed steel — con-rods, crankshafts; controlled-cooled from forge heat, no separate Q&amp;T. | Refresh 2026-09: INDEX FLAT — Index flat: Kallanish N-Europe wire rod ’stable’ (Jun 2026), ’decrease slightly’ (Jul), ’remain stable’ / ’flat’ (Sep 2026) — carbon and alloy bar unchanged.</v>
      </c>
      <c r="J192" s="33" t="s">
        <v>1380</v>
      </c>
      <c r="K192" s="37" t="str">
        <f>IFERROR(INDEX(Mapping!$C$2:$C$549,MATCH($A192,Mapping!$A$2:$A$549,0)),"")</f>
        <v/>
      </c>
      <c r="L192" s="37">
        <f>IF($K192="",0,COUNTIFS('JLR Materials'!$A$2:$A$20001,$K192,'JLR Materials'!$C$2:$C$20001,IF(Settings!$B$2="","&lt;&gt;",Settings!$B$2),'JLR Materials'!$D$2:$D$20001,IF(Settings!$B$4="","&lt;&gt;",Settings!$B$4)))</f>
        <v>0</v>
      </c>
      <c r="M192" s="38">
        <f>IF($L192&lt;&gt;1,0,SUMIFS('JLR Materials'!$E$2:$E$20001,'JLR Materials'!$A$2:$A$20001,$K192,'JLR Materials'!$C$2:$C$20001,IF(Settings!$B$2="","&lt;&gt;",Settings!$B$2),'JLR Materials'!$D$2:$D$20001,IF(Settings!$B$4="","&lt;&gt;",Settings!$B$4)))</f>
        <v>0</v>
      </c>
      <c r="N192" s="39">
        <f>IF($L192&lt;&gt;1,0,SUMIFS('JLR Materials'!$F$2:$F$20001,'JLR Materials'!$A$2:$A$20001,$K192,'JLR Materials'!$C$2:$C$20001,IF(Settings!$B$2="","&lt;&gt;",Settings!$B$2),'JLR Materials'!$D$2:$D$20001,IF(Settings!$B$4="","&lt;&gt;",Settings!$B$4)))</f>
        <v>0</v>
      </c>
      <c r="O192" s="38">
        <f>IF($N192=0,0,IF(Settings!$B$5="percent",$M192*$N192/100,$N192))</f>
        <v>0</v>
      </c>
      <c r="P192" s="39">
        <f>IF($L192&lt;&gt;1,0,SUMIFS('JLR Materials'!$G$2:$G$20001,'JLR Materials'!$A$2:$A$20001,$K192,'JLR Materials'!$C$2:$C$20001,IF(Settings!$B$2="","&lt;&gt;",Settings!$B$2),'JLR Materials'!$D$2:$D$20001,IF(Settings!$B$4="","&lt;&gt;",Settings!$B$4)))</f>
        <v>0</v>
      </c>
      <c r="Q192" s="40" t="s">
        <v>1805</v>
      </c>
      <c r="R192" s="40" t="s">
        <v>1382</v>
      </c>
    </row>
    <row r="193" spans="1:18" x14ac:dyDescent="0.25">
      <c r="A193" s="32" t="s">
        <v>649</v>
      </c>
      <c r="B193" s="33" t="s">
        <v>1806</v>
      </c>
      <c r="C193" s="33" t="s">
        <v>1799</v>
      </c>
      <c r="D193" s="34">
        <f>IF($M193&gt;0,$M193,1.6)</f>
        <v>1.6</v>
      </c>
      <c r="E193" s="34">
        <f>IF($O193&gt;0,$O193,0.22)</f>
        <v>0.22</v>
      </c>
      <c r="F193" s="35">
        <v>7850</v>
      </c>
      <c r="G193" s="33" t="s">
        <v>1379</v>
      </c>
      <c r="H193" s="36" t="str">
        <f>IF($M193&gt;0,IF($L193&lt;&gt;1,$R193,IFERROR(INDEX('JLR Materials'!$D$2:$D$20001,MATCH($K193,'JLR Materials'!$A$2:$A$20001,0)),$R193)),$R193)</f>
        <v>2026-09</v>
      </c>
      <c r="I193" s="36" t="str">
        <f>IF($M193&gt;0,"JLR rate card — material code "&amp;$K193,$Q193)</f>
        <v>Index-anchored 2026-07 (see FORGING PRICING BASIS). Weldable chromoly — aerospace/pressure fittings, tube-and-node structures. | Refresh 2026-09: INDEX FLAT — Index flat: Kallanish N-Europe wire rod ’stable’ (Jun 2026), ’decrease slightly’ (Jul), ’remain stable’ / ’flat’ (Sep 2026) — carbon and alloy bar unchanged.</v>
      </c>
      <c r="J193" s="33" t="s">
        <v>1380</v>
      </c>
      <c r="K193" s="37" t="str">
        <f>IFERROR(INDEX(Mapping!$C$2:$C$549,MATCH($A193,Mapping!$A$2:$A$549,0)),"")</f>
        <v/>
      </c>
      <c r="L193" s="37">
        <f>IF($K193="",0,COUNTIFS('JLR Materials'!$A$2:$A$20001,$K193,'JLR Materials'!$C$2:$C$20001,IF(Settings!$B$2="","&lt;&gt;",Settings!$B$2),'JLR Materials'!$D$2:$D$20001,IF(Settings!$B$4="","&lt;&gt;",Settings!$B$4)))</f>
        <v>0</v>
      </c>
      <c r="M193" s="38">
        <f>IF($L193&lt;&gt;1,0,SUMIFS('JLR Materials'!$E$2:$E$20001,'JLR Materials'!$A$2:$A$20001,$K193,'JLR Materials'!$C$2:$C$20001,IF(Settings!$B$2="","&lt;&gt;",Settings!$B$2),'JLR Materials'!$D$2:$D$20001,IF(Settings!$B$4="","&lt;&gt;",Settings!$B$4)))</f>
        <v>0</v>
      </c>
      <c r="N193" s="39">
        <f>IF($L193&lt;&gt;1,0,SUMIFS('JLR Materials'!$F$2:$F$20001,'JLR Materials'!$A$2:$A$20001,$K193,'JLR Materials'!$C$2:$C$20001,IF(Settings!$B$2="","&lt;&gt;",Settings!$B$2),'JLR Materials'!$D$2:$D$20001,IF(Settings!$B$4="","&lt;&gt;",Settings!$B$4)))</f>
        <v>0</v>
      </c>
      <c r="O193" s="38">
        <f>IF($N193=0,0,IF(Settings!$B$5="percent",$M193*$N193/100,$N193))</f>
        <v>0</v>
      </c>
      <c r="P193" s="39">
        <f>IF($L193&lt;&gt;1,0,SUMIFS('JLR Materials'!$G$2:$G$20001,'JLR Materials'!$A$2:$A$20001,$K193,'JLR Materials'!$C$2:$C$20001,IF(Settings!$B$2="","&lt;&gt;",Settings!$B$2),'JLR Materials'!$D$2:$D$20001,IF(Settings!$B$4="","&lt;&gt;",Settings!$B$4)))</f>
        <v>0</v>
      </c>
      <c r="Q193" s="40" t="s">
        <v>1807</v>
      </c>
      <c r="R193" s="40" t="s">
        <v>1382</v>
      </c>
    </row>
    <row r="194" spans="1:18" x14ac:dyDescent="0.25">
      <c r="A194" s="32" t="s">
        <v>651</v>
      </c>
      <c r="B194" s="33" t="s">
        <v>1808</v>
      </c>
      <c r="C194" s="33" t="s">
        <v>1799</v>
      </c>
      <c r="D194" s="34">
        <f>IF($M194&gt;0,$M194,1.5)</f>
        <v>1.5</v>
      </c>
      <c r="E194" s="34">
        <f>IF($O194&gt;0,$O194,0.22)</f>
        <v>0.22</v>
      </c>
      <c r="F194" s="35">
        <v>7850</v>
      </c>
      <c r="G194" s="33" t="s">
        <v>1379</v>
      </c>
      <c r="H194" s="36" t="str">
        <f>IF($M194&gt;0,IF($L194&lt;&gt;1,$R194,IFERROR(INDEX('JLR Materials'!$D$2:$D$20001,MATCH($K194,'JLR Materials'!$A$2:$A$20001,0)),$R194)),$R194)</f>
        <v>2026-09</v>
      </c>
      <c r="I194" s="36" t="str">
        <f>IF($M194&gt;0,"JLR rate card — material code "&amp;$K194,$Q194)</f>
        <v>Index-anchored 2026-07 (see FORGING PRICING BASIS). Carburising gear steel — pinions, ring gears, bearings; tough core + hard case. | Refresh 2026-09: −£0.003/kg from 1kg bar £0.861→£0.858/kg, 0.005kg ni £12.302→£12.378/kg; premiums held</v>
      </c>
      <c r="J194" s="33" t="s">
        <v>1380</v>
      </c>
      <c r="K194" s="37" t="str">
        <f>IFERROR(INDEX(Mapping!$C$2:$C$549,MATCH($A194,Mapping!$A$2:$A$549,0)),"")</f>
        <v/>
      </c>
      <c r="L194" s="37">
        <f>IF($K194="",0,COUNTIFS('JLR Materials'!$A$2:$A$20001,$K194,'JLR Materials'!$C$2:$C$20001,IF(Settings!$B$2="","&lt;&gt;",Settings!$B$2),'JLR Materials'!$D$2:$D$20001,IF(Settings!$B$4="","&lt;&gt;",Settings!$B$4)))</f>
        <v>0</v>
      </c>
      <c r="M194" s="38">
        <f>IF($L194&lt;&gt;1,0,SUMIFS('JLR Materials'!$E$2:$E$20001,'JLR Materials'!$A$2:$A$20001,$K194,'JLR Materials'!$C$2:$C$20001,IF(Settings!$B$2="","&lt;&gt;",Settings!$B$2),'JLR Materials'!$D$2:$D$20001,IF(Settings!$B$4="","&lt;&gt;",Settings!$B$4)))</f>
        <v>0</v>
      </c>
      <c r="N194" s="39">
        <f>IF($L194&lt;&gt;1,0,SUMIFS('JLR Materials'!$F$2:$F$20001,'JLR Materials'!$A$2:$A$20001,$K194,'JLR Materials'!$C$2:$C$20001,IF(Settings!$B$2="","&lt;&gt;",Settings!$B$2),'JLR Materials'!$D$2:$D$20001,IF(Settings!$B$4="","&lt;&gt;",Settings!$B$4)))</f>
        <v>0</v>
      </c>
      <c r="O194" s="38">
        <f>IF($N194=0,0,IF(Settings!$B$5="percent",$M194*$N194/100,$N194))</f>
        <v>0</v>
      </c>
      <c r="P194" s="39">
        <f>IF($L194&lt;&gt;1,0,SUMIFS('JLR Materials'!$G$2:$G$20001,'JLR Materials'!$A$2:$A$20001,$K194,'JLR Materials'!$C$2:$C$20001,IF(Settings!$B$2="","&lt;&gt;",Settings!$B$2),'JLR Materials'!$D$2:$D$20001,IF(Settings!$B$4="","&lt;&gt;",Settings!$B$4)))</f>
        <v>0</v>
      </c>
      <c r="Q194" s="40" t="s">
        <v>1809</v>
      </c>
      <c r="R194" s="40" t="s">
        <v>1382</v>
      </c>
    </row>
    <row r="195" spans="1:18" x14ac:dyDescent="0.25">
      <c r="A195" s="32" t="s">
        <v>653</v>
      </c>
      <c r="B195" s="33" t="s">
        <v>1810</v>
      </c>
      <c r="C195" s="33" t="s">
        <v>1799</v>
      </c>
      <c r="D195" s="34">
        <f>IF($M195&gt;0,$M195,1.48)</f>
        <v>1.48</v>
      </c>
      <c r="E195" s="34">
        <f>IF($O195&gt;0,$O195,0.22)</f>
        <v>0.22</v>
      </c>
      <c r="F195" s="35">
        <v>7850</v>
      </c>
      <c r="G195" s="33" t="s">
        <v>1379</v>
      </c>
      <c r="H195" s="36" t="str">
        <f>IF($M195&gt;0,IF($L195&lt;&gt;1,$R195,IFERROR(INDEX('JLR Materials'!$D$2:$D$20001,MATCH($K195,'JLR Materials'!$A$2:$A$20001,0)),$R195)),$R195)</f>
        <v>2026-09</v>
      </c>
      <c r="I195" s="36" t="str">
        <f>IF($M195&gt;0,"JLR rate card — material code "&amp;$K195,$Q195)</f>
        <v>Index-anchored 2026-07 (see FORGING PRICING BASIS). European case-hardening gear steel — transmission gears, shafts; excellent hardenability and grain control. | Refresh 2026-09: INDEX FLAT — Index flat: Kallanish N-Europe wire rod ’stable’ (Jun 2026), ’decrease slightly’ (Jul), ’remain stable’ / ’flat’ (Sep 2026) — carbon and alloy bar unchanged.</v>
      </c>
      <c r="J195" s="33" t="s">
        <v>1380</v>
      </c>
      <c r="K195" s="37" t="str">
        <f>IFERROR(INDEX(Mapping!$C$2:$C$549,MATCH($A195,Mapping!$A$2:$A$549,0)),"")</f>
        <v/>
      </c>
      <c r="L195" s="37">
        <f>IF($K195="",0,COUNTIFS('JLR Materials'!$A$2:$A$20001,$K195,'JLR Materials'!$C$2:$C$20001,IF(Settings!$B$2="","&lt;&gt;",Settings!$B$2),'JLR Materials'!$D$2:$D$20001,IF(Settings!$B$4="","&lt;&gt;",Settings!$B$4)))</f>
        <v>0</v>
      </c>
      <c r="M195" s="38">
        <f>IF($L195&lt;&gt;1,0,SUMIFS('JLR Materials'!$E$2:$E$20001,'JLR Materials'!$A$2:$A$20001,$K195,'JLR Materials'!$C$2:$C$20001,IF(Settings!$B$2="","&lt;&gt;",Settings!$B$2),'JLR Materials'!$D$2:$D$20001,IF(Settings!$B$4="","&lt;&gt;",Settings!$B$4)))</f>
        <v>0</v>
      </c>
      <c r="N195" s="39">
        <f>IF($L195&lt;&gt;1,0,SUMIFS('JLR Materials'!$F$2:$F$20001,'JLR Materials'!$A$2:$A$20001,$K195,'JLR Materials'!$C$2:$C$20001,IF(Settings!$B$2="","&lt;&gt;",Settings!$B$2),'JLR Materials'!$D$2:$D$20001,IF(Settings!$B$4="","&lt;&gt;",Settings!$B$4)))</f>
        <v>0</v>
      </c>
      <c r="O195" s="38">
        <f>IF($N195=0,0,IF(Settings!$B$5="percent",$M195*$N195/100,$N195))</f>
        <v>0</v>
      </c>
      <c r="P195" s="39">
        <f>IF($L195&lt;&gt;1,0,SUMIFS('JLR Materials'!$G$2:$G$20001,'JLR Materials'!$A$2:$A$20001,$K195,'JLR Materials'!$C$2:$C$20001,IF(Settings!$B$2="","&lt;&gt;",Settings!$B$2),'JLR Materials'!$D$2:$D$20001,IF(Settings!$B$4="","&lt;&gt;",Settings!$B$4)))</f>
        <v>0</v>
      </c>
      <c r="Q195" s="40" t="s">
        <v>1811</v>
      </c>
      <c r="R195" s="40" t="s">
        <v>1382</v>
      </c>
    </row>
    <row r="196" spans="1:18" x14ac:dyDescent="0.25">
      <c r="A196" s="32" t="s">
        <v>655</v>
      </c>
      <c r="B196" s="33" t="s">
        <v>1812</v>
      </c>
      <c r="C196" s="33" t="s">
        <v>1799</v>
      </c>
      <c r="D196" s="34">
        <f>IF($M196&gt;0,$M196,1.7)</f>
        <v>1.7</v>
      </c>
      <c r="E196" s="34">
        <f>IF($O196&gt;0,$O196,0.22)</f>
        <v>0.22</v>
      </c>
      <c r="F196" s="35">
        <v>7810</v>
      </c>
      <c r="G196" s="33" t="s">
        <v>1379</v>
      </c>
      <c r="H196" s="36" t="str">
        <f>IF($M196&gt;0,IF($L196&lt;&gt;1,$R196,IFERROR(INDEX('JLR Materials'!$D$2:$D$20001,MATCH($K196,'JLR Materials'!$A$2:$A$20001,0)),$R196)),$R196)</f>
        <v>2026-09</v>
      </c>
      <c r="I196" s="36" t="str">
        <f>IF($M196&gt;0,"JLR rate card — material code "&amp;$K196,$Q196)</f>
        <v>Index-anchored 2026-07 (see FORGING PRICING BASIS). High-carbon chromium bearing steel — rings, rollers, races; clean, through-hardening. | Refresh 2026-09: INDEX FLAT — Index flat: Kallanish N-Europe wire rod ’stable’ (Jun 2026), ’decrease slightly’ (Jul), ’remain stable’ / ’flat’ (Sep 2026) — carbon and alloy bar unchanged.</v>
      </c>
      <c r="J196" s="33" t="s">
        <v>1380</v>
      </c>
      <c r="K196" s="37" t="str">
        <f>IFERROR(INDEX(Mapping!$C$2:$C$549,MATCH($A196,Mapping!$A$2:$A$549,0)),"")</f>
        <v/>
      </c>
      <c r="L196" s="37">
        <f>IF($K196="",0,COUNTIFS('JLR Materials'!$A$2:$A$20001,$K196,'JLR Materials'!$C$2:$C$20001,IF(Settings!$B$2="","&lt;&gt;",Settings!$B$2),'JLR Materials'!$D$2:$D$20001,IF(Settings!$B$4="","&lt;&gt;",Settings!$B$4)))</f>
        <v>0</v>
      </c>
      <c r="M196" s="38">
        <f>IF($L196&lt;&gt;1,0,SUMIFS('JLR Materials'!$E$2:$E$20001,'JLR Materials'!$A$2:$A$20001,$K196,'JLR Materials'!$C$2:$C$20001,IF(Settings!$B$2="","&lt;&gt;",Settings!$B$2),'JLR Materials'!$D$2:$D$20001,IF(Settings!$B$4="","&lt;&gt;",Settings!$B$4)))</f>
        <v>0</v>
      </c>
      <c r="N196" s="39">
        <f>IF($L196&lt;&gt;1,0,SUMIFS('JLR Materials'!$F$2:$F$20001,'JLR Materials'!$A$2:$A$20001,$K196,'JLR Materials'!$C$2:$C$20001,IF(Settings!$B$2="","&lt;&gt;",Settings!$B$2),'JLR Materials'!$D$2:$D$20001,IF(Settings!$B$4="","&lt;&gt;",Settings!$B$4)))</f>
        <v>0</v>
      </c>
      <c r="O196" s="38">
        <f>IF($N196=0,0,IF(Settings!$B$5="percent",$M196*$N196/100,$N196))</f>
        <v>0</v>
      </c>
      <c r="P196" s="39">
        <f>IF($L196&lt;&gt;1,0,SUMIFS('JLR Materials'!$G$2:$G$20001,'JLR Materials'!$A$2:$A$20001,$K196,'JLR Materials'!$C$2:$C$20001,IF(Settings!$B$2="","&lt;&gt;",Settings!$B$2),'JLR Materials'!$D$2:$D$20001,IF(Settings!$B$4="","&lt;&gt;",Settings!$B$4)))</f>
        <v>0</v>
      </c>
      <c r="Q196" s="40" t="s">
        <v>1813</v>
      </c>
      <c r="R196" s="40" t="s">
        <v>1382</v>
      </c>
    </row>
    <row r="197" spans="1:18" x14ac:dyDescent="0.25">
      <c r="A197" s="32" t="s">
        <v>657</v>
      </c>
      <c r="B197" s="33" t="s">
        <v>1814</v>
      </c>
      <c r="C197" s="33" t="s">
        <v>1799</v>
      </c>
      <c r="D197" s="34">
        <f>IF($M197&gt;0,$M197,3.8)</f>
        <v>3.8</v>
      </c>
      <c r="E197" s="34">
        <f>IF($O197&gt;0,$O197,0.3)</f>
        <v>0.3</v>
      </c>
      <c r="F197" s="35">
        <v>7830</v>
      </c>
      <c r="G197" s="33" t="s">
        <v>1379</v>
      </c>
      <c r="H197" s="36" t="str">
        <f>IF($M197&gt;0,IF($L197&lt;&gt;1,$R197,IFERROR(INDEX('JLR Materials'!$D$2:$D$20001,MATCH($K197,'JLR Materials'!$A$2:$A$20001,0)),$R197)),$R197)</f>
        <v>2026-09</v>
      </c>
      <c r="I197" s="36" t="str">
        <f>IF($M197&gt;0,"JLR rate card — material code "&amp;$K197,$Q197)</f>
        <v>Index-anchored 2026-07 (see FORGING PRICING BASIS). Ultra-high-strength Si-modified 4340 — landing gear, aerospace structural; VAR remelt, tight cleanliness. | Refresh 2026-09: −£0.002/kg from 1kg bar £0.861→£0.858/kg, 0.018kg ni £12.302→£12.378/kg, 0.0025kg mo £1.000→£1.000/kg; premiums held</v>
      </c>
      <c r="J197" s="33" t="s">
        <v>1393</v>
      </c>
      <c r="K197" s="37" t="str">
        <f>IFERROR(INDEX(Mapping!$C$2:$C$549,MATCH($A197,Mapping!$A$2:$A$549,0)),"")</f>
        <v/>
      </c>
      <c r="L197" s="37">
        <f>IF($K197="",0,COUNTIFS('JLR Materials'!$A$2:$A$20001,$K197,'JLR Materials'!$C$2:$C$20001,IF(Settings!$B$2="","&lt;&gt;",Settings!$B$2),'JLR Materials'!$D$2:$D$20001,IF(Settings!$B$4="","&lt;&gt;",Settings!$B$4)))</f>
        <v>0</v>
      </c>
      <c r="M197" s="38">
        <f>IF($L197&lt;&gt;1,0,SUMIFS('JLR Materials'!$E$2:$E$20001,'JLR Materials'!$A$2:$A$20001,$K197,'JLR Materials'!$C$2:$C$20001,IF(Settings!$B$2="","&lt;&gt;",Settings!$B$2),'JLR Materials'!$D$2:$D$20001,IF(Settings!$B$4="","&lt;&gt;",Settings!$B$4)))</f>
        <v>0</v>
      </c>
      <c r="N197" s="39">
        <f>IF($L197&lt;&gt;1,0,SUMIFS('JLR Materials'!$F$2:$F$20001,'JLR Materials'!$A$2:$A$20001,$K197,'JLR Materials'!$C$2:$C$20001,IF(Settings!$B$2="","&lt;&gt;",Settings!$B$2),'JLR Materials'!$D$2:$D$20001,IF(Settings!$B$4="","&lt;&gt;",Settings!$B$4)))</f>
        <v>0</v>
      </c>
      <c r="O197" s="38">
        <f>IF($N197=0,0,IF(Settings!$B$5="percent",$M197*$N197/100,$N197))</f>
        <v>0</v>
      </c>
      <c r="P197" s="39">
        <f>IF($L197&lt;&gt;1,0,SUMIFS('JLR Materials'!$G$2:$G$20001,'JLR Materials'!$A$2:$A$20001,$K197,'JLR Materials'!$C$2:$C$20001,IF(Settings!$B$2="","&lt;&gt;",Settings!$B$2),'JLR Materials'!$D$2:$D$20001,IF(Settings!$B$4="","&lt;&gt;",Settings!$B$4)))</f>
        <v>0</v>
      </c>
      <c r="Q197" s="40" t="s">
        <v>1815</v>
      </c>
      <c r="R197" s="40" t="s">
        <v>1382</v>
      </c>
    </row>
    <row r="198" spans="1:18" x14ac:dyDescent="0.25">
      <c r="A198" s="32" t="s">
        <v>659</v>
      </c>
      <c r="B198" s="33" t="s">
        <v>1816</v>
      </c>
      <c r="C198" s="33" t="s">
        <v>1817</v>
      </c>
      <c r="D198" s="34">
        <f>IF($M198&gt;0,$M198,3.63)</f>
        <v>3.63</v>
      </c>
      <c r="E198" s="34">
        <f>IF($O198&gt;0,$O198,0.91)</f>
        <v>0.91</v>
      </c>
      <c r="F198" s="35">
        <v>7740</v>
      </c>
      <c r="G198" s="33" t="s">
        <v>1379</v>
      </c>
      <c r="H198" s="36" t="str">
        <f>IF($M198&gt;0,IF($L198&lt;&gt;1,$R198,IFERROR(INDEX('JLR Materials'!$D$2:$D$20001,MATCH($K198,'JLR Materials'!$A$2:$A$20001,0)),$R198)),$R198)</f>
        <v>2026-09</v>
      </c>
      <c r="I198" s="36" t="str">
        <f>IF($M198&gt;0,"JLR rate card — material code "&amp;$K198,$Q198)</f>
        <v>Index-anchored 2026-07 (see FORGING PRICING BASIS). Hardenable martensitic stainless — valve stems, fasteners, turbine blades; moderate corrosion resistance. | Refresh 2026-09: +£0.034/kg from 0.7kg hrc £0.591→£0.639/kg; premiums held</v>
      </c>
      <c r="J198" s="33" t="s">
        <v>1393</v>
      </c>
      <c r="K198" s="37" t="str">
        <f>IFERROR(INDEX(Mapping!$C$2:$C$549,MATCH($A198,Mapping!$A$2:$A$549,0)),"")</f>
        <v/>
      </c>
      <c r="L198" s="37">
        <f>IF($K198="",0,COUNTIFS('JLR Materials'!$A$2:$A$20001,$K198,'JLR Materials'!$C$2:$C$20001,IF(Settings!$B$2="","&lt;&gt;",Settings!$B$2),'JLR Materials'!$D$2:$D$20001,IF(Settings!$B$4="","&lt;&gt;",Settings!$B$4)))</f>
        <v>0</v>
      </c>
      <c r="M198" s="38">
        <f>IF($L198&lt;&gt;1,0,SUMIFS('JLR Materials'!$E$2:$E$20001,'JLR Materials'!$A$2:$A$20001,$K198,'JLR Materials'!$C$2:$C$20001,IF(Settings!$B$2="","&lt;&gt;",Settings!$B$2),'JLR Materials'!$D$2:$D$20001,IF(Settings!$B$4="","&lt;&gt;",Settings!$B$4)))</f>
        <v>0</v>
      </c>
      <c r="N198" s="39">
        <f>IF($L198&lt;&gt;1,0,SUMIFS('JLR Materials'!$F$2:$F$20001,'JLR Materials'!$A$2:$A$20001,$K198,'JLR Materials'!$C$2:$C$20001,IF(Settings!$B$2="","&lt;&gt;",Settings!$B$2),'JLR Materials'!$D$2:$D$20001,IF(Settings!$B$4="","&lt;&gt;",Settings!$B$4)))</f>
        <v>0</v>
      </c>
      <c r="O198" s="38">
        <f>IF($N198=0,0,IF(Settings!$B$5="percent",$M198*$N198/100,$N198))</f>
        <v>0</v>
      </c>
      <c r="P198" s="39">
        <f>IF($L198&lt;&gt;1,0,SUMIFS('JLR Materials'!$G$2:$G$20001,'JLR Materials'!$A$2:$A$20001,$K198,'JLR Materials'!$C$2:$C$20001,IF(Settings!$B$2="","&lt;&gt;",Settings!$B$2),'JLR Materials'!$D$2:$D$20001,IF(Settings!$B$4="","&lt;&gt;",Settings!$B$4)))</f>
        <v>0</v>
      </c>
      <c r="Q198" s="40" t="s">
        <v>1818</v>
      </c>
      <c r="R198" s="40" t="s">
        <v>1382</v>
      </c>
    </row>
    <row r="199" spans="1:18" x14ac:dyDescent="0.25">
      <c r="A199" s="32" t="s">
        <v>661</v>
      </c>
      <c r="B199" s="33" t="s">
        <v>1819</v>
      </c>
      <c r="C199" s="33" t="s">
        <v>1817</v>
      </c>
      <c r="D199" s="34">
        <f>IF($M199&gt;0,$M199,4.73)</f>
        <v>4.73</v>
      </c>
      <c r="E199" s="34">
        <f>IF($O199&gt;0,$O199,1.23)</f>
        <v>1.23</v>
      </c>
      <c r="F199" s="35">
        <v>8000</v>
      </c>
      <c r="G199" s="33" t="s">
        <v>1379</v>
      </c>
      <c r="H199" s="36" t="str">
        <f>IF($M199&gt;0,IF($L199&lt;&gt;1,$R199,IFERROR(INDEX('JLR Materials'!$D$2:$D$20001,MATCH($K199,'JLR Materials'!$A$2:$A$20001,0)),$R199)),$R199)</f>
        <v>2026-09</v>
      </c>
      <c r="I199" s="36" t="str">
        <f>IF($M199&gt;0,"JLR rate card — material code "&amp;$K199,$Q199)</f>
        <v>Index-anchored 2026-07 (see FORGING PRICING BASIS). General-purpose austenitic forging bar — flanges, fittings, food/chemical; Ni/Cr surcharge driven. | Refresh 2026-09: +£0.127/kg from 1kg ss_sur £2.037→£2.164/kg; premiums held</v>
      </c>
      <c r="J199" s="33" t="s">
        <v>1393</v>
      </c>
      <c r="K199" s="37" t="str">
        <f>IFERROR(INDEX(Mapping!$C$2:$C$549,MATCH($A199,Mapping!$A$2:$A$549,0)),"")</f>
        <v/>
      </c>
      <c r="L199" s="37">
        <f>IF($K199="",0,COUNTIFS('JLR Materials'!$A$2:$A$20001,$K199,'JLR Materials'!$C$2:$C$20001,IF(Settings!$B$2="","&lt;&gt;",Settings!$B$2),'JLR Materials'!$D$2:$D$20001,IF(Settings!$B$4="","&lt;&gt;",Settings!$B$4)))</f>
        <v>0</v>
      </c>
      <c r="M199" s="38">
        <f>IF($L199&lt;&gt;1,0,SUMIFS('JLR Materials'!$E$2:$E$20001,'JLR Materials'!$A$2:$A$20001,$K199,'JLR Materials'!$C$2:$C$20001,IF(Settings!$B$2="","&lt;&gt;",Settings!$B$2),'JLR Materials'!$D$2:$D$20001,IF(Settings!$B$4="","&lt;&gt;",Settings!$B$4)))</f>
        <v>0</v>
      </c>
      <c r="N199" s="39">
        <f>IF($L199&lt;&gt;1,0,SUMIFS('JLR Materials'!$F$2:$F$20001,'JLR Materials'!$A$2:$A$20001,$K199,'JLR Materials'!$C$2:$C$20001,IF(Settings!$B$2="","&lt;&gt;",Settings!$B$2),'JLR Materials'!$D$2:$D$20001,IF(Settings!$B$4="","&lt;&gt;",Settings!$B$4)))</f>
        <v>0</v>
      </c>
      <c r="O199" s="38">
        <f>IF($N199=0,0,IF(Settings!$B$5="percent",$M199*$N199/100,$N199))</f>
        <v>0</v>
      </c>
      <c r="P199" s="39">
        <f>IF($L199&lt;&gt;1,0,SUMIFS('JLR Materials'!$G$2:$G$20001,'JLR Materials'!$A$2:$A$20001,$K199,'JLR Materials'!$C$2:$C$20001,IF(Settings!$B$2="","&lt;&gt;",Settings!$B$2),'JLR Materials'!$D$2:$D$20001,IF(Settings!$B$4="","&lt;&gt;",Settings!$B$4)))</f>
        <v>0</v>
      </c>
      <c r="Q199" s="40" t="s">
        <v>1820</v>
      </c>
      <c r="R199" s="40" t="s">
        <v>1382</v>
      </c>
    </row>
    <row r="200" spans="1:18" x14ac:dyDescent="0.25">
      <c r="A200" s="32" t="s">
        <v>663</v>
      </c>
      <c r="B200" s="33" t="s">
        <v>1821</v>
      </c>
      <c r="C200" s="33" t="s">
        <v>1817</v>
      </c>
      <c r="D200" s="34">
        <f>IF($M200&gt;0,$M200,6.33)</f>
        <v>6.33</v>
      </c>
      <c r="E200" s="34">
        <f>IF($O200&gt;0,$O200,1.43)</f>
        <v>1.43</v>
      </c>
      <c r="F200" s="35">
        <v>8000</v>
      </c>
      <c r="G200" s="33" t="s">
        <v>1379</v>
      </c>
      <c r="H200" s="36" t="str">
        <f>IF($M200&gt;0,IF($L200&lt;&gt;1,$R200,IFERROR(INDEX('JLR Materials'!$D$2:$D$20001,MATCH($K200,'JLR Materials'!$A$2:$A$20001,0)),$R200)),$R200)</f>
        <v>2026-09</v>
      </c>
      <c r="I200" s="36" t="str">
        <f>IF($M200&gt;0,"JLR rate card — material code "&amp;$K200,$Q200)</f>
        <v>Index-anchored 2026-07 (see FORGING PRICING BASIS). Mo-bearing austenitic — marine/chemical flanges, valve bodies; higher pitting resistance than 304. | Refresh 2026-09: +£0.129/kg from 1kg ss_sur £2.037→£2.164/kg, 0.03kg ni £12.302→£12.378/kg; premiums held</v>
      </c>
      <c r="J200" s="33" t="s">
        <v>1393</v>
      </c>
      <c r="K200" s="37" t="str">
        <f>IFERROR(INDEX(Mapping!$C$2:$C$549,MATCH($A200,Mapping!$A$2:$A$549,0)),"")</f>
        <v/>
      </c>
      <c r="L200" s="37">
        <f>IF($K200="",0,COUNTIFS('JLR Materials'!$A$2:$A$20001,$K200,'JLR Materials'!$C$2:$C$20001,IF(Settings!$B$2="","&lt;&gt;",Settings!$B$2),'JLR Materials'!$D$2:$D$20001,IF(Settings!$B$4="","&lt;&gt;",Settings!$B$4)))</f>
        <v>0</v>
      </c>
      <c r="M200" s="38">
        <f>IF($L200&lt;&gt;1,0,SUMIFS('JLR Materials'!$E$2:$E$20001,'JLR Materials'!$A$2:$A$20001,$K200,'JLR Materials'!$C$2:$C$20001,IF(Settings!$B$2="","&lt;&gt;",Settings!$B$2),'JLR Materials'!$D$2:$D$20001,IF(Settings!$B$4="","&lt;&gt;",Settings!$B$4)))</f>
        <v>0</v>
      </c>
      <c r="N200" s="39">
        <f>IF($L200&lt;&gt;1,0,SUMIFS('JLR Materials'!$F$2:$F$20001,'JLR Materials'!$A$2:$A$20001,$K200,'JLR Materials'!$C$2:$C$20001,IF(Settings!$B$2="","&lt;&gt;",Settings!$B$2),'JLR Materials'!$D$2:$D$20001,IF(Settings!$B$4="","&lt;&gt;",Settings!$B$4)))</f>
        <v>0</v>
      </c>
      <c r="O200" s="38">
        <f>IF($N200=0,0,IF(Settings!$B$5="percent",$M200*$N200/100,$N200))</f>
        <v>0</v>
      </c>
      <c r="P200" s="39">
        <f>IF($L200&lt;&gt;1,0,SUMIFS('JLR Materials'!$G$2:$G$20001,'JLR Materials'!$A$2:$A$20001,$K200,'JLR Materials'!$C$2:$C$20001,IF(Settings!$B$2="","&lt;&gt;",Settings!$B$2),'JLR Materials'!$D$2:$D$20001,IF(Settings!$B$4="","&lt;&gt;",Settings!$B$4)))</f>
        <v>0</v>
      </c>
      <c r="Q200" s="40" t="s">
        <v>1822</v>
      </c>
      <c r="R200" s="40" t="s">
        <v>1382</v>
      </c>
    </row>
    <row r="201" spans="1:18" x14ac:dyDescent="0.25">
      <c r="A201" s="32" t="s">
        <v>665</v>
      </c>
      <c r="B201" s="33" t="s">
        <v>1823</v>
      </c>
      <c r="C201" s="33" t="s">
        <v>1817</v>
      </c>
      <c r="D201" s="34">
        <f>IF($M201&gt;0,$M201,9.3)</f>
        <v>9.3</v>
      </c>
      <c r="E201" s="34">
        <f>IF($O201&gt;0,$O201,1.62)</f>
        <v>1.62</v>
      </c>
      <c r="F201" s="35">
        <v>7800</v>
      </c>
      <c r="G201" s="33" t="s">
        <v>1379</v>
      </c>
      <c r="H201" s="36" t="str">
        <f>IF($M201&gt;0,IF($L201&lt;&gt;1,$R201,IFERROR(INDEX('JLR Materials'!$D$2:$D$20001,MATCH($K201,'JLR Materials'!$A$2:$A$20001,0)),$R201)),$R201)</f>
        <v>2026-09</v>
      </c>
      <c r="I201" s="36" t="str">
        <f>IF($M201&gt;0,"JLR rate card — material code "&amp;$K201,$Q201)</f>
        <v>Index-anchored 2026-07 (see FORGING PRICING BASIS). Precipitation-hardening martensitic stainless — aerospace fittings, pump/valve, high strength + corrosion. | Refresh 2026-09: +£0.101/kg from 0.6kg ss_sur £2.037→£2.164/kg, 0.035kg cu £10.070→£10.768/kg; premiums held</v>
      </c>
      <c r="J201" s="33" t="s">
        <v>1393</v>
      </c>
      <c r="K201" s="37" t="str">
        <f>IFERROR(INDEX(Mapping!$C$2:$C$549,MATCH($A201,Mapping!$A$2:$A$549,0)),"")</f>
        <v/>
      </c>
      <c r="L201" s="37">
        <f>IF($K201="",0,COUNTIFS('JLR Materials'!$A$2:$A$20001,$K201,'JLR Materials'!$C$2:$C$20001,IF(Settings!$B$2="","&lt;&gt;",Settings!$B$2),'JLR Materials'!$D$2:$D$20001,IF(Settings!$B$4="","&lt;&gt;",Settings!$B$4)))</f>
        <v>0</v>
      </c>
      <c r="M201" s="38">
        <f>IF($L201&lt;&gt;1,0,SUMIFS('JLR Materials'!$E$2:$E$20001,'JLR Materials'!$A$2:$A$20001,$K201,'JLR Materials'!$C$2:$C$20001,IF(Settings!$B$2="","&lt;&gt;",Settings!$B$2),'JLR Materials'!$D$2:$D$20001,IF(Settings!$B$4="","&lt;&gt;",Settings!$B$4)))</f>
        <v>0</v>
      </c>
      <c r="N201" s="39">
        <f>IF($L201&lt;&gt;1,0,SUMIFS('JLR Materials'!$F$2:$F$20001,'JLR Materials'!$A$2:$A$20001,$K201,'JLR Materials'!$C$2:$C$20001,IF(Settings!$B$2="","&lt;&gt;",Settings!$B$2),'JLR Materials'!$D$2:$D$20001,IF(Settings!$B$4="","&lt;&gt;",Settings!$B$4)))</f>
        <v>0</v>
      </c>
      <c r="O201" s="38">
        <f>IF($N201=0,0,IF(Settings!$B$5="percent",$M201*$N201/100,$N201))</f>
        <v>0</v>
      </c>
      <c r="P201" s="39">
        <f>IF($L201&lt;&gt;1,0,SUMIFS('JLR Materials'!$G$2:$G$20001,'JLR Materials'!$A$2:$A$20001,$K201,'JLR Materials'!$C$2:$C$20001,IF(Settings!$B$2="","&lt;&gt;",Settings!$B$2),'JLR Materials'!$D$2:$D$20001,IF(Settings!$B$4="","&lt;&gt;",Settings!$B$4)))</f>
        <v>0</v>
      </c>
      <c r="Q201" s="40" t="s">
        <v>1824</v>
      </c>
      <c r="R201" s="40" t="s">
        <v>1382</v>
      </c>
    </row>
    <row r="202" spans="1:18" x14ac:dyDescent="0.25">
      <c r="A202" s="32" t="s">
        <v>667</v>
      </c>
      <c r="B202" s="33" t="s">
        <v>1825</v>
      </c>
      <c r="C202" s="33" t="s">
        <v>1817</v>
      </c>
      <c r="D202" s="34">
        <f>IF($M202&gt;0,$M202,9.9)</f>
        <v>9.9</v>
      </c>
      <c r="E202" s="34">
        <f>IF($O202&gt;0,$O202,1.62)</f>
        <v>1.62</v>
      </c>
      <c r="F202" s="35">
        <v>7800</v>
      </c>
      <c r="G202" s="33" t="s">
        <v>1379</v>
      </c>
      <c r="H202" s="36" t="str">
        <f>IF($M202&gt;0,IF($L202&lt;&gt;1,$R202,IFERROR(INDEX('JLR Materials'!$D$2:$D$20001,MATCH($K202,'JLR Materials'!$A$2:$A$20001,0)),$R202)),$R202)</f>
        <v>2026-09</v>
      </c>
      <c r="I202" s="36" t="str">
        <f>IF($M202&gt;0,"JLR rate card — material code "&amp;$K202,$Q202)</f>
        <v>Index-anchored 2026-07 (see FORGING PRICING BASIS). Transverse-toughness PH stainless — aerospace structural, landing-gear fittings; cleaner than 17-4. | Refresh 2026-09: +£0.101/kg from 0.6kg ss_sur £2.037→£2.164/kg, 0.035kg cu £10.070→£10.768/kg; premiums held</v>
      </c>
      <c r="J202" s="33" t="s">
        <v>1393</v>
      </c>
      <c r="K202" s="37" t="str">
        <f>IFERROR(INDEX(Mapping!$C$2:$C$549,MATCH($A202,Mapping!$A$2:$A$549,0)),"")</f>
        <v/>
      </c>
      <c r="L202" s="37">
        <f>IF($K202="",0,COUNTIFS('JLR Materials'!$A$2:$A$20001,$K202,'JLR Materials'!$C$2:$C$20001,IF(Settings!$B$2="","&lt;&gt;",Settings!$B$2),'JLR Materials'!$D$2:$D$20001,IF(Settings!$B$4="","&lt;&gt;",Settings!$B$4)))</f>
        <v>0</v>
      </c>
      <c r="M202" s="38">
        <f>IF($L202&lt;&gt;1,0,SUMIFS('JLR Materials'!$E$2:$E$20001,'JLR Materials'!$A$2:$A$20001,$K202,'JLR Materials'!$C$2:$C$20001,IF(Settings!$B$2="","&lt;&gt;",Settings!$B$2),'JLR Materials'!$D$2:$D$20001,IF(Settings!$B$4="","&lt;&gt;",Settings!$B$4)))</f>
        <v>0</v>
      </c>
      <c r="N202" s="39">
        <f>IF($L202&lt;&gt;1,0,SUMIFS('JLR Materials'!$F$2:$F$20001,'JLR Materials'!$A$2:$A$20001,$K202,'JLR Materials'!$C$2:$C$20001,IF(Settings!$B$2="","&lt;&gt;",Settings!$B$2),'JLR Materials'!$D$2:$D$20001,IF(Settings!$B$4="","&lt;&gt;",Settings!$B$4)))</f>
        <v>0</v>
      </c>
      <c r="O202" s="38">
        <f>IF($N202=0,0,IF(Settings!$B$5="percent",$M202*$N202/100,$N202))</f>
        <v>0</v>
      </c>
      <c r="P202" s="39">
        <f>IF($L202&lt;&gt;1,0,SUMIFS('JLR Materials'!$G$2:$G$20001,'JLR Materials'!$A$2:$A$20001,$K202,'JLR Materials'!$C$2:$C$20001,IF(Settings!$B$2="","&lt;&gt;",Settings!$B$2),'JLR Materials'!$D$2:$D$20001,IF(Settings!$B$4="","&lt;&gt;",Settings!$B$4)))</f>
        <v>0</v>
      </c>
      <c r="Q202" s="40" t="s">
        <v>1826</v>
      </c>
      <c r="R202" s="40" t="s">
        <v>1382</v>
      </c>
    </row>
    <row r="203" spans="1:18" x14ac:dyDescent="0.25">
      <c r="A203" s="32" t="s">
        <v>669</v>
      </c>
      <c r="B203" s="33" t="s">
        <v>1827</v>
      </c>
      <c r="C203" s="33" t="s">
        <v>1828</v>
      </c>
      <c r="D203" s="34">
        <f>IF($M203&gt;0,$M203,3.34)</f>
        <v>3.34</v>
      </c>
      <c r="E203" s="34">
        <f>IF($O203&gt;0,$O203,0.54)</f>
        <v>0.54</v>
      </c>
      <c r="F203" s="35">
        <v>2700</v>
      </c>
      <c r="G203" s="33" t="s">
        <v>1379</v>
      </c>
      <c r="H203" s="36" t="str">
        <f>IF($M203&gt;0,IF($L203&lt;&gt;1,$R203,IFERROR(INDEX('JLR Materials'!$D$2:$D$20001,MATCH($K203,'JLR Materials'!$A$2:$A$20001,0)),$R203)),$R203)</f>
        <v>2026-09</v>
      </c>
      <c r="I203" s="36" t="str">
        <f>IF($M203&gt;0,"JLR rate card — material code "&amp;$K203,$Q203)</f>
        <v>Index-anchored 2026-07 (see FORGING PRICING BASIS). General-purpose forged aluminium — brackets, fittings, structural; T6 heat-treatable, weldable. | Refresh 2026-09: −£0.060/kg from 0.97kg al £2.910→£2.849/kg; premiums held</v>
      </c>
      <c r="J203" s="33" t="s">
        <v>1380</v>
      </c>
      <c r="K203" s="37" t="str">
        <f>IFERROR(INDEX(Mapping!$C$2:$C$549,MATCH($A203,Mapping!$A$2:$A$549,0)),"")</f>
        <v/>
      </c>
      <c r="L203" s="37">
        <f>IF($K203="",0,COUNTIFS('JLR Materials'!$A$2:$A$20001,$K203,'JLR Materials'!$C$2:$C$20001,IF(Settings!$B$2="","&lt;&gt;",Settings!$B$2),'JLR Materials'!$D$2:$D$20001,IF(Settings!$B$4="","&lt;&gt;",Settings!$B$4)))</f>
        <v>0</v>
      </c>
      <c r="M203" s="38">
        <f>IF($L203&lt;&gt;1,0,SUMIFS('JLR Materials'!$E$2:$E$20001,'JLR Materials'!$A$2:$A$20001,$K203,'JLR Materials'!$C$2:$C$20001,IF(Settings!$B$2="","&lt;&gt;",Settings!$B$2),'JLR Materials'!$D$2:$D$20001,IF(Settings!$B$4="","&lt;&gt;",Settings!$B$4)))</f>
        <v>0</v>
      </c>
      <c r="N203" s="39">
        <f>IF($L203&lt;&gt;1,0,SUMIFS('JLR Materials'!$F$2:$F$20001,'JLR Materials'!$A$2:$A$20001,$K203,'JLR Materials'!$C$2:$C$20001,IF(Settings!$B$2="","&lt;&gt;",Settings!$B$2),'JLR Materials'!$D$2:$D$20001,IF(Settings!$B$4="","&lt;&gt;",Settings!$B$4)))</f>
        <v>0</v>
      </c>
      <c r="O203" s="38">
        <f>IF($N203=0,0,IF(Settings!$B$5="percent",$M203*$N203/100,$N203))</f>
        <v>0</v>
      </c>
      <c r="P203" s="39">
        <f>IF($L203&lt;&gt;1,0,SUMIFS('JLR Materials'!$G$2:$G$20001,'JLR Materials'!$A$2:$A$20001,$K203,'JLR Materials'!$C$2:$C$20001,IF(Settings!$B$2="","&lt;&gt;",Settings!$B$2),'JLR Materials'!$D$2:$D$20001,IF(Settings!$B$4="","&lt;&gt;",Settings!$B$4)))</f>
        <v>0</v>
      </c>
      <c r="Q203" s="40" t="s">
        <v>1829</v>
      </c>
      <c r="R203" s="40" t="s">
        <v>1382</v>
      </c>
    </row>
    <row r="204" spans="1:18" x14ac:dyDescent="0.25">
      <c r="A204" s="32" t="s">
        <v>671</v>
      </c>
      <c r="B204" s="33" t="s">
        <v>1830</v>
      </c>
      <c r="C204" s="33" t="s">
        <v>1828</v>
      </c>
      <c r="D204" s="34">
        <f>IF($M204&gt;0,$M204,3.24)</f>
        <v>3.24</v>
      </c>
      <c r="E204" s="34">
        <f>IF($O204&gt;0,$O204,0.54)</f>
        <v>0.54</v>
      </c>
      <c r="F204" s="35">
        <v>2700</v>
      </c>
      <c r="G204" s="33" t="s">
        <v>1379</v>
      </c>
      <c r="H204" s="36" t="str">
        <f>IF($M204&gt;0,IF($L204&lt;&gt;1,$R204,IFERROR(INDEX('JLR Materials'!$D$2:$D$20001,MATCH($K204,'JLR Materials'!$A$2:$A$20001,0)),$R204)),$R204)</f>
        <v>2026-09</v>
      </c>
      <c r="I204" s="36" t="str">
        <f>IF($M204&gt;0,"JLR rate card — material code "&amp;$K204,$Q204)</f>
        <v>Index-anchored 2026-07 (see FORGING PRICING BASIS). European structural forging alloy — suspension arms, chassis brackets; higher strength than 6061. | Refresh 2026-09: −£0.060/kg from 0.97kg al £2.910→£2.849/kg; premiums held</v>
      </c>
      <c r="J204" s="33" t="s">
        <v>1380</v>
      </c>
      <c r="K204" s="37" t="str">
        <f>IFERROR(INDEX(Mapping!$C$2:$C$549,MATCH($A204,Mapping!$A$2:$A$549,0)),"")</f>
        <v/>
      </c>
      <c r="L204" s="37">
        <f>IF($K204="",0,COUNTIFS('JLR Materials'!$A$2:$A$20001,$K204,'JLR Materials'!$C$2:$C$20001,IF(Settings!$B$2="","&lt;&gt;",Settings!$B$2),'JLR Materials'!$D$2:$D$20001,IF(Settings!$B$4="","&lt;&gt;",Settings!$B$4)))</f>
        <v>0</v>
      </c>
      <c r="M204" s="38">
        <f>IF($L204&lt;&gt;1,0,SUMIFS('JLR Materials'!$E$2:$E$20001,'JLR Materials'!$A$2:$A$20001,$K204,'JLR Materials'!$C$2:$C$20001,IF(Settings!$B$2="","&lt;&gt;",Settings!$B$2),'JLR Materials'!$D$2:$D$20001,IF(Settings!$B$4="","&lt;&gt;",Settings!$B$4)))</f>
        <v>0</v>
      </c>
      <c r="N204" s="39">
        <f>IF($L204&lt;&gt;1,0,SUMIFS('JLR Materials'!$F$2:$F$20001,'JLR Materials'!$A$2:$A$20001,$K204,'JLR Materials'!$C$2:$C$20001,IF(Settings!$B$2="","&lt;&gt;",Settings!$B$2),'JLR Materials'!$D$2:$D$20001,IF(Settings!$B$4="","&lt;&gt;",Settings!$B$4)))</f>
        <v>0</v>
      </c>
      <c r="O204" s="38">
        <f>IF($N204=0,0,IF(Settings!$B$5="percent",$M204*$N204/100,$N204))</f>
        <v>0</v>
      </c>
      <c r="P204" s="39">
        <f>IF($L204&lt;&gt;1,0,SUMIFS('JLR Materials'!$G$2:$G$20001,'JLR Materials'!$A$2:$A$20001,$K204,'JLR Materials'!$C$2:$C$20001,IF(Settings!$B$2="","&lt;&gt;",Settings!$B$2),'JLR Materials'!$D$2:$D$20001,IF(Settings!$B$4="","&lt;&gt;",Settings!$B$4)))</f>
        <v>0</v>
      </c>
      <c r="Q204" s="40" t="s">
        <v>1831</v>
      </c>
      <c r="R204" s="40" t="s">
        <v>1382</v>
      </c>
    </row>
    <row r="205" spans="1:18" x14ac:dyDescent="0.25">
      <c r="A205" s="32" t="s">
        <v>673</v>
      </c>
      <c r="B205" s="33" t="s">
        <v>1832</v>
      </c>
      <c r="C205" s="33" t="s">
        <v>1828</v>
      </c>
      <c r="D205" s="34">
        <f>IF($M205&gt;0,$M205,4.6)</f>
        <v>4.6</v>
      </c>
      <c r="E205" s="34">
        <f>IF($O205&gt;0,$O205,0.55)</f>
        <v>0.55</v>
      </c>
      <c r="F205" s="35">
        <v>2810</v>
      </c>
      <c r="G205" s="33" t="s">
        <v>1379</v>
      </c>
      <c r="H205" s="36" t="str">
        <f>IF($M205&gt;0,IF($L205&lt;&gt;1,$R205,IFERROR(INDEX('JLR Materials'!$D$2:$D$20001,MATCH($K205,'JLR Materials'!$A$2:$A$20001,0)),$R205)),$R205)</f>
        <v>2026-09</v>
      </c>
      <c r="I205" s="36" t="str">
        <f>IF($M205&gt;0,"JLR rate card — material code "&amp;$K205,$Q205)</f>
        <v>Index-anchored 2026-07 (see FORGING PRICING BASIS). High-strength Al-Zn — aerospace/defence structural forgings, motorsport uprights; T73 for SCC resistance. | Refresh 2026-09: +£0.004/kg from 0.89kg al £2.910→£2.849/kg, 0.06kg zn £2.164→£2.913/kg, 0.02kg cu £10.070→£10.768/kg; premiums held</v>
      </c>
      <c r="J205" s="33" t="s">
        <v>1380</v>
      </c>
      <c r="K205" s="37" t="str">
        <f>IFERROR(INDEX(Mapping!$C$2:$C$549,MATCH($A205,Mapping!$A$2:$A$549,0)),"")</f>
        <v/>
      </c>
      <c r="L205" s="37">
        <f>IF($K205="",0,COUNTIFS('JLR Materials'!$A$2:$A$20001,$K205,'JLR Materials'!$C$2:$C$20001,IF(Settings!$B$2="","&lt;&gt;",Settings!$B$2),'JLR Materials'!$D$2:$D$20001,IF(Settings!$B$4="","&lt;&gt;",Settings!$B$4)))</f>
        <v>0</v>
      </c>
      <c r="M205" s="38">
        <f>IF($L205&lt;&gt;1,0,SUMIFS('JLR Materials'!$E$2:$E$20001,'JLR Materials'!$A$2:$A$20001,$K205,'JLR Materials'!$C$2:$C$20001,IF(Settings!$B$2="","&lt;&gt;",Settings!$B$2),'JLR Materials'!$D$2:$D$20001,IF(Settings!$B$4="","&lt;&gt;",Settings!$B$4)))</f>
        <v>0</v>
      </c>
      <c r="N205" s="39">
        <f>IF($L205&lt;&gt;1,0,SUMIFS('JLR Materials'!$F$2:$F$20001,'JLR Materials'!$A$2:$A$20001,$K205,'JLR Materials'!$C$2:$C$20001,IF(Settings!$B$2="","&lt;&gt;",Settings!$B$2),'JLR Materials'!$D$2:$D$20001,IF(Settings!$B$4="","&lt;&gt;",Settings!$B$4)))</f>
        <v>0</v>
      </c>
      <c r="O205" s="38">
        <f>IF($N205=0,0,IF(Settings!$B$5="percent",$M205*$N205/100,$N205))</f>
        <v>0</v>
      </c>
      <c r="P205" s="39">
        <f>IF($L205&lt;&gt;1,0,SUMIFS('JLR Materials'!$G$2:$G$20001,'JLR Materials'!$A$2:$A$20001,$K205,'JLR Materials'!$C$2:$C$20001,IF(Settings!$B$2="","&lt;&gt;",Settings!$B$2),'JLR Materials'!$D$2:$D$20001,IF(Settings!$B$4="","&lt;&gt;",Settings!$B$4)))</f>
        <v>0</v>
      </c>
      <c r="Q205" s="40" t="s">
        <v>1833</v>
      </c>
      <c r="R205" s="40" t="s">
        <v>1382</v>
      </c>
    </row>
    <row r="206" spans="1:18" x14ac:dyDescent="0.25">
      <c r="A206" s="32" t="s">
        <v>675</v>
      </c>
      <c r="B206" s="33" t="s">
        <v>1834</v>
      </c>
      <c r="C206" s="33" t="s">
        <v>1828</v>
      </c>
      <c r="D206" s="34">
        <f>IF($M206&gt;0,$M206,5.18)</f>
        <v>5.18</v>
      </c>
      <c r="E206" s="34">
        <f>IF($O206&gt;0,$O206,0.55)</f>
        <v>0.55</v>
      </c>
      <c r="F206" s="35">
        <v>2760</v>
      </c>
      <c r="G206" s="33" t="s">
        <v>1379</v>
      </c>
      <c r="H206" s="36" t="str">
        <f>IF($M206&gt;0,IF($L206&lt;&gt;1,$R206,IFERROR(INDEX('JLR Materials'!$D$2:$D$20001,MATCH($K206,'JLR Materials'!$A$2:$A$20001,0)),$R206)),$R206)</f>
        <v>2026-09</v>
      </c>
      <c r="I206" s="36" t="str">
        <f>IF($M206&gt;0,"JLR rate card — material code "&amp;$K206,$Q206)</f>
        <v>Index-anchored 2026-07 (see FORGING PRICING BASIS). Elevated-temperature Al-Cu — forged pistons, compressor/turbo wheels; creep-resistant to ~200°C. | Refresh 2026-09: −£0.022/kg from 0.93kg al £2.910→£2.849/kg, 0.05kg cu £10.070→£10.768/kg; premiums held</v>
      </c>
      <c r="J206" s="33" t="s">
        <v>1393</v>
      </c>
      <c r="K206" s="37" t="str">
        <f>IFERROR(INDEX(Mapping!$C$2:$C$549,MATCH($A206,Mapping!$A$2:$A$549,0)),"")</f>
        <v/>
      </c>
      <c r="L206" s="37">
        <f>IF($K206="",0,COUNTIFS('JLR Materials'!$A$2:$A$20001,$K206,'JLR Materials'!$C$2:$C$20001,IF(Settings!$B$2="","&lt;&gt;",Settings!$B$2),'JLR Materials'!$D$2:$D$20001,IF(Settings!$B$4="","&lt;&gt;",Settings!$B$4)))</f>
        <v>0</v>
      </c>
      <c r="M206" s="38">
        <f>IF($L206&lt;&gt;1,0,SUMIFS('JLR Materials'!$E$2:$E$20001,'JLR Materials'!$A$2:$A$20001,$K206,'JLR Materials'!$C$2:$C$20001,IF(Settings!$B$2="","&lt;&gt;",Settings!$B$2),'JLR Materials'!$D$2:$D$20001,IF(Settings!$B$4="","&lt;&gt;",Settings!$B$4)))</f>
        <v>0</v>
      </c>
      <c r="N206" s="39">
        <f>IF($L206&lt;&gt;1,0,SUMIFS('JLR Materials'!$F$2:$F$20001,'JLR Materials'!$A$2:$A$20001,$K206,'JLR Materials'!$C$2:$C$20001,IF(Settings!$B$2="","&lt;&gt;",Settings!$B$2),'JLR Materials'!$D$2:$D$20001,IF(Settings!$B$4="","&lt;&gt;",Settings!$B$4)))</f>
        <v>0</v>
      </c>
      <c r="O206" s="38">
        <f>IF($N206=0,0,IF(Settings!$B$5="percent",$M206*$N206/100,$N206))</f>
        <v>0</v>
      </c>
      <c r="P206" s="39">
        <f>IF($L206&lt;&gt;1,0,SUMIFS('JLR Materials'!$G$2:$G$20001,'JLR Materials'!$A$2:$A$20001,$K206,'JLR Materials'!$C$2:$C$20001,IF(Settings!$B$2="","&lt;&gt;",Settings!$B$2),'JLR Materials'!$D$2:$D$20001,IF(Settings!$B$4="","&lt;&gt;",Settings!$B$4)))</f>
        <v>0</v>
      </c>
      <c r="Q206" s="40" t="s">
        <v>1835</v>
      </c>
      <c r="R206" s="40" t="s">
        <v>1382</v>
      </c>
    </row>
    <row r="207" spans="1:18" x14ac:dyDescent="0.25">
      <c r="A207" s="32" t="s">
        <v>677</v>
      </c>
      <c r="B207" s="33" t="s">
        <v>1836</v>
      </c>
      <c r="C207" s="33" t="s">
        <v>1837</v>
      </c>
      <c r="D207" s="34">
        <f>IF($M207&gt;0,$M207,25.59)</f>
        <v>25.59</v>
      </c>
      <c r="E207" s="34">
        <f>IF($O207&gt;0,$O207,3.94)</f>
        <v>3.94</v>
      </c>
      <c r="F207" s="35">
        <v>4510</v>
      </c>
      <c r="G207" s="33" t="s">
        <v>1379</v>
      </c>
      <c r="H207" s="36" t="str">
        <f>IF($M207&gt;0,IF($L207&lt;&gt;1,$R207,IFERROR(INDEX('JLR Materials'!$D$2:$D$20001,MATCH($K207,'JLR Materials'!$A$2:$A$20001,0)),$R207)),$R207)</f>
        <v>2026-09</v>
      </c>
      <c r="I207" s="36" t="str">
        <f>IF($M207&gt;0,"JLR rate card — material code "&amp;$K207,$Q207)</f>
        <v>Index-anchored 2026-07 (see FORGING PRICING BASIS). Commercially-pure titanium — chemical/marine, medical, corrosion service; readily forged/formed. | Refresh 2026-09: −£0.408/kg from 1kg ti £5.398→£4.989/kg; premiums held</v>
      </c>
      <c r="J207" s="33" t="s">
        <v>1393</v>
      </c>
      <c r="K207" s="37" t="str">
        <f>IFERROR(INDEX(Mapping!$C$2:$C$549,MATCH($A207,Mapping!$A$2:$A$549,0)),"")</f>
        <v/>
      </c>
      <c r="L207" s="37">
        <f>IF($K207="",0,COUNTIFS('JLR Materials'!$A$2:$A$20001,$K207,'JLR Materials'!$C$2:$C$20001,IF(Settings!$B$2="","&lt;&gt;",Settings!$B$2),'JLR Materials'!$D$2:$D$20001,IF(Settings!$B$4="","&lt;&gt;",Settings!$B$4)))</f>
        <v>0</v>
      </c>
      <c r="M207" s="38">
        <f>IF($L207&lt;&gt;1,0,SUMIFS('JLR Materials'!$E$2:$E$20001,'JLR Materials'!$A$2:$A$20001,$K207,'JLR Materials'!$C$2:$C$20001,IF(Settings!$B$2="","&lt;&gt;",Settings!$B$2),'JLR Materials'!$D$2:$D$20001,IF(Settings!$B$4="","&lt;&gt;",Settings!$B$4)))</f>
        <v>0</v>
      </c>
      <c r="N207" s="39">
        <f>IF($L207&lt;&gt;1,0,SUMIFS('JLR Materials'!$F$2:$F$20001,'JLR Materials'!$A$2:$A$20001,$K207,'JLR Materials'!$C$2:$C$20001,IF(Settings!$B$2="","&lt;&gt;",Settings!$B$2),'JLR Materials'!$D$2:$D$20001,IF(Settings!$B$4="","&lt;&gt;",Settings!$B$4)))</f>
        <v>0</v>
      </c>
      <c r="O207" s="38">
        <f>IF($N207=0,0,IF(Settings!$B$5="percent",$M207*$N207/100,$N207))</f>
        <v>0</v>
      </c>
      <c r="P207" s="39">
        <f>IF($L207&lt;&gt;1,0,SUMIFS('JLR Materials'!$G$2:$G$20001,'JLR Materials'!$A$2:$A$20001,$K207,'JLR Materials'!$C$2:$C$20001,IF(Settings!$B$2="","&lt;&gt;",Settings!$B$2),'JLR Materials'!$D$2:$D$20001,IF(Settings!$B$4="","&lt;&gt;",Settings!$B$4)))</f>
        <v>0</v>
      </c>
      <c r="Q207" s="40" t="s">
        <v>1838</v>
      </c>
      <c r="R207" s="40" t="s">
        <v>1382</v>
      </c>
    </row>
    <row r="208" spans="1:18" x14ac:dyDescent="0.25">
      <c r="A208" s="32" t="s">
        <v>679</v>
      </c>
      <c r="B208" s="33" t="s">
        <v>1839</v>
      </c>
      <c r="C208" s="33" t="s">
        <v>1837</v>
      </c>
      <c r="D208" s="34">
        <f>IF($M208&gt;0,$M208,37.63)</f>
        <v>37.63</v>
      </c>
      <c r="E208" s="34">
        <f>IF($O208&gt;0,$O208,5.45)</f>
        <v>5.45</v>
      </c>
      <c r="F208" s="35">
        <v>4430</v>
      </c>
      <c r="G208" s="33" t="s">
        <v>1379</v>
      </c>
      <c r="H208" s="36" t="str">
        <f>IF($M208&gt;0,IF($L208&lt;&gt;1,$R208,IFERROR(INDEX('JLR Materials'!$D$2:$D$20001,MATCH($K208,'JLR Materials'!$A$2:$A$20001,0)),$R208)),$R208)</f>
        <v>2026-09</v>
      </c>
      <c r="I208" s="36" t="str">
        <f>IF($M208&gt;0,"JLR rate card — material code "&amp;$K208,$Q208)</f>
        <v>Index-anchored 2026-07 (see FORGING PRICING BASIS). Workhorse aerospace/medical titanium — airframe/engine forgings, implants; high strength-to-weight, β-forged for toughness. | Refresh 2026-09: −£0.367/kg from 0.9kg ti £5.398→£4.989/kg; premiums held</v>
      </c>
      <c r="J208" s="33" t="s">
        <v>1393</v>
      </c>
      <c r="K208" s="37" t="str">
        <f>IFERROR(INDEX(Mapping!$C$2:$C$549,MATCH($A208,Mapping!$A$2:$A$549,0)),"")</f>
        <v/>
      </c>
      <c r="L208" s="37">
        <f>IF($K208="",0,COUNTIFS('JLR Materials'!$A$2:$A$20001,$K208,'JLR Materials'!$C$2:$C$20001,IF(Settings!$B$2="","&lt;&gt;",Settings!$B$2),'JLR Materials'!$D$2:$D$20001,IF(Settings!$B$4="","&lt;&gt;",Settings!$B$4)))</f>
        <v>0</v>
      </c>
      <c r="M208" s="38">
        <f>IF($L208&lt;&gt;1,0,SUMIFS('JLR Materials'!$E$2:$E$20001,'JLR Materials'!$A$2:$A$20001,$K208,'JLR Materials'!$C$2:$C$20001,IF(Settings!$B$2="","&lt;&gt;",Settings!$B$2),'JLR Materials'!$D$2:$D$20001,IF(Settings!$B$4="","&lt;&gt;",Settings!$B$4)))</f>
        <v>0</v>
      </c>
      <c r="N208" s="39">
        <f>IF($L208&lt;&gt;1,0,SUMIFS('JLR Materials'!$F$2:$F$20001,'JLR Materials'!$A$2:$A$20001,$K208,'JLR Materials'!$C$2:$C$20001,IF(Settings!$B$2="","&lt;&gt;",Settings!$B$2),'JLR Materials'!$D$2:$D$20001,IF(Settings!$B$4="","&lt;&gt;",Settings!$B$4)))</f>
        <v>0</v>
      </c>
      <c r="O208" s="38">
        <f>IF($N208=0,0,IF(Settings!$B$5="percent",$M208*$N208/100,$N208))</f>
        <v>0</v>
      </c>
      <c r="P208" s="39">
        <f>IF($L208&lt;&gt;1,0,SUMIFS('JLR Materials'!$G$2:$G$20001,'JLR Materials'!$A$2:$A$20001,$K208,'JLR Materials'!$C$2:$C$20001,IF(Settings!$B$2="","&lt;&gt;",Settings!$B$2),'JLR Materials'!$D$2:$D$20001,IF(Settings!$B$4="","&lt;&gt;",Settings!$B$4)))</f>
        <v>0</v>
      </c>
      <c r="Q208" s="40" t="s">
        <v>1840</v>
      </c>
      <c r="R208" s="40" t="s">
        <v>1382</v>
      </c>
    </row>
    <row r="209" spans="1:18" x14ac:dyDescent="0.25">
      <c r="A209" s="32" t="s">
        <v>681</v>
      </c>
      <c r="B209" s="33" t="s">
        <v>1841</v>
      </c>
      <c r="C209" s="33" t="s">
        <v>1842</v>
      </c>
      <c r="D209" s="34">
        <f>IF($M209&gt;0,$M209,44.04)</f>
        <v>44.04</v>
      </c>
      <c r="E209" s="34">
        <f>IF($O209&gt;0,$O209,8.01)</f>
        <v>8.01</v>
      </c>
      <c r="F209" s="35">
        <v>8190</v>
      </c>
      <c r="G209" s="33" t="s">
        <v>1379</v>
      </c>
      <c r="H209" s="36" t="str">
        <f>IF($M209&gt;0,IF($L209&lt;&gt;1,$R209,IFERROR(INDEX('JLR Materials'!$D$2:$D$20001,MATCH($K209,'JLR Materials'!$A$2:$A$20001,0)),$R209)),$R209)</f>
        <v>2026-09</v>
      </c>
      <c r="I209" s="36" t="str">
        <f>IF($M209&gt;0,"JLR rate card — material code "&amp;$K209,$Q209)</f>
        <v>Index-anchored 2026-07 (see FORGING PRICING BASIS). Age-hardenable Ni-Cr superalloy — turbine discs, shafts, rings; VIM/VAR remelt, high hot-strength. | Refresh 2026-09: +£0.040/kg from 0.53kg ni £12.302→£12.378/kg, 0.03kg mo £1.000→£1.000/kg; premiums held</v>
      </c>
      <c r="J209" s="33" t="s">
        <v>1393</v>
      </c>
      <c r="K209" s="37" t="str">
        <f>IFERROR(INDEX(Mapping!$C$2:$C$549,MATCH($A209,Mapping!$A$2:$A$549,0)),"")</f>
        <v/>
      </c>
      <c r="L209" s="37">
        <f>IF($K209="",0,COUNTIFS('JLR Materials'!$A$2:$A$20001,$K209,'JLR Materials'!$C$2:$C$20001,IF(Settings!$B$2="","&lt;&gt;",Settings!$B$2),'JLR Materials'!$D$2:$D$20001,IF(Settings!$B$4="","&lt;&gt;",Settings!$B$4)))</f>
        <v>0</v>
      </c>
      <c r="M209" s="38">
        <f>IF($L209&lt;&gt;1,0,SUMIFS('JLR Materials'!$E$2:$E$20001,'JLR Materials'!$A$2:$A$20001,$K209,'JLR Materials'!$C$2:$C$20001,IF(Settings!$B$2="","&lt;&gt;",Settings!$B$2),'JLR Materials'!$D$2:$D$20001,IF(Settings!$B$4="","&lt;&gt;",Settings!$B$4)))</f>
        <v>0</v>
      </c>
      <c r="N209" s="39">
        <f>IF($L209&lt;&gt;1,0,SUMIFS('JLR Materials'!$F$2:$F$20001,'JLR Materials'!$A$2:$A$20001,$K209,'JLR Materials'!$C$2:$C$20001,IF(Settings!$B$2="","&lt;&gt;",Settings!$B$2),'JLR Materials'!$D$2:$D$20001,IF(Settings!$B$4="","&lt;&gt;",Settings!$B$4)))</f>
        <v>0</v>
      </c>
      <c r="O209" s="38">
        <f>IF($N209=0,0,IF(Settings!$B$5="percent",$M209*$N209/100,$N209))</f>
        <v>0</v>
      </c>
      <c r="P209" s="39">
        <f>IF($L209&lt;&gt;1,0,SUMIFS('JLR Materials'!$G$2:$G$20001,'JLR Materials'!$A$2:$A$20001,$K209,'JLR Materials'!$C$2:$C$20001,IF(Settings!$B$2="","&lt;&gt;",Settings!$B$2),'JLR Materials'!$D$2:$D$20001,IF(Settings!$B$4="","&lt;&gt;",Settings!$B$4)))</f>
        <v>0</v>
      </c>
      <c r="Q209" s="40" t="s">
        <v>1843</v>
      </c>
      <c r="R209" s="40" t="s">
        <v>1382</v>
      </c>
    </row>
    <row r="210" spans="1:18" x14ac:dyDescent="0.25">
      <c r="A210" s="32" t="s">
        <v>683</v>
      </c>
      <c r="B210" s="33" t="s">
        <v>1844</v>
      </c>
      <c r="C210" s="33" t="s">
        <v>1842</v>
      </c>
      <c r="D210" s="34">
        <f>IF($M210&gt;0,$M210,70.04)</f>
        <v>70.04</v>
      </c>
      <c r="E210" s="34">
        <f>IF($O210&gt;0,$O210,12.01)</f>
        <v>12.01</v>
      </c>
      <c r="F210" s="35">
        <v>8190</v>
      </c>
      <c r="G210" s="33" t="s">
        <v>1379</v>
      </c>
      <c r="H210" s="36" t="str">
        <f>IF($M210&gt;0,IF($L210&lt;&gt;1,$R210,IFERROR(INDEX('JLR Materials'!$D$2:$D$20001,MATCH($K210,'JLR Materials'!$A$2:$A$20001,0)),$R210)),$R210)</f>
        <v>2026-09</v>
      </c>
      <c r="I210" s="36" t="str">
        <f>IF($M210&gt;0,"JLR rate card — material code "&amp;$K210,$Q210)</f>
        <v>Index-anchored 2026-07 (see FORGING PRICING BASIS). Co-strengthened Ni superalloy — hot-section turbine discs, seals; retains strength to ~700°C, Co adder over 718. | Refresh 2026-09: +£0.044/kg from 0.58kg ni £12.302→£12.378/kg, 0.13kg co £1.000→£1.000/kg, 0.04kg mo £1.000→£1.000/kg; premiums held</v>
      </c>
      <c r="J210" s="33" t="s">
        <v>1393</v>
      </c>
      <c r="K210" s="37" t="str">
        <f>IFERROR(INDEX(Mapping!$C$2:$C$549,MATCH($A210,Mapping!$A$2:$A$549,0)),"")</f>
        <v/>
      </c>
      <c r="L210" s="37">
        <f>IF($K210="",0,COUNTIFS('JLR Materials'!$A$2:$A$20001,$K210,'JLR Materials'!$C$2:$C$20001,IF(Settings!$B$2="","&lt;&gt;",Settings!$B$2),'JLR Materials'!$D$2:$D$20001,IF(Settings!$B$4="","&lt;&gt;",Settings!$B$4)))</f>
        <v>0</v>
      </c>
      <c r="M210" s="38">
        <f>IF($L210&lt;&gt;1,0,SUMIFS('JLR Materials'!$E$2:$E$20001,'JLR Materials'!$A$2:$A$20001,$K210,'JLR Materials'!$C$2:$C$20001,IF(Settings!$B$2="","&lt;&gt;",Settings!$B$2),'JLR Materials'!$D$2:$D$20001,IF(Settings!$B$4="","&lt;&gt;",Settings!$B$4)))</f>
        <v>0</v>
      </c>
      <c r="N210" s="39">
        <f>IF($L210&lt;&gt;1,0,SUMIFS('JLR Materials'!$F$2:$F$20001,'JLR Materials'!$A$2:$A$20001,$K210,'JLR Materials'!$C$2:$C$20001,IF(Settings!$B$2="","&lt;&gt;",Settings!$B$2),'JLR Materials'!$D$2:$D$20001,IF(Settings!$B$4="","&lt;&gt;",Settings!$B$4)))</f>
        <v>0</v>
      </c>
      <c r="O210" s="38">
        <f>IF($N210=0,0,IF(Settings!$B$5="percent",$M210*$N210/100,$N210))</f>
        <v>0</v>
      </c>
      <c r="P210" s="39">
        <f>IF($L210&lt;&gt;1,0,SUMIFS('JLR Materials'!$G$2:$G$20001,'JLR Materials'!$A$2:$A$20001,$K210,'JLR Materials'!$C$2:$C$20001,IF(Settings!$B$2="","&lt;&gt;",Settings!$B$2),'JLR Materials'!$D$2:$D$20001,IF(Settings!$B$4="","&lt;&gt;",Settings!$B$4)))</f>
        <v>0</v>
      </c>
      <c r="Q210" s="40" t="s">
        <v>1845</v>
      </c>
      <c r="R210" s="40" t="s">
        <v>1382</v>
      </c>
    </row>
    <row r="211" spans="1:18" x14ac:dyDescent="0.25">
      <c r="A211" s="32" t="s">
        <v>685</v>
      </c>
      <c r="B211" s="33" t="s">
        <v>1846</v>
      </c>
      <c r="C211" s="33" t="s">
        <v>1842</v>
      </c>
      <c r="D211" s="34">
        <f>IF($M211&gt;0,$M211,38.05)</f>
        <v>38.05</v>
      </c>
      <c r="E211" s="34">
        <f>IF($O211&gt;0,$O211,7.01)</f>
        <v>7.01</v>
      </c>
      <c r="F211" s="35">
        <v>8440</v>
      </c>
      <c r="G211" s="33" t="s">
        <v>1379</v>
      </c>
      <c r="H211" s="36" t="str">
        <f>IF($M211&gt;0,IF($L211&lt;&gt;1,$R211,IFERROR(INDEX('JLR Materials'!$D$2:$D$20001,MATCH($K211,'JLR Materials'!$A$2:$A$20001,0)),$R211)),$R211)</f>
        <v>2026-09</v>
      </c>
      <c r="I211" s="36" t="str">
        <f>IF($M211&gt;0,"JLR rate card — material code "&amp;$K211,$Q211)</f>
        <v>Index-anchored 2026-07 (see FORGING PRICING BASIS). Solid-solution Ni-Cr-Mo — marine/chemical, exhaust, subsea; excellent corrosion + weldability, non-age-hardening. | Refresh 2026-09: +£0.046/kg from 0.61kg ni £12.302→£12.378/kg, 0.09kg mo £1.000→£1.000/kg; premiums held</v>
      </c>
      <c r="J211" s="33" t="s">
        <v>1393</v>
      </c>
      <c r="K211" s="37" t="str">
        <f>IFERROR(INDEX(Mapping!$C$2:$C$549,MATCH($A211,Mapping!$A$2:$A$549,0)),"")</f>
        <v/>
      </c>
      <c r="L211" s="37">
        <f>IF($K211="",0,COUNTIFS('JLR Materials'!$A$2:$A$20001,$K211,'JLR Materials'!$C$2:$C$20001,IF(Settings!$B$2="","&lt;&gt;",Settings!$B$2),'JLR Materials'!$D$2:$D$20001,IF(Settings!$B$4="","&lt;&gt;",Settings!$B$4)))</f>
        <v>0</v>
      </c>
      <c r="M211" s="38">
        <f>IF($L211&lt;&gt;1,0,SUMIFS('JLR Materials'!$E$2:$E$20001,'JLR Materials'!$A$2:$A$20001,$K211,'JLR Materials'!$C$2:$C$20001,IF(Settings!$B$2="","&lt;&gt;",Settings!$B$2),'JLR Materials'!$D$2:$D$20001,IF(Settings!$B$4="","&lt;&gt;",Settings!$B$4)))</f>
        <v>0</v>
      </c>
      <c r="N211" s="39">
        <f>IF($L211&lt;&gt;1,0,SUMIFS('JLR Materials'!$F$2:$F$20001,'JLR Materials'!$A$2:$A$20001,$K211,'JLR Materials'!$C$2:$C$20001,IF(Settings!$B$2="","&lt;&gt;",Settings!$B$2),'JLR Materials'!$D$2:$D$20001,IF(Settings!$B$4="","&lt;&gt;",Settings!$B$4)))</f>
        <v>0</v>
      </c>
      <c r="O211" s="38">
        <f>IF($N211=0,0,IF(Settings!$B$5="percent",$M211*$N211/100,$N211))</f>
        <v>0</v>
      </c>
      <c r="P211" s="39">
        <f>IF($L211&lt;&gt;1,0,SUMIFS('JLR Materials'!$G$2:$G$20001,'JLR Materials'!$A$2:$A$20001,$K211,'JLR Materials'!$C$2:$C$20001,IF(Settings!$B$2="","&lt;&gt;",Settings!$B$2),'JLR Materials'!$D$2:$D$20001,IF(Settings!$B$4="","&lt;&gt;",Settings!$B$4)))</f>
        <v>0</v>
      </c>
      <c r="Q211" s="40" t="s">
        <v>1847</v>
      </c>
      <c r="R211" s="40" t="s">
        <v>1382</v>
      </c>
    </row>
    <row r="212" spans="1:18" x14ac:dyDescent="0.25">
      <c r="A212" s="32" t="s">
        <v>687</v>
      </c>
      <c r="B212" s="33" t="s">
        <v>1848</v>
      </c>
      <c r="C212" s="33" t="s">
        <v>1842</v>
      </c>
      <c r="D212" s="34">
        <f>IF($M212&gt;0,$M212,55.04)</f>
        <v>55.04</v>
      </c>
      <c r="E212" s="34">
        <f>IF($O212&gt;0,$O212,9.01)</f>
        <v>9.01</v>
      </c>
      <c r="F212" s="35">
        <v>8890</v>
      </c>
      <c r="G212" s="33" t="s">
        <v>1379</v>
      </c>
      <c r="H212" s="36" t="str">
        <f>IF($M212&gt;0,IF($L212&lt;&gt;1,$R212,IFERROR(INDEX('JLR Materials'!$D$2:$D$20001,MATCH($K212,'JLR Materials'!$A$2:$A$20001,0)),$R212)),$R212)</f>
        <v>2026-09</v>
      </c>
      <c r="I212" s="36" t="str">
        <f>IF($M212&gt;0,"JLR rate card — material code "&amp;$K212,$Q212)</f>
        <v>Index-anchored 2026-07 (see FORGING PRICING BASIS). Ni-Mo-Cr — severe chemical/acid, flue-gas, subsea valves; outstanding pitting/crevice resistance, high Mo adder. | Refresh 2026-09: +£0.043/kg from 0.57kg ni £12.302→£12.378/kg, 0.16kg mo £1.000→£1.000/kg; premiums held</v>
      </c>
      <c r="J212" s="33" t="s">
        <v>1393</v>
      </c>
      <c r="K212" s="37" t="str">
        <f>IFERROR(INDEX(Mapping!$C$2:$C$549,MATCH($A212,Mapping!$A$2:$A$549,0)),"")</f>
        <v/>
      </c>
      <c r="L212" s="37">
        <f>IF($K212="",0,COUNTIFS('JLR Materials'!$A$2:$A$20001,$K212,'JLR Materials'!$C$2:$C$20001,IF(Settings!$B$2="","&lt;&gt;",Settings!$B$2),'JLR Materials'!$D$2:$D$20001,IF(Settings!$B$4="","&lt;&gt;",Settings!$B$4)))</f>
        <v>0</v>
      </c>
      <c r="M212" s="38">
        <f>IF($L212&lt;&gt;1,0,SUMIFS('JLR Materials'!$E$2:$E$20001,'JLR Materials'!$A$2:$A$20001,$K212,'JLR Materials'!$C$2:$C$20001,IF(Settings!$B$2="","&lt;&gt;",Settings!$B$2),'JLR Materials'!$D$2:$D$20001,IF(Settings!$B$4="","&lt;&gt;",Settings!$B$4)))</f>
        <v>0</v>
      </c>
      <c r="N212" s="39">
        <f>IF($L212&lt;&gt;1,0,SUMIFS('JLR Materials'!$F$2:$F$20001,'JLR Materials'!$A$2:$A$20001,$K212,'JLR Materials'!$C$2:$C$20001,IF(Settings!$B$2="","&lt;&gt;",Settings!$B$2),'JLR Materials'!$D$2:$D$20001,IF(Settings!$B$4="","&lt;&gt;",Settings!$B$4)))</f>
        <v>0</v>
      </c>
      <c r="O212" s="38">
        <f>IF($N212=0,0,IF(Settings!$B$5="percent",$M212*$N212/100,$N212))</f>
        <v>0</v>
      </c>
      <c r="P212" s="39">
        <f>IF($L212&lt;&gt;1,0,SUMIFS('JLR Materials'!$G$2:$G$20001,'JLR Materials'!$A$2:$A$20001,$K212,'JLR Materials'!$C$2:$C$20001,IF(Settings!$B$2="","&lt;&gt;",Settings!$B$2),'JLR Materials'!$D$2:$D$20001,IF(Settings!$B$4="","&lt;&gt;",Settings!$B$4)))</f>
        <v>0</v>
      </c>
      <c r="Q212" s="40" t="s">
        <v>1849</v>
      </c>
      <c r="R212" s="40" t="s">
        <v>1382</v>
      </c>
    </row>
    <row r="213" spans="1:18" x14ac:dyDescent="0.25">
      <c r="A213" s="32" t="s">
        <v>689</v>
      </c>
      <c r="B213" s="33" t="s">
        <v>1850</v>
      </c>
      <c r="C213" s="33" t="s">
        <v>1851</v>
      </c>
      <c r="D213" s="34">
        <f>IF($M213&gt;0,$M213,28.27)</f>
        <v>28.27</v>
      </c>
      <c r="E213" s="34">
        <f>IF($O213&gt;0,$O213,5.05)</f>
        <v>5.05</v>
      </c>
      <c r="F213" s="35">
        <v>8800</v>
      </c>
      <c r="G213" s="33" t="s">
        <v>1379</v>
      </c>
      <c r="H213" s="36" t="str">
        <f>IF($M213&gt;0,IF($L213&lt;&gt;1,$R213,IFERROR(INDEX('JLR Materials'!$D$2:$D$20001,MATCH($K213,'JLR Materials'!$A$2:$A$20001,0)),$R213)),$R213)</f>
        <v>2026-09</v>
      </c>
      <c r="I213" s="36" t="str">
        <f>IF($M213&gt;0,"JLR rate card — material code "&amp;$K213,$Q213)</f>
        <v>Index-anchored 2026-07 (see FORGING PRICING BASIS). Ni-Cu — marine shafting, valves, seawater service; resists chlorides and HF, non-hardenable. | Refresh 2026-09: +£0.267/kg from 0.66kg ni £12.302→£12.378/kg, 0.31kg cu £10.070→£10.768/kg; premiums held</v>
      </c>
      <c r="J213" s="33" t="s">
        <v>1393</v>
      </c>
      <c r="K213" s="37" t="str">
        <f>IFERROR(INDEX(Mapping!$C$2:$C$549,MATCH($A213,Mapping!$A$2:$A$549,0)),"")</f>
        <v/>
      </c>
      <c r="L213" s="37">
        <f>IF($K213="",0,COUNTIFS('JLR Materials'!$A$2:$A$20001,$K213,'JLR Materials'!$C$2:$C$20001,IF(Settings!$B$2="","&lt;&gt;",Settings!$B$2),'JLR Materials'!$D$2:$D$20001,IF(Settings!$B$4="","&lt;&gt;",Settings!$B$4)))</f>
        <v>0</v>
      </c>
      <c r="M213" s="38">
        <f>IF($L213&lt;&gt;1,0,SUMIFS('JLR Materials'!$E$2:$E$20001,'JLR Materials'!$A$2:$A$20001,$K213,'JLR Materials'!$C$2:$C$20001,IF(Settings!$B$2="","&lt;&gt;",Settings!$B$2),'JLR Materials'!$D$2:$D$20001,IF(Settings!$B$4="","&lt;&gt;",Settings!$B$4)))</f>
        <v>0</v>
      </c>
      <c r="N213" s="39">
        <f>IF($L213&lt;&gt;1,0,SUMIFS('JLR Materials'!$F$2:$F$20001,'JLR Materials'!$A$2:$A$20001,$K213,'JLR Materials'!$C$2:$C$20001,IF(Settings!$B$2="","&lt;&gt;",Settings!$B$2),'JLR Materials'!$D$2:$D$20001,IF(Settings!$B$4="","&lt;&gt;",Settings!$B$4)))</f>
        <v>0</v>
      </c>
      <c r="O213" s="38">
        <f>IF($N213=0,0,IF(Settings!$B$5="percent",$M213*$N213/100,$N213))</f>
        <v>0</v>
      </c>
      <c r="P213" s="39">
        <f>IF($L213&lt;&gt;1,0,SUMIFS('JLR Materials'!$G$2:$G$20001,'JLR Materials'!$A$2:$A$20001,$K213,'JLR Materials'!$C$2:$C$20001,IF(Settings!$B$2="","&lt;&gt;",Settings!$B$2),'JLR Materials'!$D$2:$D$20001,IF(Settings!$B$4="","&lt;&gt;",Settings!$B$4)))</f>
        <v>0</v>
      </c>
      <c r="Q213" s="40" t="s">
        <v>1852</v>
      </c>
      <c r="R213" s="40" t="s">
        <v>1382</v>
      </c>
    </row>
    <row r="214" spans="1:18" x14ac:dyDescent="0.25">
      <c r="A214" s="32" t="s">
        <v>691</v>
      </c>
      <c r="B214" s="33" t="s">
        <v>1853</v>
      </c>
      <c r="C214" s="33" t="s">
        <v>1837</v>
      </c>
      <c r="D214" s="34">
        <f>IF($M214&gt;0,$M214,51.65)</f>
        <v>51.65</v>
      </c>
      <c r="E214" s="34">
        <f>IF($O214&gt;0,$O214,6.46)</f>
        <v>6.46</v>
      </c>
      <c r="F214" s="35">
        <v>4540</v>
      </c>
      <c r="G214" s="33" t="s">
        <v>1379</v>
      </c>
      <c r="H214" s="36" t="str">
        <f>IF($M214&gt;0,IF($L214&lt;&gt;1,$R214,IFERROR(INDEX('JLR Materials'!$D$2:$D$20001,MATCH($K214,'JLR Materials'!$A$2:$A$20001,0)),$R214)),$R214)</f>
        <v>2026-09</v>
      </c>
      <c r="I214" s="36" t="str">
        <f>IF($M214&gt;0,"JLR rate card — material code "&amp;$K214,$Q214)</f>
        <v>Index-anchored 2026-07 (see FORGING PRICING BASIS). Near-α high-temp titanium — compressor discs/blades to ~540°C, engine forgings; premium over Ti-6Al-4V. | Refresh 2026-09: −£0.351/kg from 0.86kg ti £5.398→£4.989/kg; premiums held</v>
      </c>
      <c r="J214" s="33" t="s">
        <v>1393</v>
      </c>
      <c r="K214" s="37" t="str">
        <f>IFERROR(INDEX(Mapping!$C$2:$C$549,MATCH($A214,Mapping!$A$2:$A$549,0)),"")</f>
        <v/>
      </c>
      <c r="L214" s="37">
        <f>IF($K214="",0,COUNTIFS('JLR Materials'!$A$2:$A$20001,$K214,'JLR Materials'!$C$2:$C$20001,IF(Settings!$B$2="","&lt;&gt;",Settings!$B$2),'JLR Materials'!$D$2:$D$20001,IF(Settings!$B$4="","&lt;&gt;",Settings!$B$4)))</f>
        <v>0</v>
      </c>
      <c r="M214" s="38">
        <f>IF($L214&lt;&gt;1,0,SUMIFS('JLR Materials'!$E$2:$E$20001,'JLR Materials'!$A$2:$A$20001,$K214,'JLR Materials'!$C$2:$C$20001,IF(Settings!$B$2="","&lt;&gt;",Settings!$B$2),'JLR Materials'!$D$2:$D$20001,IF(Settings!$B$4="","&lt;&gt;",Settings!$B$4)))</f>
        <v>0</v>
      </c>
      <c r="N214" s="39">
        <f>IF($L214&lt;&gt;1,0,SUMIFS('JLR Materials'!$F$2:$F$20001,'JLR Materials'!$A$2:$A$20001,$K214,'JLR Materials'!$C$2:$C$20001,IF(Settings!$B$2="","&lt;&gt;",Settings!$B$2),'JLR Materials'!$D$2:$D$20001,IF(Settings!$B$4="","&lt;&gt;",Settings!$B$4)))</f>
        <v>0</v>
      </c>
      <c r="O214" s="38">
        <f>IF($N214=0,0,IF(Settings!$B$5="percent",$M214*$N214/100,$N214))</f>
        <v>0</v>
      </c>
      <c r="P214" s="39">
        <f>IF($L214&lt;&gt;1,0,SUMIFS('JLR Materials'!$G$2:$G$20001,'JLR Materials'!$A$2:$A$20001,$K214,'JLR Materials'!$C$2:$C$20001,IF(Settings!$B$2="","&lt;&gt;",Settings!$B$2),'JLR Materials'!$D$2:$D$20001,IF(Settings!$B$4="","&lt;&gt;",Settings!$B$4)))</f>
        <v>0</v>
      </c>
      <c r="Q214" s="40" t="s">
        <v>1854</v>
      </c>
      <c r="R214" s="40" t="s">
        <v>1382</v>
      </c>
    </row>
    <row r="215" spans="1:18" x14ac:dyDescent="0.25">
      <c r="A215" s="32" t="s">
        <v>693</v>
      </c>
      <c r="B215" s="33" t="s">
        <v>1855</v>
      </c>
      <c r="C215" s="33" t="s">
        <v>1828</v>
      </c>
      <c r="D215" s="34">
        <f>IF($M215&gt;0,$M215,8.5)</f>
        <v>8.5</v>
      </c>
      <c r="E215" s="34">
        <f>IF($O215&gt;0,$O215,1.1)</f>
        <v>1.1</v>
      </c>
      <c r="F215" s="35">
        <v>2830</v>
      </c>
      <c r="G215" s="33" t="s">
        <v>1379</v>
      </c>
      <c r="H215" s="36" t="str">
        <f>IF($M215&gt;0,IF($L215&lt;&gt;1,$R215,IFERROR(INDEX('JLR Materials'!$D$2:$D$20001,MATCH($K215,'JLR Materials'!$A$2:$A$20001,0)),$R215)),$R215)</f>
        <v>2026-09</v>
      </c>
      <c r="I215" s="36" t="str">
        <f>IF($M215&gt;0,"JLR rate card — material code "&amp;$K215,$Q215)</f>
        <v>Index-anchored 2026-07 (see FORGING PRICING BASIS). High-strength aerospace 7xxx — thick-section airframe fittings, bulkheads; better SCC resistance than 7075. | Refresh 2026-09: +£0.004/kg from 0.89kg al £2.910→£2.849/kg, 0.06kg zn £2.164→£2.913/kg, 0.02kg cu £10.070→£10.768/kg; premiums held</v>
      </c>
      <c r="J215" s="33" t="s">
        <v>1393</v>
      </c>
      <c r="K215" s="37" t="str">
        <f>IFERROR(INDEX(Mapping!$C$2:$C$549,MATCH($A215,Mapping!$A$2:$A$549,0)),"")</f>
        <v/>
      </c>
      <c r="L215" s="37">
        <f>IF($K215="",0,COUNTIFS('JLR Materials'!$A$2:$A$20001,$K215,'JLR Materials'!$C$2:$C$20001,IF(Settings!$B$2="","&lt;&gt;",Settings!$B$2),'JLR Materials'!$D$2:$D$20001,IF(Settings!$B$4="","&lt;&gt;",Settings!$B$4)))</f>
        <v>0</v>
      </c>
      <c r="M215" s="38">
        <f>IF($L215&lt;&gt;1,0,SUMIFS('JLR Materials'!$E$2:$E$20001,'JLR Materials'!$A$2:$A$20001,$K215,'JLR Materials'!$C$2:$C$20001,IF(Settings!$B$2="","&lt;&gt;",Settings!$B$2),'JLR Materials'!$D$2:$D$20001,IF(Settings!$B$4="","&lt;&gt;",Settings!$B$4)))</f>
        <v>0</v>
      </c>
      <c r="N215" s="39">
        <f>IF($L215&lt;&gt;1,0,SUMIFS('JLR Materials'!$F$2:$F$20001,'JLR Materials'!$A$2:$A$20001,$K215,'JLR Materials'!$C$2:$C$20001,IF(Settings!$B$2="","&lt;&gt;",Settings!$B$2),'JLR Materials'!$D$2:$D$20001,IF(Settings!$B$4="","&lt;&gt;",Settings!$B$4)))</f>
        <v>0</v>
      </c>
      <c r="O215" s="38">
        <f>IF($N215=0,0,IF(Settings!$B$5="percent",$M215*$N215/100,$N215))</f>
        <v>0</v>
      </c>
      <c r="P215" s="39">
        <f>IF($L215&lt;&gt;1,0,SUMIFS('JLR Materials'!$G$2:$G$20001,'JLR Materials'!$A$2:$A$20001,$K215,'JLR Materials'!$C$2:$C$20001,IF(Settings!$B$2="","&lt;&gt;",Settings!$B$2),'JLR Materials'!$D$2:$D$20001,IF(Settings!$B$4="","&lt;&gt;",Settings!$B$4)))</f>
        <v>0</v>
      </c>
      <c r="Q215" s="40" t="s">
        <v>1856</v>
      </c>
      <c r="R215" s="40" t="s">
        <v>1382</v>
      </c>
    </row>
    <row r="216" spans="1:18" x14ac:dyDescent="0.25">
      <c r="A216" s="32" t="s">
        <v>695</v>
      </c>
      <c r="B216" s="33" t="s">
        <v>1857</v>
      </c>
      <c r="C216" s="33" t="s">
        <v>1858</v>
      </c>
      <c r="D216" s="34">
        <f>IF($M216&gt;0,$M216,6.31)</f>
        <v>6.31</v>
      </c>
      <c r="E216" s="34">
        <f>IF($O216&gt;0,$O216,0.87)</f>
        <v>0.87</v>
      </c>
      <c r="F216" s="35">
        <v>1770</v>
      </c>
      <c r="G216" s="33" t="s">
        <v>1379</v>
      </c>
      <c r="H216" s="36" t="str">
        <f>IF($M216&gt;0,IF($L216&lt;&gt;1,$R216,IFERROR(INDEX('JLR Materials'!$D$2:$D$20001,MATCH($K216,'JLR Materials'!$A$2:$A$20001,0)),$R216)),$R216)</f>
        <v>2026-09</v>
      </c>
      <c r="I216" s="36" t="str">
        <f>IF($M216&gt;0,"JLR rate card — material code "&amp;$K216,$Q216)</f>
        <v>Index-anchored 2026-07 (see FORGING PRICING BASIS). Wrought Mg-Al-Zn — lightweight brackets, aerospace/defence, portable structures; forged warm (~300–400°C). | Refresh 2026-09: −£0.192/kg from 0.96kg mg £1.972→£1.773/kg, 0.03kg al £2.910→£2.849/kg; premiums held</v>
      </c>
      <c r="J216" s="33" t="s">
        <v>1393</v>
      </c>
      <c r="K216" s="37" t="str">
        <f>IFERROR(INDEX(Mapping!$C$2:$C$549,MATCH($A216,Mapping!$A$2:$A$549,0)),"")</f>
        <v/>
      </c>
      <c r="L216" s="37">
        <f>IF($K216="",0,COUNTIFS('JLR Materials'!$A$2:$A$20001,$K216,'JLR Materials'!$C$2:$C$20001,IF(Settings!$B$2="","&lt;&gt;",Settings!$B$2),'JLR Materials'!$D$2:$D$20001,IF(Settings!$B$4="","&lt;&gt;",Settings!$B$4)))</f>
        <v>0</v>
      </c>
      <c r="M216" s="38">
        <f>IF($L216&lt;&gt;1,0,SUMIFS('JLR Materials'!$E$2:$E$20001,'JLR Materials'!$A$2:$A$20001,$K216,'JLR Materials'!$C$2:$C$20001,IF(Settings!$B$2="","&lt;&gt;",Settings!$B$2),'JLR Materials'!$D$2:$D$20001,IF(Settings!$B$4="","&lt;&gt;",Settings!$B$4)))</f>
        <v>0</v>
      </c>
      <c r="N216" s="39">
        <f>IF($L216&lt;&gt;1,0,SUMIFS('JLR Materials'!$F$2:$F$20001,'JLR Materials'!$A$2:$A$20001,$K216,'JLR Materials'!$C$2:$C$20001,IF(Settings!$B$2="","&lt;&gt;",Settings!$B$2),'JLR Materials'!$D$2:$D$20001,IF(Settings!$B$4="","&lt;&gt;",Settings!$B$4)))</f>
        <v>0</v>
      </c>
      <c r="O216" s="38">
        <f>IF($N216=0,0,IF(Settings!$B$5="percent",$M216*$N216/100,$N216))</f>
        <v>0</v>
      </c>
      <c r="P216" s="39">
        <f>IF($L216&lt;&gt;1,0,SUMIFS('JLR Materials'!$G$2:$G$20001,'JLR Materials'!$A$2:$A$20001,$K216,'JLR Materials'!$C$2:$C$20001,IF(Settings!$B$2="","&lt;&gt;",Settings!$B$2),'JLR Materials'!$D$2:$D$20001,IF(Settings!$B$4="","&lt;&gt;",Settings!$B$4)))</f>
        <v>0</v>
      </c>
      <c r="Q216" s="40" t="s">
        <v>1859</v>
      </c>
      <c r="R216" s="40" t="s">
        <v>1382</v>
      </c>
    </row>
    <row r="217" spans="1:18" x14ac:dyDescent="0.25">
      <c r="A217" s="32" t="s">
        <v>697</v>
      </c>
      <c r="B217" s="33" t="s">
        <v>1860</v>
      </c>
      <c r="C217" s="33" t="s">
        <v>1861</v>
      </c>
      <c r="D217" s="34">
        <f>IF($M217&gt;0,$M217,7.9)</f>
        <v>7.9</v>
      </c>
      <c r="E217" s="34">
        <f>IF($O217&gt;0,$O217,3.29)</f>
        <v>3.29</v>
      </c>
      <c r="F217" s="35">
        <v>8500</v>
      </c>
      <c r="G217" s="33" t="s">
        <v>1379</v>
      </c>
      <c r="H217" s="36" t="str">
        <f>IF($M217&gt;0,IF($L217&lt;&gt;1,$R217,IFERROR(INDEX('JLR Materials'!$D$2:$D$20001,MATCH($K217,'JLR Materials'!$A$2:$A$20001,0)),$R217)),$R217)</f>
        <v>2026-09</v>
      </c>
      <c r="I217" s="36" t="str">
        <f>IF($M217&gt;0,"JLR rate card — material code "&amp;$K217,$Q217)</f>
        <v>Index-anchored 2026-07 (see FORGING PRICING BASIS). Hot-stamping brass — valve bodies, fittings, plumbing; excellent forgeability and machinability. | Refresh 2026-09: +£0.697/kg from 0.58kg cu £10.070→£10.768/kg, 0.39kg zn £2.164→£2.913/kg, 0.03kg pb £1.442→£1.438/kg; premiums held</v>
      </c>
      <c r="J217" s="33" t="s">
        <v>1393</v>
      </c>
      <c r="K217" s="37" t="str">
        <f>IFERROR(INDEX(Mapping!$C$2:$C$549,MATCH($A217,Mapping!$A$2:$A$549,0)),"")</f>
        <v/>
      </c>
      <c r="L217" s="37">
        <f>IF($K217="",0,COUNTIFS('JLR Materials'!$A$2:$A$20001,$K217,'JLR Materials'!$C$2:$C$20001,IF(Settings!$B$2="","&lt;&gt;",Settings!$B$2),'JLR Materials'!$D$2:$D$20001,IF(Settings!$B$4="","&lt;&gt;",Settings!$B$4)))</f>
        <v>0</v>
      </c>
      <c r="M217" s="38">
        <f>IF($L217&lt;&gt;1,0,SUMIFS('JLR Materials'!$E$2:$E$20001,'JLR Materials'!$A$2:$A$20001,$K217,'JLR Materials'!$C$2:$C$20001,IF(Settings!$B$2="","&lt;&gt;",Settings!$B$2),'JLR Materials'!$D$2:$D$20001,IF(Settings!$B$4="","&lt;&gt;",Settings!$B$4)))</f>
        <v>0</v>
      </c>
      <c r="N217" s="39">
        <f>IF($L217&lt;&gt;1,0,SUMIFS('JLR Materials'!$F$2:$F$20001,'JLR Materials'!$A$2:$A$20001,$K217,'JLR Materials'!$C$2:$C$20001,IF(Settings!$B$2="","&lt;&gt;",Settings!$B$2),'JLR Materials'!$D$2:$D$20001,IF(Settings!$B$4="","&lt;&gt;",Settings!$B$4)))</f>
        <v>0</v>
      </c>
      <c r="O217" s="38">
        <f>IF($N217=0,0,IF(Settings!$B$5="percent",$M217*$N217/100,$N217))</f>
        <v>0</v>
      </c>
      <c r="P217" s="39">
        <f>IF($L217&lt;&gt;1,0,SUMIFS('JLR Materials'!$G$2:$G$20001,'JLR Materials'!$A$2:$A$20001,$K217,'JLR Materials'!$C$2:$C$20001,IF(Settings!$B$2="","&lt;&gt;",Settings!$B$2),'JLR Materials'!$D$2:$D$20001,IF(Settings!$B$4="","&lt;&gt;",Settings!$B$4)))</f>
        <v>0</v>
      </c>
      <c r="Q217" s="40" t="s">
        <v>1862</v>
      </c>
      <c r="R217" s="40" t="s">
        <v>1382</v>
      </c>
    </row>
    <row r="218" spans="1:18" x14ac:dyDescent="0.25">
      <c r="A218" s="32" t="s">
        <v>699</v>
      </c>
      <c r="B218" s="33" t="s">
        <v>1863</v>
      </c>
      <c r="C218" s="33" t="s">
        <v>1864</v>
      </c>
      <c r="D218" s="34">
        <f>IF($M218&gt;0,$M218,3.68)</f>
        <v>3.68</v>
      </c>
      <c r="E218" s="34">
        <f>IF($O218&gt;0,$O218,0)</f>
        <v>0</v>
      </c>
      <c r="F218" s="35">
        <v>1300</v>
      </c>
      <c r="G218" s="33" t="s">
        <v>1379</v>
      </c>
      <c r="H218" s="36" t="str">
        <f>IF($M218&gt;0,IF($L218&lt;&gt;1,$R218,IFERROR(INDEX('JLR Materials'!$D$2:$D$20001,MATCH($K218,'JLR Materials'!$A$2:$A$20001,0)),$R218)),$R218)</f>
        <v>2026-09</v>
      </c>
      <c r="I218" s="36" t="str">
        <f>IF($M218&gt;0,"JLR rate card — material code "&amp;$K218,$Q218)</f>
        <v>UK coating supplier, Jun 2026. Index-anchored 2026-07 refresh. | Refresh 2026-09: INDEX FLAT — Index flat: automotive coatings increases (PPG up to 20% Apr, BASF 7% May 2026) took effect before the June anchor; no Q3 2026 automotive coatings increase announced.</v>
      </c>
      <c r="J218" s="33" t="s">
        <v>1393</v>
      </c>
      <c r="K218" s="37" t="str">
        <f>IFERROR(INDEX(Mapping!$C$2:$C$549,MATCH($A218,Mapping!$A$2:$A$549,0)),"")</f>
        <v/>
      </c>
      <c r="L218" s="37">
        <f>IF($K218="",0,COUNTIFS('JLR Materials'!$A$2:$A$20001,$K218,'JLR Materials'!$C$2:$C$20001,IF(Settings!$B$2="","&lt;&gt;",Settings!$B$2),'JLR Materials'!$D$2:$D$20001,IF(Settings!$B$4="","&lt;&gt;",Settings!$B$4)))</f>
        <v>0</v>
      </c>
      <c r="M218" s="38">
        <f>IF($L218&lt;&gt;1,0,SUMIFS('JLR Materials'!$E$2:$E$20001,'JLR Materials'!$A$2:$A$20001,$K218,'JLR Materials'!$C$2:$C$20001,IF(Settings!$B$2="","&lt;&gt;",Settings!$B$2),'JLR Materials'!$D$2:$D$20001,IF(Settings!$B$4="","&lt;&gt;",Settings!$B$4)))</f>
        <v>0</v>
      </c>
      <c r="N218" s="39">
        <f>IF($L218&lt;&gt;1,0,SUMIFS('JLR Materials'!$F$2:$F$20001,'JLR Materials'!$A$2:$A$20001,$K218,'JLR Materials'!$C$2:$C$20001,IF(Settings!$B$2="","&lt;&gt;",Settings!$B$2),'JLR Materials'!$D$2:$D$20001,IF(Settings!$B$4="","&lt;&gt;",Settings!$B$4)))</f>
        <v>0</v>
      </c>
      <c r="O218" s="38">
        <f>IF($N218=0,0,IF(Settings!$B$5="percent",$M218*$N218/100,$N218))</f>
        <v>0</v>
      </c>
      <c r="P218" s="39">
        <f>IF($L218&lt;&gt;1,0,SUMIFS('JLR Materials'!$G$2:$G$20001,'JLR Materials'!$A$2:$A$20001,$K218,'JLR Materials'!$C$2:$C$20001,IF(Settings!$B$2="","&lt;&gt;",Settings!$B$2),'JLR Materials'!$D$2:$D$20001,IF(Settings!$B$4="","&lt;&gt;",Settings!$B$4)))</f>
        <v>0</v>
      </c>
      <c r="Q218" s="40" t="s">
        <v>1865</v>
      </c>
      <c r="R218" s="40" t="s">
        <v>1382</v>
      </c>
    </row>
    <row r="219" spans="1:18" x14ac:dyDescent="0.25">
      <c r="A219" s="32" t="s">
        <v>701</v>
      </c>
      <c r="B219" s="33" t="s">
        <v>1866</v>
      </c>
      <c r="C219" s="33" t="s">
        <v>1864</v>
      </c>
      <c r="D219" s="34">
        <f>IF($M219&gt;0,$M219,6.1)</f>
        <v>6.1</v>
      </c>
      <c r="E219" s="34">
        <f>IF($O219&gt;0,$O219,0)</f>
        <v>0</v>
      </c>
      <c r="F219" s="35">
        <v>1350</v>
      </c>
      <c r="G219" s="33" t="s">
        <v>1379</v>
      </c>
      <c r="H219" s="36" t="str">
        <f>IF($M219&gt;0,IF($L219&lt;&gt;1,$R219,IFERROR(INDEX('JLR Materials'!$D$2:$D$20001,MATCH($K219,'JLR Materials'!$A$2:$A$20001,0)),$R219)),$R219)</f>
        <v>2026-09</v>
      </c>
      <c r="I219" s="36" t="str">
        <f>IF($M219&gt;0,"JLR rate card — material code "&amp;$K219,$Q219)</f>
        <v>UK coating supplier, Jun 2026. Index-anchored 2026-07 refresh. | Refresh 2026-09: INDEX FLAT — Index flat: automotive coatings increases (PPG up to 20% Apr, BASF 7% May 2026) took effect before the June anchor; no Q3 2026 automotive coatings increase announced.</v>
      </c>
      <c r="J219" s="33" t="s">
        <v>1393</v>
      </c>
      <c r="K219" s="37" t="str">
        <f>IFERROR(INDEX(Mapping!$C$2:$C$549,MATCH($A219,Mapping!$A$2:$A$549,0)),"")</f>
        <v/>
      </c>
      <c r="L219" s="37">
        <f>IF($K219="",0,COUNTIFS('JLR Materials'!$A$2:$A$20001,$K219,'JLR Materials'!$C$2:$C$20001,IF(Settings!$B$2="","&lt;&gt;",Settings!$B$2),'JLR Materials'!$D$2:$D$20001,IF(Settings!$B$4="","&lt;&gt;",Settings!$B$4)))</f>
        <v>0</v>
      </c>
      <c r="M219" s="38">
        <f>IF($L219&lt;&gt;1,0,SUMIFS('JLR Materials'!$E$2:$E$20001,'JLR Materials'!$A$2:$A$20001,$K219,'JLR Materials'!$C$2:$C$20001,IF(Settings!$B$2="","&lt;&gt;",Settings!$B$2),'JLR Materials'!$D$2:$D$20001,IF(Settings!$B$4="","&lt;&gt;",Settings!$B$4)))</f>
        <v>0</v>
      </c>
      <c r="N219" s="39">
        <f>IF($L219&lt;&gt;1,0,SUMIFS('JLR Materials'!$F$2:$F$20001,'JLR Materials'!$A$2:$A$20001,$K219,'JLR Materials'!$C$2:$C$20001,IF(Settings!$B$2="","&lt;&gt;",Settings!$B$2),'JLR Materials'!$D$2:$D$20001,IF(Settings!$B$4="","&lt;&gt;",Settings!$B$4)))</f>
        <v>0</v>
      </c>
      <c r="O219" s="38">
        <f>IF($N219=0,0,IF(Settings!$B$5="percent",$M219*$N219/100,$N219))</f>
        <v>0</v>
      </c>
      <c r="P219" s="39">
        <f>IF($L219&lt;&gt;1,0,SUMIFS('JLR Materials'!$G$2:$G$20001,'JLR Materials'!$A$2:$A$20001,$K219,'JLR Materials'!$C$2:$C$20001,IF(Settings!$B$2="","&lt;&gt;",Settings!$B$2),'JLR Materials'!$D$2:$D$20001,IF(Settings!$B$4="","&lt;&gt;",Settings!$B$4)))</f>
        <v>0</v>
      </c>
      <c r="Q219" s="40" t="s">
        <v>1865</v>
      </c>
      <c r="R219" s="40" t="s">
        <v>1382</v>
      </c>
    </row>
    <row r="220" spans="1:18" x14ac:dyDescent="0.25">
      <c r="A220" s="32" t="s">
        <v>703</v>
      </c>
      <c r="B220" s="33" t="s">
        <v>1867</v>
      </c>
      <c r="C220" s="33" t="s">
        <v>1864</v>
      </c>
      <c r="D220" s="34">
        <f>IF($M220&gt;0,$M220,8.62)</f>
        <v>8.62</v>
      </c>
      <c r="E220" s="34">
        <f>IF($O220&gt;0,$O220,0)</f>
        <v>0</v>
      </c>
      <c r="F220" s="35">
        <v>1250</v>
      </c>
      <c r="G220" s="33" t="s">
        <v>1379</v>
      </c>
      <c r="H220" s="36" t="str">
        <f>IF($M220&gt;0,IF($L220&lt;&gt;1,$R220,IFERROR(INDEX('JLR Materials'!$D$2:$D$20001,MATCH($K220,'JLR Materials'!$A$2:$A$20001,0)),$R220)),$R220)</f>
        <v>2026-09</v>
      </c>
      <c r="I220" s="36" t="str">
        <f>IF($M220&gt;0,"JLR rate card — material code "&amp;$K220,$Q220)</f>
        <v>UK coating supplier, Jun 2026. Index-anchored 2026-07 refresh. | Refresh 2026-09: INDEX FLAT — Index flat: automotive coatings increases (PPG up to 20% Apr, BASF 7% May 2026) took effect before the June anchor; no Q3 2026 automotive coatings increase announced.</v>
      </c>
      <c r="J220" s="33" t="s">
        <v>1393</v>
      </c>
      <c r="K220" s="37" t="str">
        <f>IFERROR(INDEX(Mapping!$C$2:$C$549,MATCH($A220,Mapping!$A$2:$A$549,0)),"")</f>
        <v/>
      </c>
      <c r="L220" s="37">
        <f>IF($K220="",0,COUNTIFS('JLR Materials'!$A$2:$A$20001,$K220,'JLR Materials'!$C$2:$C$20001,IF(Settings!$B$2="","&lt;&gt;",Settings!$B$2),'JLR Materials'!$D$2:$D$20001,IF(Settings!$B$4="","&lt;&gt;",Settings!$B$4)))</f>
        <v>0</v>
      </c>
      <c r="M220" s="38">
        <f>IF($L220&lt;&gt;1,0,SUMIFS('JLR Materials'!$E$2:$E$20001,'JLR Materials'!$A$2:$A$20001,$K220,'JLR Materials'!$C$2:$C$20001,IF(Settings!$B$2="","&lt;&gt;",Settings!$B$2),'JLR Materials'!$D$2:$D$20001,IF(Settings!$B$4="","&lt;&gt;",Settings!$B$4)))</f>
        <v>0</v>
      </c>
      <c r="N220" s="39">
        <f>IF($L220&lt;&gt;1,0,SUMIFS('JLR Materials'!$F$2:$F$20001,'JLR Materials'!$A$2:$A$20001,$K220,'JLR Materials'!$C$2:$C$20001,IF(Settings!$B$2="","&lt;&gt;",Settings!$B$2),'JLR Materials'!$D$2:$D$20001,IF(Settings!$B$4="","&lt;&gt;",Settings!$B$4)))</f>
        <v>0</v>
      </c>
      <c r="O220" s="38">
        <f>IF($N220=0,0,IF(Settings!$B$5="percent",$M220*$N220/100,$N220))</f>
        <v>0</v>
      </c>
      <c r="P220" s="39">
        <f>IF($L220&lt;&gt;1,0,SUMIFS('JLR Materials'!$G$2:$G$20001,'JLR Materials'!$A$2:$A$20001,$K220,'JLR Materials'!$C$2:$C$20001,IF(Settings!$B$2="","&lt;&gt;",Settings!$B$2),'JLR Materials'!$D$2:$D$20001,IF(Settings!$B$4="","&lt;&gt;",Settings!$B$4)))</f>
        <v>0</v>
      </c>
      <c r="Q220" s="40" t="s">
        <v>1865</v>
      </c>
      <c r="R220" s="40" t="s">
        <v>1382</v>
      </c>
    </row>
    <row r="221" spans="1:18" x14ac:dyDescent="0.25">
      <c r="A221" s="32" t="s">
        <v>705</v>
      </c>
      <c r="B221" s="33" t="s">
        <v>1868</v>
      </c>
      <c r="C221" s="33" t="s">
        <v>1864</v>
      </c>
      <c r="D221" s="34">
        <f>IF($M221&gt;0,$M221,9.98)</f>
        <v>9.98</v>
      </c>
      <c r="E221" s="34">
        <f>IF($O221&gt;0,$O221,0)</f>
        <v>0</v>
      </c>
      <c r="F221" s="35">
        <v>1100</v>
      </c>
      <c r="G221" s="33" t="s">
        <v>1379</v>
      </c>
      <c r="H221" s="36" t="str">
        <f>IF($M221&gt;0,IF($L221&lt;&gt;1,$R221,IFERROR(INDEX('JLR Materials'!$D$2:$D$20001,MATCH($K221,'JLR Materials'!$A$2:$A$20001,0)),$R221)),$R221)</f>
        <v>2026-09</v>
      </c>
      <c r="I221" s="36" t="str">
        <f>IF($M221&gt;0,"JLR rate card — material code "&amp;$K221,$Q221)</f>
        <v>UK coating supplier, Jun 2026. Index-anchored 2026-07 refresh. | Refresh 2026-09: INDEX FLAT — Index flat: automotive coatings increases (PPG up to 20% Apr, BASF 7% May 2026) took effect before the June anchor; no Q3 2026 automotive coatings increase announced.</v>
      </c>
      <c r="J221" s="33" t="s">
        <v>1393</v>
      </c>
      <c r="K221" s="37" t="str">
        <f>IFERROR(INDEX(Mapping!$C$2:$C$549,MATCH($A221,Mapping!$A$2:$A$549,0)),"")</f>
        <v/>
      </c>
      <c r="L221" s="37">
        <f>IF($K221="",0,COUNTIFS('JLR Materials'!$A$2:$A$20001,$K221,'JLR Materials'!$C$2:$C$20001,IF(Settings!$B$2="","&lt;&gt;",Settings!$B$2),'JLR Materials'!$D$2:$D$20001,IF(Settings!$B$4="","&lt;&gt;",Settings!$B$4)))</f>
        <v>0</v>
      </c>
      <c r="M221" s="38">
        <f>IF($L221&lt;&gt;1,0,SUMIFS('JLR Materials'!$E$2:$E$20001,'JLR Materials'!$A$2:$A$20001,$K221,'JLR Materials'!$C$2:$C$20001,IF(Settings!$B$2="","&lt;&gt;",Settings!$B$2),'JLR Materials'!$D$2:$D$20001,IF(Settings!$B$4="","&lt;&gt;",Settings!$B$4)))</f>
        <v>0</v>
      </c>
      <c r="N221" s="39">
        <f>IF($L221&lt;&gt;1,0,SUMIFS('JLR Materials'!$F$2:$F$20001,'JLR Materials'!$A$2:$A$20001,$K221,'JLR Materials'!$C$2:$C$20001,IF(Settings!$B$2="","&lt;&gt;",Settings!$B$2),'JLR Materials'!$D$2:$D$20001,IF(Settings!$B$4="","&lt;&gt;",Settings!$B$4)))</f>
        <v>0</v>
      </c>
      <c r="O221" s="38">
        <f>IF($N221=0,0,IF(Settings!$B$5="percent",$M221*$N221/100,$N221))</f>
        <v>0</v>
      </c>
      <c r="P221" s="39">
        <f>IF($L221&lt;&gt;1,0,SUMIFS('JLR Materials'!$G$2:$G$20001,'JLR Materials'!$A$2:$A$20001,$K221,'JLR Materials'!$C$2:$C$20001,IF(Settings!$B$2="","&lt;&gt;",Settings!$B$2),'JLR Materials'!$D$2:$D$20001,IF(Settings!$B$4="","&lt;&gt;",Settings!$B$4)))</f>
        <v>0</v>
      </c>
      <c r="Q221" s="40" t="s">
        <v>1865</v>
      </c>
      <c r="R221" s="40" t="s">
        <v>1382</v>
      </c>
    </row>
    <row r="222" spans="1:18" x14ac:dyDescent="0.25">
      <c r="A222" s="32" t="s">
        <v>707</v>
      </c>
      <c r="B222" s="33" t="s">
        <v>1869</v>
      </c>
      <c r="C222" s="33" t="s">
        <v>1864</v>
      </c>
      <c r="D222" s="34">
        <f>IF($M222&gt;0,$M222,3.36)</f>
        <v>3.36</v>
      </c>
      <c r="E222" s="34">
        <f>IF($O222&gt;0,$O222,0.5)</f>
        <v>0.5</v>
      </c>
      <c r="F222" s="35">
        <v>1400</v>
      </c>
      <c r="G222" s="33" t="s">
        <v>1379</v>
      </c>
      <c r="H222" s="36" t="str">
        <f>IF($M222&gt;0,IF($L222&lt;&gt;1,$R222,IFERROR(INDEX('JLR Materials'!$D$2:$D$20001,MATCH($K222,'JLR Materials'!$A$2:$A$20001,0)),$R222)),$R222)</f>
        <v>2026-09</v>
      </c>
      <c r="I222" s="36" t="str">
        <f>IF($M222&gt;0,"JLR rate card — material code "&amp;$K222,$Q222)</f>
        <v>UK powder coat supplier, Jun 2026. Index-anchored 2026-07 refresh. | Refresh 2026-09: INDEX FLAT — Index flat: automotive coatings increases (PPG up to 20% Apr, BASF 7% May 2026) took effect before the June anchor; no Q3 2026 automotive coatings increase announced.</v>
      </c>
      <c r="J222" s="33" t="s">
        <v>1380</v>
      </c>
      <c r="K222" s="37" t="str">
        <f>IFERROR(INDEX(Mapping!$C$2:$C$549,MATCH($A222,Mapping!$A$2:$A$549,0)),"")</f>
        <v/>
      </c>
      <c r="L222" s="37">
        <f>IF($K222="",0,COUNTIFS('JLR Materials'!$A$2:$A$20001,$K222,'JLR Materials'!$C$2:$C$20001,IF(Settings!$B$2="","&lt;&gt;",Settings!$B$2),'JLR Materials'!$D$2:$D$20001,IF(Settings!$B$4="","&lt;&gt;",Settings!$B$4)))</f>
        <v>0</v>
      </c>
      <c r="M222" s="38">
        <f>IF($L222&lt;&gt;1,0,SUMIFS('JLR Materials'!$E$2:$E$20001,'JLR Materials'!$A$2:$A$20001,$K222,'JLR Materials'!$C$2:$C$20001,IF(Settings!$B$2="","&lt;&gt;",Settings!$B$2),'JLR Materials'!$D$2:$D$20001,IF(Settings!$B$4="","&lt;&gt;",Settings!$B$4)))</f>
        <v>0</v>
      </c>
      <c r="N222" s="39">
        <f>IF($L222&lt;&gt;1,0,SUMIFS('JLR Materials'!$F$2:$F$20001,'JLR Materials'!$A$2:$A$20001,$K222,'JLR Materials'!$C$2:$C$20001,IF(Settings!$B$2="","&lt;&gt;",Settings!$B$2),'JLR Materials'!$D$2:$D$20001,IF(Settings!$B$4="","&lt;&gt;",Settings!$B$4)))</f>
        <v>0</v>
      </c>
      <c r="O222" s="38">
        <f>IF($N222=0,0,IF(Settings!$B$5="percent",$M222*$N222/100,$N222))</f>
        <v>0</v>
      </c>
      <c r="P222" s="39">
        <f>IF($L222&lt;&gt;1,0,SUMIFS('JLR Materials'!$G$2:$G$20001,'JLR Materials'!$A$2:$A$20001,$K222,'JLR Materials'!$C$2:$C$20001,IF(Settings!$B$2="","&lt;&gt;",Settings!$B$2),'JLR Materials'!$D$2:$D$20001,IF(Settings!$B$4="","&lt;&gt;",Settings!$B$4)))</f>
        <v>0</v>
      </c>
      <c r="Q222" s="40" t="s">
        <v>1870</v>
      </c>
      <c r="R222" s="40" t="s">
        <v>1382</v>
      </c>
    </row>
    <row r="223" spans="1:18" x14ac:dyDescent="0.25">
      <c r="A223" s="32" t="s">
        <v>709</v>
      </c>
      <c r="B223" s="33" t="s">
        <v>1871</v>
      </c>
      <c r="C223" s="33" t="s">
        <v>1864</v>
      </c>
      <c r="D223" s="34">
        <f>IF($M223&gt;0,$M223,5.4)</f>
        <v>5.4</v>
      </c>
      <c r="E223" s="34">
        <f>IF($O223&gt;0,$O223,0)</f>
        <v>0</v>
      </c>
      <c r="F223" s="35">
        <v>1300</v>
      </c>
      <c r="G223" s="33" t="s">
        <v>1379</v>
      </c>
      <c r="H223" s="36" t="str">
        <f>IF($M223&gt;0,IF($L223&lt;&gt;1,$R223,IFERROR(INDEX('JLR Materials'!$D$2:$D$20001,MATCH($K223,'JLR Materials'!$A$2:$A$20001,0)),$R223)),$R223)</f>
        <v>2026-09</v>
      </c>
      <c r="I223" s="36" t="str">
        <f>IF($M223&gt;0,"JLR rate card — material code "&amp;$K223,$Q223)</f>
        <v>Index-anchored 2026-07. Single-pack etch/adhesion primer — pretreat for aluminium/mixed substrates. | Refresh 2026-09: INDEX FLAT — Index flat: automotive coatings increases (PPG up to 20% Apr, BASF 7% May 2026) took effect before the June anchor; no Q3 2026 automotive coatings increase announced.</v>
      </c>
      <c r="J223" s="33" t="s">
        <v>1393</v>
      </c>
      <c r="K223" s="37" t="str">
        <f>IFERROR(INDEX(Mapping!$C$2:$C$549,MATCH($A223,Mapping!$A$2:$A$549,0)),"")</f>
        <v/>
      </c>
      <c r="L223" s="37">
        <f>IF($K223="",0,COUNTIFS('JLR Materials'!$A$2:$A$20001,$K223,'JLR Materials'!$C$2:$C$20001,IF(Settings!$B$2="","&lt;&gt;",Settings!$B$2),'JLR Materials'!$D$2:$D$20001,IF(Settings!$B$4="","&lt;&gt;",Settings!$B$4)))</f>
        <v>0</v>
      </c>
      <c r="M223" s="38">
        <f>IF($L223&lt;&gt;1,0,SUMIFS('JLR Materials'!$E$2:$E$20001,'JLR Materials'!$A$2:$A$20001,$K223,'JLR Materials'!$C$2:$C$20001,IF(Settings!$B$2="","&lt;&gt;",Settings!$B$2),'JLR Materials'!$D$2:$D$20001,IF(Settings!$B$4="","&lt;&gt;",Settings!$B$4)))</f>
        <v>0</v>
      </c>
      <c r="N223" s="39">
        <f>IF($L223&lt;&gt;1,0,SUMIFS('JLR Materials'!$F$2:$F$20001,'JLR Materials'!$A$2:$A$20001,$K223,'JLR Materials'!$C$2:$C$20001,IF(Settings!$B$2="","&lt;&gt;",Settings!$B$2),'JLR Materials'!$D$2:$D$20001,IF(Settings!$B$4="","&lt;&gt;",Settings!$B$4)))</f>
        <v>0</v>
      </c>
      <c r="O223" s="38">
        <f>IF($N223=0,0,IF(Settings!$B$5="percent",$M223*$N223/100,$N223))</f>
        <v>0</v>
      </c>
      <c r="P223" s="39">
        <f>IF($L223&lt;&gt;1,0,SUMIFS('JLR Materials'!$G$2:$G$20001,'JLR Materials'!$A$2:$A$20001,$K223,'JLR Materials'!$C$2:$C$20001,IF(Settings!$B$2="","&lt;&gt;",Settings!$B$2),'JLR Materials'!$D$2:$D$20001,IF(Settings!$B$4="","&lt;&gt;",Settings!$B$4)))</f>
        <v>0</v>
      </c>
      <c r="Q223" s="40" t="s">
        <v>1872</v>
      </c>
      <c r="R223" s="40" t="s">
        <v>1382</v>
      </c>
    </row>
    <row r="224" spans="1:18" x14ac:dyDescent="0.25">
      <c r="A224" s="32" t="s">
        <v>711</v>
      </c>
      <c r="B224" s="33" t="s">
        <v>1873</v>
      </c>
      <c r="C224" s="33" t="s">
        <v>1864</v>
      </c>
      <c r="D224" s="34">
        <f>IF($M224&gt;0,$M224,9.2)</f>
        <v>9.2</v>
      </c>
      <c r="E224" s="34">
        <f>IF($O224&gt;0,$O224,0)</f>
        <v>0</v>
      </c>
      <c r="F224" s="35">
        <v>1050</v>
      </c>
      <c r="G224" s="33" t="s">
        <v>1379</v>
      </c>
      <c r="H224" s="36" t="str">
        <f>IF($M224&gt;0,IF($L224&lt;&gt;1,$R224,IFERROR(INDEX('JLR Materials'!$D$2:$D$20001,MATCH($K224,'JLR Materials'!$A$2:$A$20001,0)),$R224)),$R224)</f>
        <v>2026-09</v>
      </c>
      <c r="I224" s="36" t="str">
        <f>IF($M224&gt;0,"JLR rate card — material code "&amp;$K224,$Q224)</f>
        <v>Index-anchored 2026-07. Solventborne colour basecoat — refinish/low-volume lines where waterborne cure is impractical. | Refresh 2026-09: INDEX FLAT — Index flat: automotive coatings increases (PPG up to 20% Apr, BASF 7% May 2026) took effect before the June anchor; no Q3 2026 automotive coatings increase announced.</v>
      </c>
      <c r="J224" s="33" t="s">
        <v>1393</v>
      </c>
      <c r="K224" s="37" t="str">
        <f>IFERROR(INDEX(Mapping!$C$2:$C$549,MATCH($A224,Mapping!$A$2:$A$549,0)),"")</f>
        <v/>
      </c>
      <c r="L224" s="37">
        <f>IF($K224="",0,COUNTIFS('JLR Materials'!$A$2:$A$20001,$K224,'JLR Materials'!$C$2:$C$20001,IF(Settings!$B$2="","&lt;&gt;",Settings!$B$2),'JLR Materials'!$D$2:$D$20001,IF(Settings!$B$4="","&lt;&gt;",Settings!$B$4)))</f>
        <v>0</v>
      </c>
      <c r="M224" s="38">
        <f>IF($L224&lt;&gt;1,0,SUMIFS('JLR Materials'!$E$2:$E$20001,'JLR Materials'!$A$2:$A$20001,$K224,'JLR Materials'!$C$2:$C$20001,IF(Settings!$B$2="","&lt;&gt;",Settings!$B$2),'JLR Materials'!$D$2:$D$20001,IF(Settings!$B$4="","&lt;&gt;",Settings!$B$4)))</f>
        <v>0</v>
      </c>
      <c r="N224" s="39">
        <f>IF($L224&lt;&gt;1,0,SUMIFS('JLR Materials'!$F$2:$F$20001,'JLR Materials'!$A$2:$A$20001,$K224,'JLR Materials'!$C$2:$C$20001,IF(Settings!$B$2="","&lt;&gt;",Settings!$B$2),'JLR Materials'!$D$2:$D$20001,IF(Settings!$B$4="","&lt;&gt;",Settings!$B$4)))</f>
        <v>0</v>
      </c>
      <c r="O224" s="38">
        <f>IF($N224=0,0,IF(Settings!$B$5="percent",$M224*$N224/100,$N224))</f>
        <v>0</v>
      </c>
      <c r="P224" s="39">
        <f>IF($L224&lt;&gt;1,0,SUMIFS('JLR Materials'!$G$2:$G$20001,'JLR Materials'!$A$2:$A$20001,$K224,'JLR Materials'!$C$2:$C$20001,IF(Settings!$B$2="","&lt;&gt;",Settings!$B$2),'JLR Materials'!$D$2:$D$20001,IF(Settings!$B$4="","&lt;&gt;",Settings!$B$4)))</f>
        <v>0</v>
      </c>
      <c r="Q224" s="40" t="s">
        <v>1874</v>
      </c>
      <c r="R224" s="40" t="s">
        <v>1382</v>
      </c>
    </row>
    <row r="225" spans="1:18" x14ac:dyDescent="0.25">
      <c r="A225" s="32" t="s">
        <v>713</v>
      </c>
      <c r="B225" s="33" t="s">
        <v>1875</v>
      </c>
      <c r="C225" s="33" t="s">
        <v>1864</v>
      </c>
      <c r="D225" s="34">
        <f>IF($M225&gt;0,$M225,14.5)</f>
        <v>14.5</v>
      </c>
      <c r="E225" s="34">
        <f>IF($O225&gt;0,$O225,0)</f>
        <v>0</v>
      </c>
      <c r="F225" s="35">
        <v>1080</v>
      </c>
      <c r="G225" s="33" t="s">
        <v>1379</v>
      </c>
      <c r="H225" s="36" t="str">
        <f>IF($M225&gt;0,IF($L225&lt;&gt;1,$R225,IFERROR(INDEX('JLR Materials'!$D$2:$D$20001,MATCH($K225,'JLR Materials'!$A$2:$A$20001,0)),$R225)),$R225)</f>
        <v>2026-09</v>
      </c>
      <c r="I225" s="36" t="str">
        <f>IF($M225&gt;0,"JLR rate card — material code "&amp;$K225,$Q225)</f>
        <v>Index-anchored 2026-07. UV-cure clearcoat — instant cure, high scratch resistance, headlamp lenses and trim. | Refresh 2026-09: INDEX FLAT — Index flat: automotive coatings increases (PPG up to 20% Apr, BASF 7% May 2026) took effect before the June anchor; no Q3 2026 automotive coatings increase announced.</v>
      </c>
      <c r="J225" s="33" t="s">
        <v>1393</v>
      </c>
      <c r="K225" s="37" t="str">
        <f>IFERROR(INDEX(Mapping!$C$2:$C$549,MATCH($A225,Mapping!$A$2:$A$549,0)),"")</f>
        <v/>
      </c>
      <c r="L225" s="37">
        <f>IF($K225="",0,COUNTIFS('JLR Materials'!$A$2:$A$20001,$K225,'JLR Materials'!$C$2:$C$20001,IF(Settings!$B$2="","&lt;&gt;",Settings!$B$2),'JLR Materials'!$D$2:$D$20001,IF(Settings!$B$4="","&lt;&gt;",Settings!$B$4)))</f>
        <v>0</v>
      </c>
      <c r="M225" s="38">
        <f>IF($L225&lt;&gt;1,0,SUMIFS('JLR Materials'!$E$2:$E$20001,'JLR Materials'!$A$2:$A$20001,$K225,'JLR Materials'!$C$2:$C$20001,IF(Settings!$B$2="","&lt;&gt;",Settings!$B$2),'JLR Materials'!$D$2:$D$20001,IF(Settings!$B$4="","&lt;&gt;",Settings!$B$4)))</f>
        <v>0</v>
      </c>
      <c r="N225" s="39">
        <f>IF($L225&lt;&gt;1,0,SUMIFS('JLR Materials'!$F$2:$F$20001,'JLR Materials'!$A$2:$A$20001,$K225,'JLR Materials'!$C$2:$C$20001,IF(Settings!$B$2="","&lt;&gt;",Settings!$B$2),'JLR Materials'!$D$2:$D$20001,IF(Settings!$B$4="","&lt;&gt;",Settings!$B$4)))</f>
        <v>0</v>
      </c>
      <c r="O225" s="38">
        <f>IF($N225=0,0,IF(Settings!$B$5="percent",$M225*$N225/100,$N225))</f>
        <v>0</v>
      </c>
      <c r="P225" s="39">
        <f>IF($L225&lt;&gt;1,0,SUMIFS('JLR Materials'!$G$2:$G$20001,'JLR Materials'!$A$2:$A$20001,$K225,'JLR Materials'!$C$2:$C$20001,IF(Settings!$B$2="","&lt;&gt;",Settings!$B$2),'JLR Materials'!$D$2:$D$20001,IF(Settings!$B$4="","&lt;&gt;",Settings!$B$4)))</f>
        <v>0</v>
      </c>
      <c r="Q225" s="40" t="s">
        <v>1876</v>
      </c>
      <c r="R225" s="40" t="s">
        <v>1382</v>
      </c>
    </row>
    <row r="226" spans="1:18" x14ac:dyDescent="0.25">
      <c r="A226" s="32" t="s">
        <v>715</v>
      </c>
      <c r="B226" s="33" t="s">
        <v>1877</v>
      </c>
      <c r="C226" s="33" t="s">
        <v>1864</v>
      </c>
      <c r="D226" s="34">
        <f>IF($M226&gt;0,$M226,2.57)</f>
        <v>2.57</v>
      </c>
      <c r="E226" s="34">
        <f>IF($O226&gt;0,$O226,0)</f>
        <v>0</v>
      </c>
      <c r="F226" s="35">
        <v>1250</v>
      </c>
      <c r="G226" s="33" t="s">
        <v>1379</v>
      </c>
      <c r="H226" s="36" t="str">
        <f>IF($M226&gt;0,IF($L226&lt;&gt;1,$R226,IFERROR(INDEX('JLR Materials'!$D$2:$D$20001,MATCH($K226,'JLR Materials'!$A$2:$A$20001,0)),$R226)),$R226)</f>
        <v>2026-09</v>
      </c>
      <c r="I226" s="36" t="str">
        <f>IF($M226&gt;0,"JLR rate card — material code "&amp;$K226,$Q226)</f>
        <v>Index-anchored 2026-07. Sprayable PVC underbody/anti-chip coating — sills, wheel arches, stone-chip protection. | Refresh 2026-09: −£0.031/kg from 0.4kg pvc £0.453→£0.375/kg; premiums held</v>
      </c>
      <c r="J226" s="33" t="s">
        <v>1393</v>
      </c>
      <c r="K226" s="37" t="str">
        <f>IFERROR(INDEX(Mapping!$C$2:$C$549,MATCH($A226,Mapping!$A$2:$A$549,0)),"")</f>
        <v/>
      </c>
      <c r="L226" s="37">
        <f>IF($K226="",0,COUNTIFS('JLR Materials'!$A$2:$A$20001,$K226,'JLR Materials'!$C$2:$C$20001,IF(Settings!$B$2="","&lt;&gt;",Settings!$B$2),'JLR Materials'!$D$2:$D$20001,IF(Settings!$B$4="","&lt;&gt;",Settings!$B$4)))</f>
        <v>0</v>
      </c>
      <c r="M226" s="38">
        <f>IF($L226&lt;&gt;1,0,SUMIFS('JLR Materials'!$E$2:$E$20001,'JLR Materials'!$A$2:$A$20001,$K226,'JLR Materials'!$C$2:$C$20001,IF(Settings!$B$2="","&lt;&gt;",Settings!$B$2),'JLR Materials'!$D$2:$D$20001,IF(Settings!$B$4="","&lt;&gt;",Settings!$B$4)))</f>
        <v>0</v>
      </c>
      <c r="N226" s="39">
        <f>IF($L226&lt;&gt;1,0,SUMIFS('JLR Materials'!$F$2:$F$20001,'JLR Materials'!$A$2:$A$20001,$K226,'JLR Materials'!$C$2:$C$20001,IF(Settings!$B$2="","&lt;&gt;",Settings!$B$2),'JLR Materials'!$D$2:$D$20001,IF(Settings!$B$4="","&lt;&gt;",Settings!$B$4)))</f>
        <v>0</v>
      </c>
      <c r="O226" s="38">
        <f>IF($N226=0,0,IF(Settings!$B$5="percent",$M226*$N226/100,$N226))</f>
        <v>0</v>
      </c>
      <c r="P226" s="39">
        <f>IF($L226&lt;&gt;1,0,SUMIFS('JLR Materials'!$G$2:$G$20001,'JLR Materials'!$A$2:$A$20001,$K226,'JLR Materials'!$C$2:$C$20001,IF(Settings!$B$2="","&lt;&gt;",Settings!$B$2),'JLR Materials'!$D$2:$D$20001,IF(Settings!$B$4="","&lt;&gt;",Settings!$B$4)))</f>
        <v>0</v>
      </c>
      <c r="Q226" s="40" t="s">
        <v>1878</v>
      </c>
      <c r="R226" s="40" t="s">
        <v>1382</v>
      </c>
    </row>
    <row r="227" spans="1:18" x14ac:dyDescent="0.25">
      <c r="A227" s="32" t="s">
        <v>717</v>
      </c>
      <c r="B227" s="33" t="s">
        <v>1879</v>
      </c>
      <c r="C227" s="33" t="s">
        <v>1880</v>
      </c>
      <c r="D227" s="34">
        <f>IF($M227&gt;0,$M227,1.11)</f>
        <v>1.11</v>
      </c>
      <c r="E227" s="34">
        <f>IF($O227&gt;0,$O227,0.1)</f>
        <v>0.1</v>
      </c>
      <c r="F227" s="35">
        <v>905</v>
      </c>
      <c r="G227" s="33" t="s">
        <v>1379</v>
      </c>
      <c r="H227" s="36" t="str">
        <f>IF($M227&gt;0,IF($L227&lt;&gt;1,$R227,IFERROR(INDEX('JLR Materials'!$D$2:$D$20001,MATCH($K227,'JLR Materials'!$A$2:$A$20001,0)),$R227)),$R227)</f>
        <v>2026-09</v>
      </c>
      <c r="I227" s="36" t="str">
        <f>IF($M227&gt;0,"JLR rate card — material code "&amp;$K227,$Q227)</f>
        <v>UK resin distributor Jun 2026. PP blow grade (random co-polymer, MFI 1.0) — automotive ducts, coolant reservoirs, squeeze bottles. CoolFactor ~3.16 s/mm². Index-anchored 2026-07 refresh. | Refresh 2026-09: +£0.027/kg from 1kg pp £0.960→£0.987/kg; premiums held</v>
      </c>
      <c r="J227" s="33" t="s">
        <v>1380</v>
      </c>
      <c r="K227" s="37" t="str">
        <f>IFERROR(INDEX(Mapping!$C$2:$C$549,MATCH($A227,Mapping!$A$2:$A$549,0)),"")</f>
        <v/>
      </c>
      <c r="L227" s="37">
        <f>IF($K227="",0,COUNTIFS('JLR Materials'!$A$2:$A$20001,$K227,'JLR Materials'!$C$2:$C$20001,IF(Settings!$B$2="","&lt;&gt;",Settings!$B$2),'JLR Materials'!$D$2:$D$20001,IF(Settings!$B$4="","&lt;&gt;",Settings!$B$4)))</f>
        <v>0</v>
      </c>
      <c r="M227" s="38">
        <f>IF($L227&lt;&gt;1,0,SUMIFS('JLR Materials'!$E$2:$E$20001,'JLR Materials'!$A$2:$A$20001,$K227,'JLR Materials'!$C$2:$C$20001,IF(Settings!$B$2="","&lt;&gt;",Settings!$B$2),'JLR Materials'!$D$2:$D$20001,IF(Settings!$B$4="","&lt;&gt;",Settings!$B$4)))</f>
        <v>0</v>
      </c>
      <c r="N227" s="39">
        <f>IF($L227&lt;&gt;1,0,SUMIFS('JLR Materials'!$F$2:$F$20001,'JLR Materials'!$A$2:$A$20001,$K227,'JLR Materials'!$C$2:$C$20001,IF(Settings!$B$2="","&lt;&gt;",Settings!$B$2),'JLR Materials'!$D$2:$D$20001,IF(Settings!$B$4="","&lt;&gt;",Settings!$B$4)))</f>
        <v>0</v>
      </c>
      <c r="O227" s="38">
        <f>IF($N227=0,0,IF(Settings!$B$5="percent",$M227*$N227/100,$N227))</f>
        <v>0</v>
      </c>
      <c r="P227" s="39">
        <f>IF($L227&lt;&gt;1,0,SUMIFS('JLR Materials'!$G$2:$G$20001,'JLR Materials'!$A$2:$A$20001,$K227,'JLR Materials'!$C$2:$C$20001,IF(Settings!$B$2="","&lt;&gt;",Settings!$B$2),'JLR Materials'!$D$2:$D$20001,IF(Settings!$B$4="","&lt;&gt;",Settings!$B$4)))</f>
        <v>0</v>
      </c>
      <c r="Q227" s="40" t="s">
        <v>1881</v>
      </c>
      <c r="R227" s="40" t="s">
        <v>1382</v>
      </c>
    </row>
    <row r="228" spans="1:18" x14ac:dyDescent="0.25">
      <c r="A228" s="32" t="s">
        <v>719</v>
      </c>
      <c r="B228" s="33" t="s">
        <v>1882</v>
      </c>
      <c r="C228" s="33" t="s">
        <v>1880</v>
      </c>
      <c r="D228" s="34">
        <f>IF($M228&gt;0,$M228,2.18)</f>
        <v>2.18</v>
      </c>
      <c r="E228" s="34">
        <f>IF($O228&gt;0,$O228,0.08)</f>
        <v>0.08</v>
      </c>
      <c r="F228" s="35">
        <v>1270</v>
      </c>
      <c r="G228" s="33" t="s">
        <v>1379</v>
      </c>
      <c r="H228" s="36" t="str">
        <f>IF($M228&gt;0,IF($L228&lt;&gt;1,$R228,IFERROR(INDEX('JLR Materials'!$D$2:$D$20001,MATCH($K228,'JLR Materials'!$A$2:$A$20001,0)),$R228)),$R228)</f>
        <v>2026-09</v>
      </c>
      <c r="I228" s="36" t="str">
        <f>IF($M228&gt;0,"JLR rate card — material code "&amp;$K228,$Q228)</f>
        <v>UK resin distributor Jun 2026. PETG — clear cosmetic/food bottles, chemical containers. Excellent clarity. CoolFactor ~3.0 s/mm². Index-anchored 2026-07 refresh. | Refresh 2026-09: SPECIALTY — no public market index for this grade; held at the June 2026 price — refresh by supplier quote</v>
      </c>
      <c r="J228" s="33" t="s">
        <v>1380</v>
      </c>
      <c r="K228" s="37" t="str">
        <f>IFERROR(INDEX(Mapping!$C$2:$C$549,MATCH($A228,Mapping!$A$2:$A$549,0)),"")</f>
        <v/>
      </c>
      <c r="L228" s="37">
        <f>IF($K228="",0,COUNTIFS('JLR Materials'!$A$2:$A$20001,$K228,'JLR Materials'!$C$2:$C$20001,IF(Settings!$B$2="","&lt;&gt;",Settings!$B$2),'JLR Materials'!$D$2:$D$20001,IF(Settings!$B$4="","&lt;&gt;",Settings!$B$4)))</f>
        <v>0</v>
      </c>
      <c r="M228" s="38">
        <f>IF($L228&lt;&gt;1,0,SUMIFS('JLR Materials'!$E$2:$E$20001,'JLR Materials'!$A$2:$A$20001,$K228,'JLR Materials'!$C$2:$C$20001,IF(Settings!$B$2="","&lt;&gt;",Settings!$B$2),'JLR Materials'!$D$2:$D$20001,IF(Settings!$B$4="","&lt;&gt;",Settings!$B$4)))</f>
        <v>0</v>
      </c>
      <c r="N228" s="39">
        <f>IF($L228&lt;&gt;1,0,SUMIFS('JLR Materials'!$F$2:$F$20001,'JLR Materials'!$A$2:$A$20001,$K228,'JLR Materials'!$C$2:$C$20001,IF(Settings!$B$2="","&lt;&gt;",Settings!$B$2),'JLR Materials'!$D$2:$D$20001,IF(Settings!$B$4="","&lt;&gt;",Settings!$B$4)))</f>
        <v>0</v>
      </c>
      <c r="O228" s="38">
        <f>IF($N228=0,0,IF(Settings!$B$5="percent",$M228*$N228/100,$N228))</f>
        <v>0</v>
      </c>
      <c r="P228" s="39">
        <f>IF($L228&lt;&gt;1,0,SUMIFS('JLR Materials'!$G$2:$G$20001,'JLR Materials'!$A$2:$A$20001,$K228,'JLR Materials'!$C$2:$C$20001,IF(Settings!$B$2="","&lt;&gt;",Settings!$B$2),'JLR Materials'!$D$2:$D$20001,IF(Settings!$B$4="","&lt;&gt;",Settings!$B$4)))</f>
        <v>0</v>
      </c>
      <c r="Q228" s="40" t="s">
        <v>1883</v>
      </c>
      <c r="R228" s="40" t="s">
        <v>1382</v>
      </c>
    </row>
    <row r="229" spans="1:18" x14ac:dyDescent="0.25">
      <c r="A229" s="32" t="s">
        <v>721</v>
      </c>
      <c r="B229" s="33" t="s">
        <v>1884</v>
      </c>
      <c r="C229" s="33" t="s">
        <v>1880</v>
      </c>
      <c r="D229" s="34">
        <f>IF($M229&gt;0,$M229,0.85)</f>
        <v>0.85</v>
      </c>
      <c r="E229" s="34">
        <f>IF($O229&gt;0,$O229,0.05)</f>
        <v>0.05</v>
      </c>
      <c r="F229" s="35">
        <v>1380</v>
      </c>
      <c r="G229" s="33" t="s">
        <v>1379</v>
      </c>
      <c r="H229" s="36" t="str">
        <f>IF($M229&gt;0,IF($L229&lt;&gt;1,$R229,IFERROR(INDEX('JLR Materials'!$D$2:$D$20001,MATCH($K229,'JLR Materials'!$A$2:$A$20001,0)),$R229)),$R229)</f>
        <v>2026-09</v>
      </c>
      <c r="I229" s="36" t="str">
        <f>IF($M229&gt;0,"JLR rate card — material code "&amp;$K229,$Q229)</f>
        <v>UK resin distributor Jun 2026. Rigid PVC blow grade — detergent/shampoo/food bottles. Good chemical resistance. CoolFactor ~2.5 s/mm². Index-anchored 2026-07 refresh. | Refresh 2026-09: −£0.066/kg from 0.85kg pvc £0.453→£0.375/kg; premiums held</v>
      </c>
      <c r="J229" s="33" t="s">
        <v>1380</v>
      </c>
      <c r="K229" s="37" t="str">
        <f>IFERROR(INDEX(Mapping!$C$2:$C$549,MATCH($A229,Mapping!$A$2:$A$549,0)),"")</f>
        <v/>
      </c>
      <c r="L229" s="37">
        <f>IF($K229="",0,COUNTIFS('JLR Materials'!$A$2:$A$20001,$K229,'JLR Materials'!$C$2:$C$20001,IF(Settings!$B$2="","&lt;&gt;",Settings!$B$2),'JLR Materials'!$D$2:$D$20001,IF(Settings!$B$4="","&lt;&gt;",Settings!$B$4)))</f>
        <v>0</v>
      </c>
      <c r="M229" s="38">
        <f>IF($L229&lt;&gt;1,0,SUMIFS('JLR Materials'!$E$2:$E$20001,'JLR Materials'!$A$2:$A$20001,$K229,'JLR Materials'!$C$2:$C$20001,IF(Settings!$B$2="","&lt;&gt;",Settings!$B$2),'JLR Materials'!$D$2:$D$20001,IF(Settings!$B$4="","&lt;&gt;",Settings!$B$4)))</f>
        <v>0</v>
      </c>
      <c r="N229" s="39">
        <f>IF($L229&lt;&gt;1,0,SUMIFS('JLR Materials'!$F$2:$F$20001,'JLR Materials'!$A$2:$A$20001,$K229,'JLR Materials'!$C$2:$C$20001,IF(Settings!$B$2="","&lt;&gt;",Settings!$B$2),'JLR Materials'!$D$2:$D$20001,IF(Settings!$B$4="","&lt;&gt;",Settings!$B$4)))</f>
        <v>0</v>
      </c>
      <c r="O229" s="38">
        <f>IF($N229=0,0,IF(Settings!$B$5="percent",$M229*$N229/100,$N229))</f>
        <v>0</v>
      </c>
      <c r="P229" s="39">
        <f>IF($L229&lt;&gt;1,0,SUMIFS('JLR Materials'!$G$2:$G$20001,'JLR Materials'!$A$2:$A$20001,$K229,'JLR Materials'!$C$2:$C$20001,IF(Settings!$B$2="","&lt;&gt;",Settings!$B$2),'JLR Materials'!$D$2:$D$20001,IF(Settings!$B$4="","&lt;&gt;",Settings!$B$4)))</f>
        <v>0</v>
      </c>
      <c r="Q229" s="40" t="s">
        <v>1885</v>
      </c>
      <c r="R229" s="40" t="s">
        <v>1382</v>
      </c>
    </row>
    <row r="230" spans="1:18" x14ac:dyDescent="0.25">
      <c r="A230" s="32" t="s">
        <v>723</v>
      </c>
      <c r="B230" s="33" t="s">
        <v>1886</v>
      </c>
      <c r="C230" s="33" t="s">
        <v>1880</v>
      </c>
      <c r="D230" s="34">
        <f>IF($M230&gt;0,$M230,2.48)</f>
        <v>2.48</v>
      </c>
      <c r="E230" s="34">
        <f>IF($O230&gt;0,$O230,0.12)</f>
        <v>0.12</v>
      </c>
      <c r="F230" s="35">
        <v>900</v>
      </c>
      <c r="G230" s="33" t="s">
        <v>1379</v>
      </c>
      <c r="H230" s="36" t="str">
        <f>IF($M230&gt;0,IF($L230&lt;&gt;1,$R230,IFERROR(INDEX('JLR Materials'!$D$2:$D$20001,MATCH($K230,'JLR Materials'!$A$2:$A$20001,0)),$R230)),$R230)</f>
        <v>2026-09</v>
      </c>
      <c r="I230" s="36" t="str">
        <f>IF($M230&gt;0,"JLR rate card — material code "&amp;$K230,$Q230)</f>
        <v>UK resin distributor Jun 2026. TPE blow grade — soft-touch squeeze bottles, medical bulbs, automotive boots, flexible ducts. Shore 40A. Index-anchored 2026-07 refresh. | Refresh 2026-09: SPECIALTY — no public market index for this grade; held at the June 2026 price — refresh by supplier quote</v>
      </c>
      <c r="J230" s="33" t="s">
        <v>1393</v>
      </c>
      <c r="K230" s="37" t="str">
        <f>IFERROR(INDEX(Mapping!$C$2:$C$549,MATCH($A230,Mapping!$A$2:$A$549,0)),"")</f>
        <v/>
      </c>
      <c r="L230" s="37">
        <f>IF($K230="",0,COUNTIFS('JLR Materials'!$A$2:$A$20001,$K230,'JLR Materials'!$C$2:$C$20001,IF(Settings!$B$2="","&lt;&gt;",Settings!$B$2),'JLR Materials'!$D$2:$D$20001,IF(Settings!$B$4="","&lt;&gt;",Settings!$B$4)))</f>
        <v>0</v>
      </c>
      <c r="M230" s="38">
        <f>IF($L230&lt;&gt;1,0,SUMIFS('JLR Materials'!$E$2:$E$20001,'JLR Materials'!$A$2:$A$20001,$K230,'JLR Materials'!$C$2:$C$20001,IF(Settings!$B$2="","&lt;&gt;",Settings!$B$2),'JLR Materials'!$D$2:$D$20001,IF(Settings!$B$4="","&lt;&gt;",Settings!$B$4)))</f>
        <v>0</v>
      </c>
      <c r="N230" s="39">
        <f>IF($L230&lt;&gt;1,0,SUMIFS('JLR Materials'!$F$2:$F$20001,'JLR Materials'!$A$2:$A$20001,$K230,'JLR Materials'!$C$2:$C$20001,IF(Settings!$B$2="","&lt;&gt;",Settings!$B$2),'JLR Materials'!$D$2:$D$20001,IF(Settings!$B$4="","&lt;&gt;",Settings!$B$4)))</f>
        <v>0</v>
      </c>
      <c r="O230" s="38">
        <f>IF($N230=0,0,IF(Settings!$B$5="percent",$M230*$N230/100,$N230))</f>
        <v>0</v>
      </c>
      <c r="P230" s="39">
        <f>IF($L230&lt;&gt;1,0,SUMIFS('JLR Materials'!$G$2:$G$20001,'JLR Materials'!$A$2:$A$20001,$K230,'JLR Materials'!$C$2:$C$20001,IF(Settings!$B$2="","&lt;&gt;",Settings!$B$2),'JLR Materials'!$D$2:$D$20001,IF(Settings!$B$4="","&lt;&gt;",Settings!$B$4)))</f>
        <v>0</v>
      </c>
      <c r="Q230" s="40" t="s">
        <v>1887</v>
      </c>
      <c r="R230" s="40" t="s">
        <v>1382</v>
      </c>
    </row>
    <row r="231" spans="1:18" x14ac:dyDescent="0.25">
      <c r="A231" s="32" t="s">
        <v>725</v>
      </c>
      <c r="B231" s="33" t="s">
        <v>1888</v>
      </c>
      <c r="C231" s="33" t="s">
        <v>1880</v>
      </c>
      <c r="D231" s="34">
        <f>IF($M231&gt;0,$M231,1.85)</f>
        <v>1.85</v>
      </c>
      <c r="E231" s="34">
        <f>IF($O231&gt;0,$O231,0.09)</f>
        <v>0.09</v>
      </c>
      <c r="F231" s="35">
        <v>930</v>
      </c>
      <c r="G231" s="33" t="s">
        <v>1379</v>
      </c>
      <c r="H231" s="36" t="str">
        <f>IF($M231&gt;0,IF($L231&lt;&gt;1,$R231,IFERROR(INDEX('JLR Materials'!$D$2:$D$20001,MATCH($K231,'JLR Materials'!$A$2:$A$20001,0)),$R231)),$R231)</f>
        <v>2026-09</v>
      </c>
      <c r="I231" s="36" t="str">
        <f>IF($M231&gt;0,"JLR rate card — material code "&amp;$K231,$Q231)</f>
        <v>UK resin distributor Jun 2026. EVA 14% vinyl acetate — flexible squeeze bottles, wine casks, co-extrusion tie layers. CoolFactor ~3.3 s/mm². Index-anchored 2026-07 refresh. | Refresh 2026-09: +£0.173/kg from 0.8kg ldpe £0.870→£1.087/kg; premiums held</v>
      </c>
      <c r="J231" s="33" t="s">
        <v>1393</v>
      </c>
      <c r="K231" s="37" t="str">
        <f>IFERROR(INDEX(Mapping!$C$2:$C$549,MATCH($A231,Mapping!$A$2:$A$549,0)),"")</f>
        <v/>
      </c>
      <c r="L231" s="37">
        <f>IF($K231="",0,COUNTIFS('JLR Materials'!$A$2:$A$20001,$K231,'JLR Materials'!$C$2:$C$20001,IF(Settings!$B$2="","&lt;&gt;",Settings!$B$2),'JLR Materials'!$D$2:$D$20001,IF(Settings!$B$4="","&lt;&gt;",Settings!$B$4)))</f>
        <v>0</v>
      </c>
      <c r="M231" s="38">
        <f>IF($L231&lt;&gt;1,0,SUMIFS('JLR Materials'!$E$2:$E$20001,'JLR Materials'!$A$2:$A$20001,$K231,'JLR Materials'!$C$2:$C$20001,IF(Settings!$B$2="","&lt;&gt;",Settings!$B$2),'JLR Materials'!$D$2:$D$20001,IF(Settings!$B$4="","&lt;&gt;",Settings!$B$4)))</f>
        <v>0</v>
      </c>
      <c r="N231" s="39">
        <f>IF($L231&lt;&gt;1,0,SUMIFS('JLR Materials'!$F$2:$F$20001,'JLR Materials'!$A$2:$A$20001,$K231,'JLR Materials'!$C$2:$C$20001,IF(Settings!$B$2="","&lt;&gt;",Settings!$B$2),'JLR Materials'!$D$2:$D$20001,IF(Settings!$B$4="","&lt;&gt;",Settings!$B$4)))</f>
        <v>0</v>
      </c>
      <c r="O231" s="38">
        <f>IF($N231=0,0,IF(Settings!$B$5="percent",$M231*$N231/100,$N231))</f>
        <v>0</v>
      </c>
      <c r="P231" s="39">
        <f>IF($L231&lt;&gt;1,0,SUMIFS('JLR Materials'!$G$2:$G$20001,'JLR Materials'!$A$2:$A$20001,$K231,'JLR Materials'!$C$2:$C$20001,IF(Settings!$B$2="","&lt;&gt;",Settings!$B$2),'JLR Materials'!$D$2:$D$20001,IF(Settings!$B$4="","&lt;&gt;",Settings!$B$4)))</f>
        <v>0</v>
      </c>
      <c r="Q231" s="40" t="s">
        <v>1889</v>
      </c>
      <c r="R231" s="40" t="s">
        <v>1382</v>
      </c>
    </row>
    <row r="232" spans="1:18" x14ac:dyDescent="0.25">
      <c r="A232" s="32" t="s">
        <v>727</v>
      </c>
      <c r="B232" s="33" t="s">
        <v>1890</v>
      </c>
      <c r="C232" s="33" t="s">
        <v>1880</v>
      </c>
      <c r="D232" s="34">
        <f>IF($M232&gt;0,$M232,1.14)</f>
        <v>1.14</v>
      </c>
      <c r="E232" s="34">
        <f>IF($O232&gt;0,$O232,0.12)</f>
        <v>0.12</v>
      </c>
      <c r="F232" s="35">
        <v>950</v>
      </c>
      <c r="G232" s="33" t="s">
        <v>1379</v>
      </c>
      <c r="H232" s="36" t="str">
        <f>IF($M232&gt;0,IF($L232&lt;&gt;1,$R232,IFERROR(INDEX('JLR Materials'!$D$2:$D$20001,MATCH($K232,'JLR Materials'!$A$2:$A$20001,0)),$R232)),$R232)</f>
        <v>2026-09</v>
      </c>
      <c r="I232" s="36" t="str">
        <f>IF($M232&gt;0,"JLR rate card — material code "&amp;$K232,$Q232)</f>
        <v>Index-anchored 2026-07. Blow-moulding HDPE (high MW) — jerry cans, drums, IBC bottles, industrial containers. The workhorse blow resin. CoolFactor ~3.0 s/mm². | Refresh 2026-09: −£0.013/kg from 1kg hdpe £1.060→£1.047/kg; premiums held</v>
      </c>
      <c r="J232" s="33" t="s">
        <v>1380</v>
      </c>
      <c r="K232" s="37" t="str">
        <f>IFERROR(INDEX(Mapping!$C$2:$C$549,MATCH($A232,Mapping!$A$2:$A$549,0)),"")</f>
        <v/>
      </c>
      <c r="L232" s="37">
        <f>IF($K232="",0,COUNTIFS('JLR Materials'!$A$2:$A$20001,$K232,'JLR Materials'!$C$2:$C$20001,IF(Settings!$B$2="","&lt;&gt;",Settings!$B$2),'JLR Materials'!$D$2:$D$20001,IF(Settings!$B$4="","&lt;&gt;",Settings!$B$4)))</f>
        <v>0</v>
      </c>
      <c r="M232" s="38">
        <f>IF($L232&lt;&gt;1,0,SUMIFS('JLR Materials'!$E$2:$E$20001,'JLR Materials'!$A$2:$A$20001,$K232,'JLR Materials'!$C$2:$C$20001,IF(Settings!$B$2="","&lt;&gt;",Settings!$B$2),'JLR Materials'!$D$2:$D$20001,IF(Settings!$B$4="","&lt;&gt;",Settings!$B$4)))</f>
        <v>0</v>
      </c>
      <c r="N232" s="39">
        <f>IF($L232&lt;&gt;1,0,SUMIFS('JLR Materials'!$F$2:$F$20001,'JLR Materials'!$A$2:$A$20001,$K232,'JLR Materials'!$C$2:$C$20001,IF(Settings!$B$2="","&lt;&gt;",Settings!$B$2),'JLR Materials'!$D$2:$D$20001,IF(Settings!$B$4="","&lt;&gt;",Settings!$B$4)))</f>
        <v>0</v>
      </c>
      <c r="O232" s="38">
        <f>IF($N232=0,0,IF(Settings!$B$5="percent",$M232*$N232/100,$N232))</f>
        <v>0</v>
      </c>
      <c r="P232" s="39">
        <f>IF($L232&lt;&gt;1,0,SUMIFS('JLR Materials'!$G$2:$G$20001,'JLR Materials'!$A$2:$A$20001,$K232,'JLR Materials'!$C$2:$C$20001,IF(Settings!$B$2="","&lt;&gt;",Settings!$B$2),'JLR Materials'!$D$2:$D$20001,IF(Settings!$B$4="","&lt;&gt;",Settings!$B$4)))</f>
        <v>0</v>
      </c>
      <c r="Q232" s="40" t="s">
        <v>1891</v>
      </c>
      <c r="R232" s="40" t="s">
        <v>1382</v>
      </c>
    </row>
    <row r="233" spans="1:18" x14ac:dyDescent="0.25">
      <c r="A233" s="32" t="s">
        <v>729</v>
      </c>
      <c r="B233" s="33" t="s">
        <v>1892</v>
      </c>
      <c r="C233" s="33" t="s">
        <v>1880</v>
      </c>
      <c r="D233" s="34">
        <f>IF($M233&gt;0,$M233,1.54)</f>
        <v>1.54</v>
      </c>
      <c r="E233" s="34">
        <f>IF($O233&gt;0,$O233,0.1)</f>
        <v>0.1</v>
      </c>
      <c r="F233" s="35">
        <v>950</v>
      </c>
      <c r="G233" s="33" t="s">
        <v>1379</v>
      </c>
      <c r="H233" s="36" t="str">
        <f>IF($M233&gt;0,IF($L233&lt;&gt;1,$R233,IFERROR(INDEX('JLR Materials'!$D$2:$D$20001,MATCH($K233,'JLR Materials'!$A$2:$A$20001,0)),$R233)),$R233)</f>
        <v>2026-09</v>
      </c>
      <c r="I233" s="36" t="str">
        <f>IF($M233&gt;0,"JLR rate card — material code "&amp;$K233,$Q233)</f>
        <v>Index-anchored 2026-07. Multilayer HDPE/EVOH barrier grade — automotive fuel tanks, permeation-controlled containers. CoolFactor ~3.0 s/mm². | Refresh 2026-09: −£0.013/kg from 1kg hdpe £1.060→£1.047/kg; premiums held</v>
      </c>
      <c r="J233" s="33" t="s">
        <v>1393</v>
      </c>
      <c r="K233" s="37" t="str">
        <f>IFERROR(INDEX(Mapping!$C$2:$C$549,MATCH($A233,Mapping!$A$2:$A$549,0)),"")</f>
        <v/>
      </c>
      <c r="L233" s="37">
        <f>IF($K233="",0,COUNTIFS('JLR Materials'!$A$2:$A$20001,$K233,'JLR Materials'!$C$2:$C$20001,IF(Settings!$B$2="","&lt;&gt;",Settings!$B$2),'JLR Materials'!$D$2:$D$20001,IF(Settings!$B$4="","&lt;&gt;",Settings!$B$4)))</f>
        <v>0</v>
      </c>
      <c r="M233" s="38">
        <f>IF($L233&lt;&gt;1,0,SUMIFS('JLR Materials'!$E$2:$E$20001,'JLR Materials'!$A$2:$A$20001,$K233,'JLR Materials'!$C$2:$C$20001,IF(Settings!$B$2="","&lt;&gt;",Settings!$B$2),'JLR Materials'!$D$2:$D$20001,IF(Settings!$B$4="","&lt;&gt;",Settings!$B$4)))</f>
        <v>0</v>
      </c>
      <c r="N233" s="39">
        <f>IF($L233&lt;&gt;1,0,SUMIFS('JLR Materials'!$F$2:$F$20001,'JLR Materials'!$A$2:$A$20001,$K233,'JLR Materials'!$C$2:$C$20001,IF(Settings!$B$2="","&lt;&gt;",Settings!$B$2),'JLR Materials'!$D$2:$D$20001,IF(Settings!$B$4="","&lt;&gt;",Settings!$B$4)))</f>
        <v>0</v>
      </c>
      <c r="O233" s="38">
        <f>IF($N233=0,0,IF(Settings!$B$5="percent",$M233*$N233/100,$N233))</f>
        <v>0</v>
      </c>
      <c r="P233" s="39">
        <f>IF($L233&lt;&gt;1,0,SUMIFS('JLR Materials'!$G$2:$G$20001,'JLR Materials'!$A$2:$A$20001,$K233,'JLR Materials'!$C$2:$C$20001,IF(Settings!$B$2="","&lt;&gt;",Settings!$B$2),'JLR Materials'!$D$2:$D$20001,IF(Settings!$B$4="","&lt;&gt;",Settings!$B$4)))</f>
        <v>0</v>
      </c>
      <c r="Q233" s="40" t="s">
        <v>1893</v>
      </c>
      <c r="R233" s="40" t="s">
        <v>1382</v>
      </c>
    </row>
    <row r="234" spans="1:18" x14ac:dyDescent="0.25">
      <c r="A234" s="32" t="s">
        <v>731</v>
      </c>
      <c r="B234" s="33" t="s">
        <v>1894</v>
      </c>
      <c r="C234" s="33" t="s">
        <v>1880</v>
      </c>
      <c r="D234" s="34">
        <f>IF($M234&gt;0,$M234,3.1)</f>
        <v>3.1</v>
      </c>
      <c r="E234" s="34">
        <f>IF($O234&gt;0,$O234,0.1)</f>
        <v>0.1</v>
      </c>
      <c r="F234" s="35">
        <v>1130</v>
      </c>
      <c r="G234" s="33" t="s">
        <v>1379</v>
      </c>
      <c r="H234" s="36" t="str">
        <f>IF($M234&gt;0,IF($L234&lt;&gt;1,$R234,IFERROR(INDEX('JLR Materials'!$D$2:$D$20001,MATCH($K234,'JLR Materials'!$A$2:$A$20001,0)),$R234)),$R234)</f>
        <v>2026-09</v>
      </c>
      <c r="I234" s="36" t="str">
        <f>IF($M234&gt;0,"JLR rate card — material code "&amp;$K234,$Q234)</f>
        <v>Index-anchored 2026-07. High-melt-strength PA6 — 3D-blown charge-air ducts, turbo hoses, under-bonnet. CoolFactor ~2.4 s/mm². | Refresh 2026-09: NOT SOURCED — pa6: Not sourced this period: engineering resin prices are paywalled (PIE/ICIS). Direction only: PC rising through Aug 2026, PA6 rebounding, PA66 under pressure, PET declining — no like-for-like June→Sep figures. Held at the June 2026 price.</v>
      </c>
      <c r="J234" s="33" t="s">
        <v>1393</v>
      </c>
      <c r="K234" s="37" t="str">
        <f>IFERROR(INDEX(Mapping!$C$2:$C$549,MATCH($A234,Mapping!$A$2:$A$549,0)),"")</f>
        <v/>
      </c>
      <c r="L234" s="37">
        <f>IF($K234="",0,COUNTIFS('JLR Materials'!$A$2:$A$20001,$K234,'JLR Materials'!$C$2:$C$20001,IF(Settings!$B$2="","&lt;&gt;",Settings!$B$2),'JLR Materials'!$D$2:$D$20001,IF(Settings!$B$4="","&lt;&gt;",Settings!$B$4)))</f>
        <v>0</v>
      </c>
      <c r="M234" s="38">
        <f>IF($L234&lt;&gt;1,0,SUMIFS('JLR Materials'!$E$2:$E$20001,'JLR Materials'!$A$2:$A$20001,$K234,'JLR Materials'!$C$2:$C$20001,IF(Settings!$B$2="","&lt;&gt;",Settings!$B$2),'JLR Materials'!$D$2:$D$20001,IF(Settings!$B$4="","&lt;&gt;",Settings!$B$4)))</f>
        <v>0</v>
      </c>
      <c r="N234" s="39">
        <f>IF($L234&lt;&gt;1,0,SUMIFS('JLR Materials'!$F$2:$F$20001,'JLR Materials'!$A$2:$A$20001,$K234,'JLR Materials'!$C$2:$C$20001,IF(Settings!$B$2="","&lt;&gt;",Settings!$B$2),'JLR Materials'!$D$2:$D$20001,IF(Settings!$B$4="","&lt;&gt;",Settings!$B$4)))</f>
        <v>0</v>
      </c>
      <c r="O234" s="38">
        <f>IF($N234=0,0,IF(Settings!$B$5="percent",$M234*$N234/100,$N234))</f>
        <v>0</v>
      </c>
      <c r="P234" s="39">
        <f>IF($L234&lt;&gt;1,0,SUMIFS('JLR Materials'!$G$2:$G$20001,'JLR Materials'!$A$2:$A$20001,$K234,'JLR Materials'!$C$2:$C$20001,IF(Settings!$B$2="","&lt;&gt;",Settings!$B$2),'JLR Materials'!$D$2:$D$20001,IF(Settings!$B$4="","&lt;&gt;",Settings!$B$4)))</f>
        <v>0</v>
      </c>
      <c r="Q234" s="40" t="s">
        <v>1895</v>
      </c>
      <c r="R234" s="40" t="s">
        <v>1382</v>
      </c>
    </row>
    <row r="235" spans="1:18" x14ac:dyDescent="0.25">
      <c r="A235" s="32" t="s">
        <v>733</v>
      </c>
      <c r="B235" s="33" t="s">
        <v>1896</v>
      </c>
      <c r="C235" s="33" t="s">
        <v>1880</v>
      </c>
      <c r="D235" s="34">
        <f>IF($M235&gt;0,$M235,3.9)</f>
        <v>3.9</v>
      </c>
      <c r="E235" s="34">
        <f>IF($O235&gt;0,$O235,0.08)</f>
        <v>0.08</v>
      </c>
      <c r="F235" s="35">
        <v>1200</v>
      </c>
      <c r="G235" s="33" t="s">
        <v>1379</v>
      </c>
      <c r="H235" s="36" t="str">
        <f>IF($M235&gt;0,IF($L235&lt;&gt;1,$R235,IFERROR(INDEX('JLR Materials'!$D$2:$D$20001,MATCH($K235,'JLR Materials'!$A$2:$A$20001,0)),$R235)),$R235)</f>
        <v>2026-09</v>
      </c>
      <c r="I235" s="36" t="str">
        <f>IF($M235&gt;0,"JLR rate card — material code "&amp;$K235,$Q235)</f>
        <v>Index-anchored 2026-07. Blow-grade polycarbonate — water bottles (5-gal), light globes, impact-clear containers. CoolFactor ~2.5 s/mm². | Refresh 2026-09: NOT SOURCED — pc: Not sourced this period: engineering resin prices are paywalled (PIE/ICIS). Direction only: PC rising through Aug 2026, PA6 rebounding, PA66 under pressure, PET declining — no like-for-like June→Sep figures. Held at the June 2026 price.</v>
      </c>
      <c r="J235" s="33" t="s">
        <v>1393</v>
      </c>
      <c r="K235" s="37" t="str">
        <f>IFERROR(INDEX(Mapping!$C$2:$C$549,MATCH($A235,Mapping!$A$2:$A$549,0)),"")</f>
        <v/>
      </c>
      <c r="L235" s="37">
        <f>IF($K235="",0,COUNTIFS('JLR Materials'!$A$2:$A$20001,$K235,'JLR Materials'!$C$2:$C$20001,IF(Settings!$B$2="","&lt;&gt;",Settings!$B$2),'JLR Materials'!$D$2:$D$20001,IF(Settings!$B$4="","&lt;&gt;",Settings!$B$4)))</f>
        <v>0</v>
      </c>
      <c r="M235" s="38">
        <f>IF($L235&lt;&gt;1,0,SUMIFS('JLR Materials'!$E$2:$E$20001,'JLR Materials'!$A$2:$A$20001,$K235,'JLR Materials'!$C$2:$C$20001,IF(Settings!$B$2="","&lt;&gt;",Settings!$B$2),'JLR Materials'!$D$2:$D$20001,IF(Settings!$B$4="","&lt;&gt;",Settings!$B$4)))</f>
        <v>0</v>
      </c>
      <c r="N235" s="39">
        <f>IF($L235&lt;&gt;1,0,SUMIFS('JLR Materials'!$F$2:$F$20001,'JLR Materials'!$A$2:$A$20001,$K235,'JLR Materials'!$C$2:$C$20001,IF(Settings!$B$2="","&lt;&gt;",Settings!$B$2),'JLR Materials'!$D$2:$D$20001,IF(Settings!$B$4="","&lt;&gt;",Settings!$B$4)))</f>
        <v>0</v>
      </c>
      <c r="O235" s="38">
        <f>IF($N235=0,0,IF(Settings!$B$5="percent",$M235*$N235/100,$N235))</f>
        <v>0</v>
      </c>
      <c r="P235" s="39">
        <f>IF($L235&lt;&gt;1,0,SUMIFS('JLR Materials'!$G$2:$G$20001,'JLR Materials'!$A$2:$A$20001,$K235,'JLR Materials'!$C$2:$C$20001,IF(Settings!$B$2="","&lt;&gt;",Settings!$B$2),'JLR Materials'!$D$2:$D$20001,IF(Settings!$B$4="","&lt;&gt;",Settings!$B$4)))</f>
        <v>0</v>
      </c>
      <c r="Q235" s="40" t="s">
        <v>1897</v>
      </c>
      <c r="R235" s="40" t="s">
        <v>1382</v>
      </c>
    </row>
    <row r="236" spans="1:18" x14ac:dyDescent="0.25">
      <c r="A236" s="32" t="s">
        <v>735</v>
      </c>
      <c r="B236" s="33" t="s">
        <v>1898</v>
      </c>
      <c r="C236" s="33" t="s">
        <v>1880</v>
      </c>
      <c r="D236" s="34">
        <f>IF($M236&gt;0,$M236,1.2)</f>
        <v>1.2</v>
      </c>
      <c r="E236" s="34">
        <f>IF($O236&gt;0,$O236,0.12)</f>
        <v>0.12</v>
      </c>
      <c r="F236" s="35">
        <v>920</v>
      </c>
      <c r="G236" s="33" t="s">
        <v>1379</v>
      </c>
      <c r="H236" s="36" t="str">
        <f>IF($M236&gt;0,IF($L236&lt;&gt;1,$R236,IFERROR(INDEX('JLR Materials'!$D$2:$D$20001,MATCH($K236,'JLR Materials'!$A$2:$A$20001,0)),$R236)),$R236)</f>
        <v>2026-09</v>
      </c>
      <c r="I236" s="36" t="str">
        <f>IF($M236&gt;0,"JLR rate card — material code "&amp;$K236,$Q236)</f>
        <v>Index-anchored 2026-07. Soft squeeze bottles, tubes — low stiffness, high ESCR. CoolFactor ~3.5 s/mm². | Refresh 2026-09: +£0.217/kg from 1kg ldpe £0.870→£1.087/kg; premiums held</v>
      </c>
      <c r="J236" s="33" t="s">
        <v>1380</v>
      </c>
      <c r="K236" s="37" t="str">
        <f>IFERROR(INDEX(Mapping!$C$2:$C$549,MATCH($A236,Mapping!$A$2:$A$549,0)),"")</f>
        <v/>
      </c>
      <c r="L236" s="37">
        <f>IF($K236="",0,COUNTIFS('JLR Materials'!$A$2:$A$20001,$K236,'JLR Materials'!$C$2:$C$20001,IF(Settings!$B$2="","&lt;&gt;",Settings!$B$2),'JLR Materials'!$D$2:$D$20001,IF(Settings!$B$4="","&lt;&gt;",Settings!$B$4)))</f>
        <v>0</v>
      </c>
      <c r="M236" s="38">
        <f>IF($L236&lt;&gt;1,0,SUMIFS('JLR Materials'!$E$2:$E$20001,'JLR Materials'!$A$2:$A$20001,$K236,'JLR Materials'!$C$2:$C$20001,IF(Settings!$B$2="","&lt;&gt;",Settings!$B$2),'JLR Materials'!$D$2:$D$20001,IF(Settings!$B$4="","&lt;&gt;",Settings!$B$4)))</f>
        <v>0</v>
      </c>
      <c r="N236" s="39">
        <f>IF($L236&lt;&gt;1,0,SUMIFS('JLR Materials'!$F$2:$F$20001,'JLR Materials'!$A$2:$A$20001,$K236,'JLR Materials'!$C$2:$C$20001,IF(Settings!$B$2="","&lt;&gt;",Settings!$B$2),'JLR Materials'!$D$2:$D$20001,IF(Settings!$B$4="","&lt;&gt;",Settings!$B$4)))</f>
        <v>0</v>
      </c>
      <c r="O236" s="38">
        <f>IF($N236=0,0,IF(Settings!$B$5="percent",$M236*$N236/100,$N236))</f>
        <v>0</v>
      </c>
      <c r="P236" s="39">
        <f>IF($L236&lt;&gt;1,0,SUMIFS('JLR Materials'!$G$2:$G$20001,'JLR Materials'!$A$2:$A$20001,$K236,'JLR Materials'!$C$2:$C$20001,IF(Settings!$B$2="","&lt;&gt;",Settings!$B$2),'JLR Materials'!$D$2:$D$20001,IF(Settings!$B$4="","&lt;&gt;",Settings!$B$4)))</f>
        <v>0</v>
      </c>
      <c r="Q236" s="40" t="s">
        <v>1899</v>
      </c>
      <c r="R236" s="40" t="s">
        <v>1382</v>
      </c>
    </row>
    <row r="237" spans="1:18" x14ac:dyDescent="0.25">
      <c r="A237" s="32" t="s">
        <v>737</v>
      </c>
      <c r="B237" s="33" t="s">
        <v>1900</v>
      </c>
      <c r="C237" s="33" t="s">
        <v>1880</v>
      </c>
      <c r="D237" s="34">
        <f>IF($M237&gt;0,$M237,1.17)</f>
        <v>1.17</v>
      </c>
      <c r="E237" s="34">
        <f>IF($O237&gt;0,$O237,0.11)</f>
        <v>0.11</v>
      </c>
      <c r="F237" s="35">
        <v>925</v>
      </c>
      <c r="G237" s="33" t="s">
        <v>1379</v>
      </c>
      <c r="H237" s="36" t="str">
        <f>IF($M237&gt;0,IF($L237&lt;&gt;1,$R237,IFERROR(INDEX('JLR Materials'!$D$2:$D$20001,MATCH($K237,'JLR Materials'!$A$2:$A$20001,0)),$R237)),$R237)</f>
        <v>2026-09</v>
      </c>
      <c r="I237" s="36" t="str">
        <f>IF($M237&gt;0,"JLR rate card — material code "&amp;$K237,$Q237)</f>
        <v>Index-anchored 2026-07. Tough small containers, toys — better ESCR/impact than HDPE. CoolFactor ~3.4 s/mm². | Refresh 2026-09: +£0.117/kg from 1kg lldpe £0.930→£1.047/kg; premiums held</v>
      </c>
      <c r="J237" s="33" t="s">
        <v>1380</v>
      </c>
      <c r="K237" s="37" t="str">
        <f>IFERROR(INDEX(Mapping!$C$2:$C$549,MATCH($A237,Mapping!$A$2:$A$549,0)),"")</f>
        <v/>
      </c>
      <c r="L237" s="37">
        <f>IF($K237="",0,COUNTIFS('JLR Materials'!$A$2:$A$20001,$K237,'JLR Materials'!$C$2:$C$20001,IF(Settings!$B$2="","&lt;&gt;",Settings!$B$2),'JLR Materials'!$D$2:$D$20001,IF(Settings!$B$4="","&lt;&gt;",Settings!$B$4)))</f>
        <v>0</v>
      </c>
      <c r="M237" s="38">
        <f>IF($L237&lt;&gt;1,0,SUMIFS('JLR Materials'!$E$2:$E$20001,'JLR Materials'!$A$2:$A$20001,$K237,'JLR Materials'!$C$2:$C$20001,IF(Settings!$B$2="","&lt;&gt;",Settings!$B$2),'JLR Materials'!$D$2:$D$20001,IF(Settings!$B$4="","&lt;&gt;",Settings!$B$4)))</f>
        <v>0</v>
      </c>
      <c r="N237" s="39">
        <f>IF($L237&lt;&gt;1,0,SUMIFS('JLR Materials'!$F$2:$F$20001,'JLR Materials'!$A$2:$A$20001,$K237,'JLR Materials'!$C$2:$C$20001,IF(Settings!$B$2="","&lt;&gt;",Settings!$B$2),'JLR Materials'!$D$2:$D$20001,IF(Settings!$B$4="","&lt;&gt;",Settings!$B$4)))</f>
        <v>0</v>
      </c>
      <c r="O237" s="38">
        <f>IF($N237=0,0,IF(Settings!$B$5="percent",$M237*$N237/100,$N237))</f>
        <v>0</v>
      </c>
      <c r="P237" s="39">
        <f>IF($L237&lt;&gt;1,0,SUMIFS('JLR Materials'!$G$2:$G$20001,'JLR Materials'!$A$2:$A$20001,$K237,'JLR Materials'!$C$2:$C$20001,IF(Settings!$B$2="","&lt;&gt;",Settings!$B$2),'JLR Materials'!$D$2:$D$20001,IF(Settings!$B$4="","&lt;&gt;",Settings!$B$4)))</f>
        <v>0</v>
      </c>
      <c r="Q237" s="40" t="s">
        <v>1901</v>
      </c>
      <c r="R237" s="40" t="s">
        <v>1382</v>
      </c>
    </row>
    <row r="238" spans="1:18" x14ac:dyDescent="0.25">
      <c r="A238" s="32" t="s">
        <v>739</v>
      </c>
      <c r="B238" s="33" t="s">
        <v>1902</v>
      </c>
      <c r="C238" s="33" t="s">
        <v>1880</v>
      </c>
      <c r="D238" s="34">
        <f>IF($M238&gt;0,$M238,1.25)</f>
        <v>1.25</v>
      </c>
      <c r="E238" s="34">
        <f>IF($O238&gt;0,$O238,0.1)</f>
        <v>0.1</v>
      </c>
      <c r="F238" s="35">
        <v>1370</v>
      </c>
      <c r="G238" s="33" t="s">
        <v>1379</v>
      </c>
      <c r="H238" s="36" t="str">
        <f>IF($M238&gt;0,IF($L238&lt;&gt;1,$R238,IFERROR(INDEX('JLR Materials'!$D$2:$D$20001,MATCH($K238,'JLR Materials'!$A$2:$A$20001,0)),$R238)),$R238)</f>
        <v>2026-09</v>
      </c>
      <c r="I238" s="36" t="str">
        <f>IF($M238&gt;0,"JLR rate card — material code "&amp;$K238,$Q238)</f>
        <v>Index-anchored 2026-07. SBM water/CSD/juice bottles (preform reheat-blow). IV ~0.80. CoolFactor ~3.0 s/mm². | Refresh 2026-09: NOT SOURCED — pet: Not sourced this period: engineering resin prices are paywalled (PIE/ICIS). Direction only: PC rising through Aug 2026, PA6 rebounding, PA66 under pressure, PET declining — no like-for-like June→Sep figures. Held at the June 2026 price.</v>
      </c>
      <c r="J238" s="33" t="s">
        <v>1380</v>
      </c>
      <c r="K238" s="37" t="str">
        <f>IFERROR(INDEX(Mapping!$C$2:$C$549,MATCH($A238,Mapping!$A$2:$A$549,0)),"")</f>
        <v/>
      </c>
      <c r="L238" s="37">
        <f>IF($K238="",0,COUNTIFS('JLR Materials'!$A$2:$A$20001,$K238,'JLR Materials'!$C$2:$C$20001,IF(Settings!$B$2="","&lt;&gt;",Settings!$B$2),'JLR Materials'!$D$2:$D$20001,IF(Settings!$B$4="","&lt;&gt;",Settings!$B$4)))</f>
        <v>0</v>
      </c>
      <c r="M238" s="38">
        <f>IF($L238&lt;&gt;1,0,SUMIFS('JLR Materials'!$E$2:$E$20001,'JLR Materials'!$A$2:$A$20001,$K238,'JLR Materials'!$C$2:$C$20001,IF(Settings!$B$2="","&lt;&gt;",Settings!$B$2),'JLR Materials'!$D$2:$D$20001,IF(Settings!$B$4="","&lt;&gt;",Settings!$B$4)))</f>
        <v>0</v>
      </c>
      <c r="N238" s="39">
        <f>IF($L238&lt;&gt;1,0,SUMIFS('JLR Materials'!$F$2:$F$20001,'JLR Materials'!$A$2:$A$20001,$K238,'JLR Materials'!$C$2:$C$20001,IF(Settings!$B$2="","&lt;&gt;",Settings!$B$2),'JLR Materials'!$D$2:$D$20001,IF(Settings!$B$4="","&lt;&gt;",Settings!$B$4)))</f>
        <v>0</v>
      </c>
      <c r="O238" s="38">
        <f>IF($N238=0,0,IF(Settings!$B$5="percent",$M238*$N238/100,$N238))</f>
        <v>0</v>
      </c>
      <c r="P238" s="39">
        <f>IF($L238&lt;&gt;1,0,SUMIFS('JLR Materials'!$G$2:$G$20001,'JLR Materials'!$A$2:$A$20001,$K238,'JLR Materials'!$C$2:$C$20001,IF(Settings!$B$2="","&lt;&gt;",Settings!$B$2),'JLR Materials'!$D$2:$D$20001,IF(Settings!$B$4="","&lt;&gt;",Settings!$B$4)))</f>
        <v>0</v>
      </c>
      <c r="Q238" s="40" t="s">
        <v>1903</v>
      </c>
      <c r="R238" s="40" t="s">
        <v>1382</v>
      </c>
    </row>
    <row r="239" spans="1:18" x14ac:dyDescent="0.25">
      <c r="A239" s="32" t="s">
        <v>741</v>
      </c>
      <c r="B239" s="33" t="s">
        <v>1904</v>
      </c>
      <c r="C239" s="33" t="s">
        <v>1880</v>
      </c>
      <c r="D239" s="34">
        <f>IF($M239&gt;0,$M239,6.5)</f>
        <v>6.5</v>
      </c>
      <c r="E239" s="34">
        <f>IF($O239&gt;0,$O239,0.15)</f>
        <v>0.15</v>
      </c>
      <c r="F239" s="35">
        <v>1180</v>
      </c>
      <c r="G239" s="33" t="s">
        <v>1379</v>
      </c>
      <c r="H239" s="36" t="str">
        <f>IF($M239&gt;0,IF($L239&lt;&gt;1,$R239,IFERROR(INDEX('JLR Materials'!$D$2:$D$20001,MATCH($K239,'JLR Materials'!$A$2:$A$20001,0)),$R239)),$R239)</f>
        <v>2026-09</v>
      </c>
      <c r="I239" s="36" t="str">
        <f>IF($M239&gt;0,"JLR rate card — material code "&amp;$K239,$Q239)</f>
        <v>Index-anchored 2026-07. Premium clarity + impact, BPA-free — reusable bottles, tumblers, medical. CoolFactor ~3.0 s/mm². | Refresh 2026-09: SPECIALTY — no public market index for this grade; held at the June 2026 price — refresh by supplier quote</v>
      </c>
      <c r="J239" s="33" t="s">
        <v>1393</v>
      </c>
      <c r="K239" s="37" t="str">
        <f>IFERROR(INDEX(Mapping!$C$2:$C$549,MATCH($A239,Mapping!$A$2:$A$549,0)),"")</f>
        <v/>
      </c>
      <c r="L239" s="37">
        <f>IF($K239="",0,COUNTIFS('JLR Materials'!$A$2:$A$20001,$K239,'JLR Materials'!$C$2:$C$20001,IF(Settings!$B$2="","&lt;&gt;",Settings!$B$2),'JLR Materials'!$D$2:$D$20001,IF(Settings!$B$4="","&lt;&gt;",Settings!$B$4)))</f>
        <v>0</v>
      </c>
      <c r="M239" s="38">
        <f>IF($L239&lt;&gt;1,0,SUMIFS('JLR Materials'!$E$2:$E$20001,'JLR Materials'!$A$2:$A$20001,$K239,'JLR Materials'!$C$2:$C$20001,IF(Settings!$B$2="","&lt;&gt;",Settings!$B$2),'JLR Materials'!$D$2:$D$20001,IF(Settings!$B$4="","&lt;&gt;",Settings!$B$4)))</f>
        <v>0</v>
      </c>
      <c r="N239" s="39">
        <f>IF($L239&lt;&gt;1,0,SUMIFS('JLR Materials'!$F$2:$F$20001,'JLR Materials'!$A$2:$A$20001,$K239,'JLR Materials'!$C$2:$C$20001,IF(Settings!$B$2="","&lt;&gt;",Settings!$B$2),'JLR Materials'!$D$2:$D$20001,IF(Settings!$B$4="","&lt;&gt;",Settings!$B$4)))</f>
        <v>0</v>
      </c>
      <c r="O239" s="38">
        <f>IF($N239=0,0,IF(Settings!$B$5="percent",$M239*$N239/100,$N239))</f>
        <v>0</v>
      </c>
      <c r="P239" s="39">
        <f>IF($L239&lt;&gt;1,0,SUMIFS('JLR Materials'!$G$2:$G$20001,'JLR Materials'!$A$2:$A$20001,$K239,'JLR Materials'!$C$2:$C$20001,IF(Settings!$B$2="","&lt;&gt;",Settings!$B$2),'JLR Materials'!$D$2:$D$20001,IF(Settings!$B$4="","&lt;&gt;",Settings!$B$4)))</f>
        <v>0</v>
      </c>
      <c r="Q239" s="40" t="s">
        <v>1905</v>
      </c>
      <c r="R239" s="40" t="s">
        <v>1382</v>
      </c>
    </row>
    <row r="240" spans="1:18" x14ac:dyDescent="0.25">
      <c r="A240" s="32" t="s">
        <v>743</v>
      </c>
      <c r="B240" s="33" t="s">
        <v>1906</v>
      </c>
      <c r="C240" s="33" t="s">
        <v>1880</v>
      </c>
      <c r="D240" s="34">
        <f>IF($M240&gt;0,$M240,2.2)</f>
        <v>2.2</v>
      </c>
      <c r="E240" s="34">
        <f>IF($O240&gt;0,$O240,0.12)</f>
        <v>0.12</v>
      </c>
      <c r="F240" s="35">
        <v>950</v>
      </c>
      <c r="G240" s="33" t="s">
        <v>1379</v>
      </c>
      <c r="H240" s="36" t="str">
        <f>IF($M240&gt;0,IF($L240&lt;&gt;1,$R240,IFERROR(INDEX('JLR Materials'!$D$2:$D$20001,MATCH($K240,'JLR Materials'!$A$2:$A$20001,0)),$R240)),$R240)</f>
        <v>2026-09</v>
      </c>
      <c r="I240" s="36" t="str">
        <f>IF($M240&gt;0,"JLR rate card — material code "&amp;$K240,$Q240)</f>
        <v>Index-anchored 2026-07. Drop-in renewable HDPE (I’m green) — cosmetics/food bottles, low-CO₂ packaging. CoolFactor ~3.0 s/mm². | Refresh 2026-09: SPECIALTY — no public market index for this grade; held at the June 2026 price — refresh by supplier quote</v>
      </c>
      <c r="J240" s="33" t="s">
        <v>1393</v>
      </c>
      <c r="K240" s="37" t="str">
        <f>IFERROR(INDEX(Mapping!$C$2:$C$549,MATCH($A240,Mapping!$A$2:$A$549,0)),"")</f>
        <v/>
      </c>
      <c r="L240" s="37">
        <f>IF($K240="",0,COUNTIFS('JLR Materials'!$A$2:$A$20001,$K240,'JLR Materials'!$C$2:$C$20001,IF(Settings!$B$2="","&lt;&gt;",Settings!$B$2),'JLR Materials'!$D$2:$D$20001,IF(Settings!$B$4="","&lt;&gt;",Settings!$B$4)))</f>
        <v>0</v>
      </c>
      <c r="M240" s="38">
        <f>IF($L240&lt;&gt;1,0,SUMIFS('JLR Materials'!$E$2:$E$20001,'JLR Materials'!$A$2:$A$20001,$K240,'JLR Materials'!$C$2:$C$20001,IF(Settings!$B$2="","&lt;&gt;",Settings!$B$2),'JLR Materials'!$D$2:$D$20001,IF(Settings!$B$4="","&lt;&gt;",Settings!$B$4)))</f>
        <v>0</v>
      </c>
      <c r="N240" s="39">
        <f>IF($L240&lt;&gt;1,0,SUMIFS('JLR Materials'!$F$2:$F$20001,'JLR Materials'!$A$2:$A$20001,$K240,'JLR Materials'!$C$2:$C$20001,IF(Settings!$B$2="","&lt;&gt;",Settings!$B$2),'JLR Materials'!$D$2:$D$20001,IF(Settings!$B$4="","&lt;&gt;",Settings!$B$4)))</f>
        <v>0</v>
      </c>
      <c r="O240" s="38">
        <f>IF($N240=0,0,IF(Settings!$B$5="percent",$M240*$N240/100,$N240))</f>
        <v>0</v>
      </c>
      <c r="P240" s="39">
        <f>IF($L240&lt;&gt;1,0,SUMIFS('JLR Materials'!$G$2:$G$20001,'JLR Materials'!$A$2:$A$20001,$K240,'JLR Materials'!$C$2:$C$20001,IF(Settings!$B$2="","&lt;&gt;",Settings!$B$2),'JLR Materials'!$D$2:$D$20001,IF(Settings!$B$4="","&lt;&gt;",Settings!$B$4)))</f>
        <v>0</v>
      </c>
      <c r="Q240" s="40" t="s">
        <v>1907</v>
      </c>
      <c r="R240" s="40" t="s">
        <v>1382</v>
      </c>
    </row>
    <row r="241" spans="1:18" x14ac:dyDescent="0.25">
      <c r="A241" s="32" t="s">
        <v>745</v>
      </c>
      <c r="B241" s="33" t="s">
        <v>1908</v>
      </c>
      <c r="C241" s="33" t="s">
        <v>1880</v>
      </c>
      <c r="D241" s="34">
        <f>IF($M241&gt;0,$M241,0.94)</f>
        <v>0.94</v>
      </c>
      <c r="E241" s="34">
        <f>IF($O241&gt;0,$O241,0.12)</f>
        <v>0.12</v>
      </c>
      <c r="F241" s="35">
        <v>950</v>
      </c>
      <c r="G241" s="33" t="s">
        <v>1379</v>
      </c>
      <c r="H241" s="36" t="str">
        <f>IF($M241&gt;0,IF($L241&lt;&gt;1,$R241,IFERROR(INDEX('JLR Materials'!$D$2:$D$20001,MATCH($K241,'JLR Materials'!$A$2:$A$20001,0)),$R241)),$R241)</f>
        <v>2026-09</v>
      </c>
      <c r="I241" s="36" t="str">
        <f>IF($M241&gt;0,"JLR rate card — material code "&amp;$K241,$Q241)</f>
        <v>Index-anchored 2026-07. Post-consumer HDPE — non-food bottles, detergent, drums; wider property spread. CoolFactor ~3.0 s/mm². | Refresh 2026-09: −£0.008/kg from 0.6kg hdpe £1.060→£1.047/kg; premiums held</v>
      </c>
      <c r="J241" s="33" t="s">
        <v>1393</v>
      </c>
      <c r="K241" s="37" t="str">
        <f>IFERROR(INDEX(Mapping!$C$2:$C$549,MATCH($A241,Mapping!$A$2:$A$549,0)),"")</f>
        <v/>
      </c>
      <c r="L241" s="37">
        <f>IF($K241="",0,COUNTIFS('JLR Materials'!$A$2:$A$20001,$K241,'JLR Materials'!$C$2:$C$20001,IF(Settings!$B$2="","&lt;&gt;",Settings!$B$2),'JLR Materials'!$D$2:$D$20001,IF(Settings!$B$4="","&lt;&gt;",Settings!$B$4)))</f>
        <v>0</v>
      </c>
      <c r="M241" s="38">
        <f>IF($L241&lt;&gt;1,0,SUMIFS('JLR Materials'!$E$2:$E$20001,'JLR Materials'!$A$2:$A$20001,$K241,'JLR Materials'!$C$2:$C$20001,IF(Settings!$B$2="","&lt;&gt;",Settings!$B$2),'JLR Materials'!$D$2:$D$20001,IF(Settings!$B$4="","&lt;&gt;",Settings!$B$4)))</f>
        <v>0</v>
      </c>
      <c r="N241" s="39">
        <f>IF($L241&lt;&gt;1,0,SUMIFS('JLR Materials'!$F$2:$F$20001,'JLR Materials'!$A$2:$A$20001,$K241,'JLR Materials'!$C$2:$C$20001,IF(Settings!$B$2="","&lt;&gt;",Settings!$B$2),'JLR Materials'!$D$2:$D$20001,IF(Settings!$B$4="","&lt;&gt;",Settings!$B$4)))</f>
        <v>0</v>
      </c>
      <c r="O241" s="38">
        <f>IF($N241=0,0,IF(Settings!$B$5="percent",$M241*$N241/100,$N241))</f>
        <v>0</v>
      </c>
      <c r="P241" s="39">
        <f>IF($L241&lt;&gt;1,0,SUMIFS('JLR Materials'!$G$2:$G$20001,'JLR Materials'!$A$2:$A$20001,$K241,'JLR Materials'!$C$2:$C$20001,IF(Settings!$B$2="","&lt;&gt;",Settings!$B$2),'JLR Materials'!$D$2:$D$20001,IF(Settings!$B$4="","&lt;&gt;",Settings!$B$4)))</f>
        <v>0</v>
      </c>
      <c r="Q241" s="40" t="s">
        <v>1909</v>
      </c>
      <c r="R241" s="40" t="s">
        <v>1382</v>
      </c>
    </row>
    <row r="242" spans="1:18" x14ac:dyDescent="0.25">
      <c r="A242" s="32" t="s">
        <v>747</v>
      </c>
      <c r="B242" s="33" t="s">
        <v>1910</v>
      </c>
      <c r="C242" s="33" t="s">
        <v>1880</v>
      </c>
      <c r="D242" s="34">
        <f>IF($M242&gt;0,$M242,0.92)</f>
        <v>0.92</v>
      </c>
      <c r="E242" s="34">
        <f>IF($O242&gt;0,$O242,0.1)</f>
        <v>0.1</v>
      </c>
      <c r="F242" s="35">
        <v>905</v>
      </c>
      <c r="G242" s="33" t="s">
        <v>1379</v>
      </c>
      <c r="H242" s="36" t="str">
        <f>IF($M242&gt;0,IF($L242&lt;&gt;1,$R242,IFERROR(INDEX('JLR Materials'!$D$2:$D$20001,MATCH($K242,'JLR Materials'!$A$2:$A$20001,0)),$R242)),$R242)</f>
        <v>2026-09</v>
      </c>
      <c r="I242" s="36" t="str">
        <f>IF($M242&gt;0,"JLR rate card — material code "&amp;$K242,$Q242)</f>
        <v>Index-anchored 2026-07. Post-consumer PP — non-visible/industrial containers; lower CO₂, wider tolerance. CoolFactor ~3.16 s/mm². | Refresh 2026-09: +£0.016/kg from 0.6kg pp £0.960→£0.987/kg; premiums held</v>
      </c>
      <c r="J242" s="33" t="s">
        <v>1393</v>
      </c>
      <c r="K242" s="37" t="str">
        <f>IFERROR(INDEX(Mapping!$C$2:$C$549,MATCH($A242,Mapping!$A$2:$A$549,0)),"")</f>
        <v/>
      </c>
      <c r="L242" s="37">
        <f>IF($K242="",0,COUNTIFS('JLR Materials'!$A$2:$A$20001,$K242,'JLR Materials'!$C$2:$C$20001,IF(Settings!$B$2="","&lt;&gt;",Settings!$B$2),'JLR Materials'!$D$2:$D$20001,IF(Settings!$B$4="","&lt;&gt;",Settings!$B$4)))</f>
        <v>0</v>
      </c>
      <c r="M242" s="38">
        <f>IF($L242&lt;&gt;1,0,SUMIFS('JLR Materials'!$E$2:$E$20001,'JLR Materials'!$A$2:$A$20001,$K242,'JLR Materials'!$C$2:$C$20001,IF(Settings!$B$2="","&lt;&gt;",Settings!$B$2),'JLR Materials'!$D$2:$D$20001,IF(Settings!$B$4="","&lt;&gt;",Settings!$B$4)))</f>
        <v>0</v>
      </c>
      <c r="N242" s="39">
        <f>IF($L242&lt;&gt;1,0,SUMIFS('JLR Materials'!$F$2:$F$20001,'JLR Materials'!$A$2:$A$20001,$K242,'JLR Materials'!$C$2:$C$20001,IF(Settings!$B$2="","&lt;&gt;",Settings!$B$2),'JLR Materials'!$D$2:$D$20001,IF(Settings!$B$4="","&lt;&gt;",Settings!$B$4)))</f>
        <v>0</v>
      </c>
      <c r="O242" s="38">
        <f>IF($N242=0,0,IF(Settings!$B$5="percent",$M242*$N242/100,$N242))</f>
        <v>0</v>
      </c>
      <c r="P242" s="39">
        <f>IF($L242&lt;&gt;1,0,SUMIFS('JLR Materials'!$G$2:$G$20001,'JLR Materials'!$A$2:$A$20001,$K242,'JLR Materials'!$C$2:$C$20001,IF(Settings!$B$2="","&lt;&gt;",Settings!$B$2),'JLR Materials'!$D$2:$D$20001,IF(Settings!$B$4="","&lt;&gt;",Settings!$B$4)))</f>
        <v>0</v>
      </c>
      <c r="Q242" s="40" t="s">
        <v>1911</v>
      </c>
      <c r="R242" s="40" t="s">
        <v>1382</v>
      </c>
    </row>
    <row r="243" spans="1:18" x14ac:dyDescent="0.25">
      <c r="A243" s="32" t="s">
        <v>749</v>
      </c>
      <c r="B243" s="33" t="s">
        <v>1912</v>
      </c>
      <c r="C243" s="33" t="s">
        <v>1913</v>
      </c>
      <c r="D243" s="34">
        <f>IF($M243&gt;0,$M243,1.34)</f>
        <v>1.34</v>
      </c>
      <c r="E243" s="34">
        <f>IF($O243&gt;0,$O243,0.12)</f>
        <v>0.12</v>
      </c>
      <c r="F243" s="35">
        <v>960</v>
      </c>
      <c r="G243" s="33" t="s">
        <v>1379</v>
      </c>
      <c r="H243" s="36" t="str">
        <f>IF($M243&gt;0,IF($L243&lt;&gt;1,$R243,IFERROR(INDEX('JLR Materials'!$D$2:$D$20001,MATCH($K243,'JLR Materials'!$A$2:$A$20001,0)),$R243)),$R243)</f>
        <v>2026-09</v>
      </c>
      <c r="I243" s="36" t="str">
        <f>IF($M243&gt;0,"JLR rate card — material code "&amp;$K243,$Q243)</f>
        <v>UK pipe-resin benchmark 2026-07. High-MW bimodal HDPE — pressure water/gas pipe (PE4710). Die swell ~15%. | Refresh 2026-09: −£0.013/kg from 1kg hdpe £1.060→£1.047/kg; premiums held</v>
      </c>
      <c r="J243" s="33" t="s">
        <v>1380</v>
      </c>
      <c r="K243" s="37" t="str">
        <f>IFERROR(INDEX(Mapping!$C$2:$C$549,MATCH($A243,Mapping!$A$2:$A$549,0)),"")</f>
        <v/>
      </c>
      <c r="L243" s="37">
        <f>IF($K243="",0,COUNTIFS('JLR Materials'!$A$2:$A$20001,$K243,'JLR Materials'!$C$2:$C$20001,IF(Settings!$B$2="","&lt;&gt;",Settings!$B$2),'JLR Materials'!$D$2:$D$20001,IF(Settings!$B$4="","&lt;&gt;",Settings!$B$4)))</f>
        <v>0</v>
      </c>
      <c r="M243" s="38">
        <f>IF($L243&lt;&gt;1,0,SUMIFS('JLR Materials'!$E$2:$E$20001,'JLR Materials'!$A$2:$A$20001,$K243,'JLR Materials'!$C$2:$C$20001,IF(Settings!$B$2="","&lt;&gt;",Settings!$B$2),'JLR Materials'!$D$2:$D$20001,IF(Settings!$B$4="","&lt;&gt;",Settings!$B$4)))</f>
        <v>0</v>
      </c>
      <c r="N243" s="39">
        <f>IF($L243&lt;&gt;1,0,SUMIFS('JLR Materials'!$F$2:$F$20001,'JLR Materials'!$A$2:$A$20001,$K243,'JLR Materials'!$C$2:$C$20001,IF(Settings!$B$2="","&lt;&gt;",Settings!$B$2),'JLR Materials'!$D$2:$D$20001,IF(Settings!$B$4="","&lt;&gt;",Settings!$B$4)))</f>
        <v>0</v>
      </c>
      <c r="O243" s="38">
        <f>IF($N243=0,0,IF(Settings!$B$5="percent",$M243*$N243/100,$N243))</f>
        <v>0</v>
      </c>
      <c r="P243" s="39">
        <f>IF($L243&lt;&gt;1,0,SUMIFS('JLR Materials'!$G$2:$G$20001,'JLR Materials'!$A$2:$A$20001,$K243,'JLR Materials'!$C$2:$C$20001,IF(Settings!$B$2="","&lt;&gt;",Settings!$B$2),'JLR Materials'!$D$2:$D$20001,IF(Settings!$B$4="","&lt;&gt;",Settings!$B$4)))</f>
        <v>0</v>
      </c>
      <c r="Q243" s="40" t="s">
        <v>1914</v>
      </c>
      <c r="R243" s="40" t="s">
        <v>1382</v>
      </c>
    </row>
    <row r="244" spans="1:18" x14ac:dyDescent="0.25">
      <c r="A244" s="32" t="s">
        <v>751</v>
      </c>
      <c r="B244" s="33" t="s">
        <v>1915</v>
      </c>
      <c r="C244" s="33" t="s">
        <v>1913</v>
      </c>
      <c r="D244" s="34">
        <f>IF($M244&gt;0,$M244,1.27)</f>
        <v>1.27</v>
      </c>
      <c r="E244" s="34">
        <f>IF($O244&gt;0,$O244,0.12)</f>
        <v>0.12</v>
      </c>
      <c r="F244" s="35">
        <v>950</v>
      </c>
      <c r="G244" s="33" t="s">
        <v>1379</v>
      </c>
      <c r="H244" s="36" t="str">
        <f>IF($M244&gt;0,IF($L244&lt;&gt;1,$R244,IFERROR(INDEX('JLR Materials'!$D$2:$D$20001,MATCH($K244,'JLR Materials'!$A$2:$A$20001,0)),$R244)),$R244)</f>
        <v>2026-09</v>
      </c>
      <c r="I244" s="36" t="str">
        <f>IF($M244&gt;0,"JLR rate card — material code "&amp;$K244,$Q244)</f>
        <v>UK pipe-resin benchmark 2026-07. Medium-density pipe grade — gas/drainage pipe. | Refresh 2026-09: −£0.013/kg from 1kg hdpe £1.060→£1.047/kg; premiums held</v>
      </c>
      <c r="J244" s="33" t="s">
        <v>1380</v>
      </c>
      <c r="K244" s="37" t="str">
        <f>IFERROR(INDEX(Mapping!$C$2:$C$549,MATCH($A244,Mapping!$A$2:$A$549,0)),"")</f>
        <v/>
      </c>
      <c r="L244" s="37">
        <f>IF($K244="",0,COUNTIFS('JLR Materials'!$A$2:$A$20001,$K244,'JLR Materials'!$C$2:$C$20001,IF(Settings!$B$2="","&lt;&gt;",Settings!$B$2),'JLR Materials'!$D$2:$D$20001,IF(Settings!$B$4="","&lt;&gt;",Settings!$B$4)))</f>
        <v>0</v>
      </c>
      <c r="M244" s="38">
        <f>IF($L244&lt;&gt;1,0,SUMIFS('JLR Materials'!$E$2:$E$20001,'JLR Materials'!$A$2:$A$20001,$K244,'JLR Materials'!$C$2:$C$20001,IF(Settings!$B$2="","&lt;&gt;",Settings!$B$2),'JLR Materials'!$D$2:$D$20001,IF(Settings!$B$4="","&lt;&gt;",Settings!$B$4)))</f>
        <v>0</v>
      </c>
      <c r="N244" s="39">
        <f>IF($L244&lt;&gt;1,0,SUMIFS('JLR Materials'!$F$2:$F$20001,'JLR Materials'!$A$2:$A$20001,$K244,'JLR Materials'!$C$2:$C$20001,IF(Settings!$B$2="","&lt;&gt;",Settings!$B$2),'JLR Materials'!$D$2:$D$20001,IF(Settings!$B$4="","&lt;&gt;",Settings!$B$4)))</f>
        <v>0</v>
      </c>
      <c r="O244" s="38">
        <f>IF($N244=0,0,IF(Settings!$B$5="percent",$M244*$N244/100,$N244))</f>
        <v>0</v>
      </c>
      <c r="P244" s="39">
        <f>IF($L244&lt;&gt;1,0,SUMIFS('JLR Materials'!$G$2:$G$20001,'JLR Materials'!$A$2:$A$20001,$K244,'JLR Materials'!$C$2:$C$20001,IF(Settings!$B$2="","&lt;&gt;",Settings!$B$2),'JLR Materials'!$D$2:$D$20001,IF(Settings!$B$4="","&lt;&gt;",Settings!$B$4)))</f>
        <v>0</v>
      </c>
      <c r="Q244" s="40" t="s">
        <v>1916</v>
      </c>
      <c r="R244" s="40" t="s">
        <v>1382</v>
      </c>
    </row>
    <row r="245" spans="1:18" x14ac:dyDescent="0.25">
      <c r="A245" s="32" t="s">
        <v>753</v>
      </c>
      <c r="B245" s="33" t="s">
        <v>1917</v>
      </c>
      <c r="C245" s="33" t="s">
        <v>1913</v>
      </c>
      <c r="D245" s="34">
        <f>IF($M245&gt;0,$M245,0.83)</f>
        <v>0.83</v>
      </c>
      <c r="E245" s="34">
        <f>IF($O245&gt;0,$O245,0.05)</f>
        <v>0.05</v>
      </c>
      <c r="F245" s="35">
        <v>1420</v>
      </c>
      <c r="G245" s="33" t="s">
        <v>1379</v>
      </c>
      <c r="H245" s="36" t="str">
        <f>IF($M245&gt;0,IF($L245&lt;&gt;1,$R245,IFERROR(INDEX('JLR Materials'!$D$2:$D$20001,MATCH($K245,'JLR Materials'!$A$2:$A$20001,0)),$R245)),$R245)</f>
        <v>2026-09</v>
      </c>
      <c r="I245" s="36" t="str">
        <f>IF($M245&gt;0,"JLR rate card — material code "&amp;$K245,$Q245)</f>
        <v>UK PVC compounder 2026-07. Rigid PVC-U pressure/soil pipe compound (Ca-Zn stabilised). Low die swell ~5%. Heat-sensitive — limits output. | Refresh 2026-09: −£0.066/kg from 0.85kg pvc £0.453→£0.375/kg; premiums held</v>
      </c>
      <c r="J245" s="33" t="s">
        <v>1380</v>
      </c>
      <c r="K245" s="37" t="str">
        <f>IFERROR(INDEX(Mapping!$C$2:$C$549,MATCH($A245,Mapping!$A$2:$A$549,0)),"")</f>
        <v/>
      </c>
      <c r="L245" s="37">
        <f>IF($K245="",0,COUNTIFS('JLR Materials'!$A$2:$A$20001,$K245,'JLR Materials'!$C$2:$C$20001,IF(Settings!$B$2="","&lt;&gt;",Settings!$B$2),'JLR Materials'!$D$2:$D$20001,IF(Settings!$B$4="","&lt;&gt;",Settings!$B$4)))</f>
        <v>0</v>
      </c>
      <c r="M245" s="38">
        <f>IF($L245&lt;&gt;1,0,SUMIFS('JLR Materials'!$E$2:$E$20001,'JLR Materials'!$A$2:$A$20001,$K245,'JLR Materials'!$C$2:$C$20001,IF(Settings!$B$2="","&lt;&gt;",Settings!$B$2),'JLR Materials'!$D$2:$D$20001,IF(Settings!$B$4="","&lt;&gt;",Settings!$B$4)))</f>
        <v>0</v>
      </c>
      <c r="N245" s="39">
        <f>IF($L245&lt;&gt;1,0,SUMIFS('JLR Materials'!$F$2:$F$20001,'JLR Materials'!$A$2:$A$20001,$K245,'JLR Materials'!$C$2:$C$20001,IF(Settings!$B$2="","&lt;&gt;",Settings!$B$2),'JLR Materials'!$D$2:$D$20001,IF(Settings!$B$4="","&lt;&gt;",Settings!$B$4)))</f>
        <v>0</v>
      </c>
      <c r="O245" s="38">
        <f>IF($N245=0,0,IF(Settings!$B$5="percent",$M245*$N245/100,$N245))</f>
        <v>0</v>
      </c>
      <c r="P245" s="39">
        <f>IF($L245&lt;&gt;1,0,SUMIFS('JLR Materials'!$G$2:$G$20001,'JLR Materials'!$A$2:$A$20001,$K245,'JLR Materials'!$C$2:$C$20001,IF(Settings!$B$2="","&lt;&gt;",Settings!$B$2),'JLR Materials'!$D$2:$D$20001,IF(Settings!$B$4="","&lt;&gt;",Settings!$B$4)))</f>
        <v>0</v>
      </c>
      <c r="Q245" s="40" t="s">
        <v>1918</v>
      </c>
      <c r="R245" s="40" t="s">
        <v>1382</v>
      </c>
    </row>
    <row r="246" spans="1:18" x14ac:dyDescent="0.25">
      <c r="A246" s="32" t="s">
        <v>755</v>
      </c>
      <c r="B246" s="33" t="s">
        <v>1919</v>
      </c>
      <c r="C246" s="33" t="s">
        <v>1913</v>
      </c>
      <c r="D246" s="34">
        <f>IF($M246&gt;0,$M246,1.3)</f>
        <v>1.3</v>
      </c>
      <c r="E246" s="34">
        <f>IF($O246&gt;0,$O246,0.05)</f>
        <v>0.05</v>
      </c>
      <c r="F246" s="35">
        <v>1350</v>
      </c>
      <c r="G246" s="33" t="s">
        <v>1379</v>
      </c>
      <c r="H246" s="36" t="str">
        <f>IF($M246&gt;0,IF($L246&lt;&gt;1,$R246,IFERROR(INDEX('JLR Materials'!$D$2:$D$20001,MATCH($K246,'JLR Materials'!$A$2:$A$20001,0)),$R246)),$R246)</f>
        <v>2026-09</v>
      </c>
      <c r="I246" s="36" t="str">
        <f>IF($M246&gt;0,"JLR rate card — material code "&amp;$K246,$Q246)</f>
        <v>UK cable-compound benchmark 2026-07. Plasticised PVC insulation/sheathing — building wire, flex cords. | Refresh 2026-09: −£0.047/kg from 0.6kg pvc £0.453→£0.375/kg; premiums held</v>
      </c>
      <c r="J246" s="33" t="s">
        <v>1380</v>
      </c>
      <c r="K246" s="37" t="str">
        <f>IFERROR(INDEX(Mapping!$C$2:$C$549,MATCH($A246,Mapping!$A$2:$A$549,0)),"")</f>
        <v/>
      </c>
      <c r="L246" s="37">
        <f>IF($K246="",0,COUNTIFS('JLR Materials'!$A$2:$A$20001,$K246,'JLR Materials'!$C$2:$C$20001,IF(Settings!$B$2="","&lt;&gt;",Settings!$B$2),'JLR Materials'!$D$2:$D$20001,IF(Settings!$B$4="","&lt;&gt;",Settings!$B$4)))</f>
        <v>0</v>
      </c>
      <c r="M246" s="38">
        <f>IF($L246&lt;&gt;1,0,SUMIFS('JLR Materials'!$E$2:$E$20001,'JLR Materials'!$A$2:$A$20001,$K246,'JLR Materials'!$C$2:$C$20001,IF(Settings!$B$2="","&lt;&gt;",Settings!$B$2),'JLR Materials'!$D$2:$D$20001,IF(Settings!$B$4="","&lt;&gt;",Settings!$B$4)))</f>
        <v>0</v>
      </c>
      <c r="N246" s="39">
        <f>IF($L246&lt;&gt;1,0,SUMIFS('JLR Materials'!$F$2:$F$20001,'JLR Materials'!$A$2:$A$20001,$K246,'JLR Materials'!$C$2:$C$20001,IF(Settings!$B$2="","&lt;&gt;",Settings!$B$2),'JLR Materials'!$D$2:$D$20001,IF(Settings!$B$4="","&lt;&gt;",Settings!$B$4)))</f>
        <v>0</v>
      </c>
      <c r="O246" s="38">
        <f>IF($N246=0,0,IF(Settings!$B$5="percent",$M246*$N246/100,$N246))</f>
        <v>0</v>
      </c>
      <c r="P246" s="39">
        <f>IF($L246&lt;&gt;1,0,SUMIFS('JLR Materials'!$G$2:$G$20001,'JLR Materials'!$A$2:$A$20001,$K246,'JLR Materials'!$C$2:$C$20001,IF(Settings!$B$2="","&lt;&gt;",Settings!$B$2),'JLR Materials'!$D$2:$D$20001,IF(Settings!$B$4="","&lt;&gt;",Settings!$B$4)))</f>
        <v>0</v>
      </c>
      <c r="Q246" s="40" t="s">
        <v>1920</v>
      </c>
      <c r="R246" s="40" t="s">
        <v>1382</v>
      </c>
    </row>
    <row r="247" spans="1:18" x14ac:dyDescent="0.25">
      <c r="A247" s="32" t="s">
        <v>757</v>
      </c>
      <c r="B247" s="33" t="s">
        <v>1921</v>
      </c>
      <c r="C247" s="33" t="s">
        <v>1913</v>
      </c>
      <c r="D247" s="34">
        <f>IF($M247&gt;0,$M247,2.32)</f>
        <v>2.32</v>
      </c>
      <c r="E247" s="34">
        <f>IF($O247&gt;0,$O247,0)</f>
        <v>0</v>
      </c>
      <c r="F247" s="35">
        <v>925</v>
      </c>
      <c r="G247" s="33" t="s">
        <v>1379</v>
      </c>
      <c r="H247" s="36" t="str">
        <f>IF($M247&gt;0,IF($L247&lt;&gt;1,$R247,IFERROR(INDEX('JLR Materials'!$D$2:$D$20001,MATCH($K247,'JLR Materials'!$A$2:$A$20001,0)),$R247)),$R247)</f>
        <v>2026-09</v>
      </c>
      <c r="I247" s="36" t="str">
        <f>IF($M247&gt;0,"JLR rate card — material code "&amp;$K247,$Q247)</f>
        <v>UK cable-compound benchmark 2026-07. Crosslinkable PE (peroxide/silane) — MV/HV cable insulation. Cured, non-recyclable scrap. | Refresh 2026-09: +£0.217/kg from 1kg ldpe £0.870→£1.087/kg; premiums held</v>
      </c>
      <c r="J247" s="33" t="s">
        <v>1393</v>
      </c>
      <c r="K247" s="37" t="str">
        <f>IFERROR(INDEX(Mapping!$C$2:$C$549,MATCH($A247,Mapping!$A$2:$A$549,0)),"")</f>
        <v/>
      </c>
      <c r="L247" s="37">
        <f>IF($K247="",0,COUNTIFS('JLR Materials'!$A$2:$A$20001,$K247,'JLR Materials'!$C$2:$C$20001,IF(Settings!$B$2="","&lt;&gt;",Settings!$B$2),'JLR Materials'!$D$2:$D$20001,IF(Settings!$B$4="","&lt;&gt;",Settings!$B$4)))</f>
        <v>0</v>
      </c>
      <c r="M247" s="38">
        <f>IF($L247&lt;&gt;1,0,SUMIFS('JLR Materials'!$E$2:$E$20001,'JLR Materials'!$A$2:$A$20001,$K247,'JLR Materials'!$C$2:$C$20001,IF(Settings!$B$2="","&lt;&gt;",Settings!$B$2),'JLR Materials'!$D$2:$D$20001,IF(Settings!$B$4="","&lt;&gt;",Settings!$B$4)))</f>
        <v>0</v>
      </c>
      <c r="N247" s="39">
        <f>IF($L247&lt;&gt;1,0,SUMIFS('JLR Materials'!$F$2:$F$20001,'JLR Materials'!$A$2:$A$20001,$K247,'JLR Materials'!$C$2:$C$20001,IF(Settings!$B$2="","&lt;&gt;",Settings!$B$2),'JLR Materials'!$D$2:$D$20001,IF(Settings!$B$4="","&lt;&gt;",Settings!$B$4)))</f>
        <v>0</v>
      </c>
      <c r="O247" s="38">
        <f>IF($N247=0,0,IF(Settings!$B$5="percent",$M247*$N247/100,$N247))</f>
        <v>0</v>
      </c>
      <c r="P247" s="39">
        <f>IF($L247&lt;&gt;1,0,SUMIFS('JLR Materials'!$G$2:$G$20001,'JLR Materials'!$A$2:$A$20001,$K247,'JLR Materials'!$C$2:$C$20001,IF(Settings!$B$2="","&lt;&gt;",Settings!$B$2),'JLR Materials'!$D$2:$D$20001,IF(Settings!$B$4="","&lt;&gt;",Settings!$B$4)))</f>
        <v>0</v>
      </c>
      <c r="Q247" s="40" t="s">
        <v>1922</v>
      </c>
      <c r="R247" s="40" t="s">
        <v>1382</v>
      </c>
    </row>
    <row r="248" spans="1:18" x14ac:dyDescent="0.25">
      <c r="A248" s="32" t="s">
        <v>759</v>
      </c>
      <c r="B248" s="33" t="s">
        <v>1923</v>
      </c>
      <c r="C248" s="33" t="s">
        <v>1913</v>
      </c>
      <c r="D248" s="34">
        <f>IF($M248&gt;0,$M248,1.67)</f>
        <v>1.67</v>
      </c>
      <c r="E248" s="34">
        <f>IF($O248&gt;0,$O248,0.1)</f>
        <v>0.1</v>
      </c>
      <c r="F248" s="35">
        <v>1050</v>
      </c>
      <c r="G248" s="33" t="s">
        <v>1379</v>
      </c>
      <c r="H248" s="36" t="str">
        <f>IF($M248&gt;0,IF($L248&lt;&gt;1,$R248,IFERROR(INDEX('JLR Materials'!$D$2:$D$20001,MATCH($K248,'JLR Materials'!$A$2:$A$20001,0)),$R248)),$R248)</f>
        <v>2026-09</v>
      </c>
      <c r="I248" s="36" t="str">
        <f>IF($M248&gt;0,"JLR rate card — material code "&amp;$K248,$Q248)</f>
        <v>UK resin distributor 2026-07. General-purpose PS — clear thermoforming/sign sheet. Low die swell. | Refresh 2026-09: +£0.369/kg from 1kg gpps £1.000→£1.369/kg; premiums held</v>
      </c>
      <c r="J248" s="33" t="s">
        <v>1380</v>
      </c>
      <c r="K248" s="37" t="str">
        <f>IFERROR(INDEX(Mapping!$C$2:$C$549,MATCH($A248,Mapping!$A$2:$A$549,0)),"")</f>
        <v/>
      </c>
      <c r="L248" s="37">
        <f>IF($K248="",0,COUNTIFS('JLR Materials'!$A$2:$A$20001,$K248,'JLR Materials'!$C$2:$C$20001,IF(Settings!$B$2="","&lt;&gt;",Settings!$B$2),'JLR Materials'!$D$2:$D$20001,IF(Settings!$B$4="","&lt;&gt;",Settings!$B$4)))</f>
        <v>0</v>
      </c>
      <c r="M248" s="38">
        <f>IF($L248&lt;&gt;1,0,SUMIFS('JLR Materials'!$E$2:$E$20001,'JLR Materials'!$A$2:$A$20001,$K248,'JLR Materials'!$C$2:$C$20001,IF(Settings!$B$2="","&lt;&gt;",Settings!$B$2),'JLR Materials'!$D$2:$D$20001,IF(Settings!$B$4="","&lt;&gt;",Settings!$B$4)))</f>
        <v>0</v>
      </c>
      <c r="N248" s="39">
        <f>IF($L248&lt;&gt;1,0,SUMIFS('JLR Materials'!$F$2:$F$20001,'JLR Materials'!$A$2:$A$20001,$K248,'JLR Materials'!$C$2:$C$20001,IF(Settings!$B$2="","&lt;&gt;",Settings!$B$2),'JLR Materials'!$D$2:$D$20001,IF(Settings!$B$4="","&lt;&gt;",Settings!$B$4)))</f>
        <v>0</v>
      </c>
      <c r="O248" s="38">
        <f>IF($N248=0,0,IF(Settings!$B$5="percent",$M248*$N248/100,$N248))</f>
        <v>0</v>
      </c>
      <c r="P248" s="39">
        <f>IF($L248&lt;&gt;1,0,SUMIFS('JLR Materials'!$G$2:$G$20001,'JLR Materials'!$A$2:$A$20001,$K248,'JLR Materials'!$C$2:$C$20001,IF(Settings!$B$2="","&lt;&gt;",Settings!$B$2),'JLR Materials'!$D$2:$D$20001,IF(Settings!$B$4="","&lt;&gt;",Settings!$B$4)))</f>
        <v>0</v>
      </c>
      <c r="Q248" s="40" t="s">
        <v>1924</v>
      </c>
      <c r="R248" s="40" t="s">
        <v>1382</v>
      </c>
    </row>
    <row r="249" spans="1:18" x14ac:dyDescent="0.25">
      <c r="A249" s="32" t="s">
        <v>761</v>
      </c>
      <c r="B249" s="33" t="s">
        <v>1925</v>
      </c>
      <c r="C249" s="33" t="s">
        <v>1913</v>
      </c>
      <c r="D249" s="34">
        <f>IF($M249&gt;0,$M249,1.79)</f>
        <v>1.79</v>
      </c>
      <c r="E249" s="34">
        <f>IF($O249&gt;0,$O249,0.1)</f>
        <v>0.1</v>
      </c>
      <c r="F249" s="35">
        <v>1050</v>
      </c>
      <c r="G249" s="33" t="s">
        <v>1379</v>
      </c>
      <c r="H249" s="36" t="str">
        <f>IF($M249&gt;0,IF($L249&lt;&gt;1,$R249,IFERROR(INDEX('JLR Materials'!$D$2:$D$20001,MATCH($K249,'JLR Materials'!$A$2:$A$20001,0)),$R249)),$R249)</f>
        <v>2026-09</v>
      </c>
      <c r="I249" s="36" t="str">
        <f>IF($M249&gt;0,"JLR rate card — material code "&amp;$K249,$Q249)</f>
        <v>UK resin distributor 2026-07. Extrusion ABS — automotive/appliance thermoforming sheet, capstock. | Refresh 2026-09: −£0.065/kg from 1kg abs £0.775→£0.710/kg; premiums held</v>
      </c>
      <c r="J249" s="33" t="s">
        <v>1380</v>
      </c>
      <c r="K249" s="37" t="str">
        <f>IFERROR(INDEX(Mapping!$C$2:$C$549,MATCH($A249,Mapping!$A$2:$A$549,0)),"")</f>
        <v/>
      </c>
      <c r="L249" s="37">
        <f>IF($K249="",0,COUNTIFS('JLR Materials'!$A$2:$A$20001,$K249,'JLR Materials'!$C$2:$C$20001,IF(Settings!$B$2="","&lt;&gt;",Settings!$B$2),'JLR Materials'!$D$2:$D$20001,IF(Settings!$B$4="","&lt;&gt;",Settings!$B$4)))</f>
        <v>0</v>
      </c>
      <c r="M249" s="38">
        <f>IF($L249&lt;&gt;1,0,SUMIFS('JLR Materials'!$E$2:$E$20001,'JLR Materials'!$A$2:$A$20001,$K249,'JLR Materials'!$C$2:$C$20001,IF(Settings!$B$2="","&lt;&gt;",Settings!$B$2),'JLR Materials'!$D$2:$D$20001,IF(Settings!$B$4="","&lt;&gt;",Settings!$B$4)))</f>
        <v>0</v>
      </c>
      <c r="N249" s="39">
        <f>IF($L249&lt;&gt;1,0,SUMIFS('JLR Materials'!$F$2:$F$20001,'JLR Materials'!$A$2:$A$20001,$K249,'JLR Materials'!$C$2:$C$20001,IF(Settings!$B$2="","&lt;&gt;",Settings!$B$2),'JLR Materials'!$D$2:$D$20001,IF(Settings!$B$4="","&lt;&gt;",Settings!$B$4)))</f>
        <v>0</v>
      </c>
      <c r="O249" s="38">
        <f>IF($N249=0,0,IF(Settings!$B$5="percent",$M249*$N249/100,$N249))</f>
        <v>0</v>
      </c>
      <c r="P249" s="39">
        <f>IF($L249&lt;&gt;1,0,SUMIFS('JLR Materials'!$G$2:$G$20001,'JLR Materials'!$A$2:$A$20001,$K249,'JLR Materials'!$C$2:$C$20001,IF(Settings!$B$2="","&lt;&gt;",Settings!$B$2),'JLR Materials'!$D$2:$D$20001,IF(Settings!$B$4="","&lt;&gt;",Settings!$B$4)))</f>
        <v>0</v>
      </c>
      <c r="Q249" s="40" t="s">
        <v>1926</v>
      </c>
      <c r="R249" s="40" t="s">
        <v>1382</v>
      </c>
    </row>
    <row r="250" spans="1:18" x14ac:dyDescent="0.25">
      <c r="A250" s="32" t="s">
        <v>763</v>
      </c>
      <c r="B250" s="33" t="s">
        <v>1927</v>
      </c>
      <c r="C250" s="33" t="s">
        <v>1913</v>
      </c>
      <c r="D250" s="34">
        <f>IF($M250&gt;0,$M250,2.6)</f>
        <v>2.6</v>
      </c>
      <c r="E250" s="34">
        <f>IF($O250&gt;0,$O250,0.08)</f>
        <v>0.08</v>
      </c>
      <c r="F250" s="35">
        <v>1190</v>
      </c>
      <c r="G250" s="33" t="s">
        <v>1379</v>
      </c>
      <c r="H250" s="36" t="str">
        <f>IF($M250&gt;0,IF($L250&lt;&gt;1,$R250,IFERROR(INDEX('JLR Materials'!$D$2:$D$20001,MATCH($K250,'JLR Materials'!$A$2:$A$20001,0)),$R250)),$R250)</f>
        <v>2026-09</v>
      </c>
      <c r="I250" s="36" t="str">
        <f>IF($M250&gt;0,"JLR rate card — material code "&amp;$K250,$Q250)</f>
        <v>UK resin distributor 2026-07. Extruded acrylic sheet — glazing, signage, light guides. Low die swell. | Refresh 2026-09: NOT SOURCED — pmma: Not sourced this period: engineering resin prices are paywalled (PIE/ICIS). Direction only: PC rising through Aug 2026, PA6 rebounding, PA66 under pressure, PET declining — no like-for-like June→Sep figures. Held at the June 2026 price.</v>
      </c>
      <c r="J250" s="33" t="s">
        <v>1393</v>
      </c>
      <c r="K250" s="37" t="str">
        <f>IFERROR(INDEX(Mapping!$C$2:$C$549,MATCH($A250,Mapping!$A$2:$A$549,0)),"")</f>
        <v/>
      </c>
      <c r="L250" s="37">
        <f>IF($K250="",0,COUNTIFS('JLR Materials'!$A$2:$A$20001,$K250,'JLR Materials'!$C$2:$C$20001,IF(Settings!$B$2="","&lt;&gt;",Settings!$B$2),'JLR Materials'!$D$2:$D$20001,IF(Settings!$B$4="","&lt;&gt;",Settings!$B$4)))</f>
        <v>0</v>
      </c>
      <c r="M250" s="38">
        <f>IF($L250&lt;&gt;1,0,SUMIFS('JLR Materials'!$E$2:$E$20001,'JLR Materials'!$A$2:$A$20001,$K250,'JLR Materials'!$C$2:$C$20001,IF(Settings!$B$2="","&lt;&gt;",Settings!$B$2),'JLR Materials'!$D$2:$D$20001,IF(Settings!$B$4="","&lt;&gt;",Settings!$B$4)))</f>
        <v>0</v>
      </c>
      <c r="N250" s="39">
        <f>IF($L250&lt;&gt;1,0,SUMIFS('JLR Materials'!$F$2:$F$20001,'JLR Materials'!$A$2:$A$20001,$K250,'JLR Materials'!$C$2:$C$20001,IF(Settings!$B$2="","&lt;&gt;",Settings!$B$2),'JLR Materials'!$D$2:$D$20001,IF(Settings!$B$4="","&lt;&gt;",Settings!$B$4)))</f>
        <v>0</v>
      </c>
      <c r="O250" s="38">
        <f>IF($N250=0,0,IF(Settings!$B$5="percent",$M250*$N250/100,$N250))</f>
        <v>0</v>
      </c>
      <c r="P250" s="39">
        <f>IF($L250&lt;&gt;1,0,SUMIFS('JLR Materials'!$G$2:$G$20001,'JLR Materials'!$A$2:$A$20001,$K250,'JLR Materials'!$C$2:$C$20001,IF(Settings!$B$2="","&lt;&gt;",Settings!$B$2),'JLR Materials'!$D$2:$D$20001,IF(Settings!$B$4="","&lt;&gt;",Settings!$B$4)))</f>
        <v>0</v>
      </c>
      <c r="Q250" s="40" t="s">
        <v>1928</v>
      </c>
      <c r="R250" s="40" t="s">
        <v>1382</v>
      </c>
    </row>
    <row r="251" spans="1:18" x14ac:dyDescent="0.25">
      <c r="A251" s="32" t="s">
        <v>765</v>
      </c>
      <c r="B251" s="33" t="s">
        <v>1929</v>
      </c>
      <c r="C251" s="33" t="s">
        <v>1913</v>
      </c>
      <c r="D251" s="34">
        <f>IF($M251&gt;0,$M251,3.2)</f>
        <v>3.2</v>
      </c>
      <c r="E251" s="34">
        <f>IF($O251&gt;0,$O251,0.08)</f>
        <v>0.08</v>
      </c>
      <c r="F251" s="35">
        <v>1200</v>
      </c>
      <c r="G251" s="33" t="s">
        <v>1379</v>
      </c>
      <c r="H251" s="36" t="str">
        <f>IF($M251&gt;0,IF($L251&lt;&gt;1,$R251,IFERROR(INDEX('JLR Materials'!$D$2:$D$20001,MATCH($K251,'JLR Materials'!$A$2:$A$20001,0)),$R251)),$R251)</f>
        <v>2026-09</v>
      </c>
      <c r="I251" s="36" t="str">
        <f>IF($M251&gt;0,"JLR rate card — material code "&amp;$K251,$Q251)</f>
        <v>UK resin distributor 2026-07. Extruded polycarbonate solid/multiwall sheet — glazing, machine guards. High melt temp → high energy. | Refresh 2026-09: NOT SOURCED — pc: Not sourced this period: engineering resin prices are paywalled (PIE/ICIS). Direction only: PC rising through Aug 2026, PA6 rebounding, PA66 under pressure, PET declining — no like-for-like June→Sep figures. Held at the June 2026 price.</v>
      </c>
      <c r="J251" s="33" t="s">
        <v>1393</v>
      </c>
      <c r="K251" s="37" t="str">
        <f>IFERROR(INDEX(Mapping!$C$2:$C$549,MATCH($A251,Mapping!$A$2:$A$549,0)),"")</f>
        <v/>
      </c>
      <c r="L251" s="37">
        <f>IF($K251="",0,COUNTIFS('JLR Materials'!$A$2:$A$20001,$K251,'JLR Materials'!$C$2:$C$20001,IF(Settings!$B$2="","&lt;&gt;",Settings!$B$2),'JLR Materials'!$D$2:$D$20001,IF(Settings!$B$4="","&lt;&gt;",Settings!$B$4)))</f>
        <v>0</v>
      </c>
      <c r="M251" s="38">
        <f>IF($L251&lt;&gt;1,0,SUMIFS('JLR Materials'!$E$2:$E$20001,'JLR Materials'!$A$2:$A$20001,$K251,'JLR Materials'!$C$2:$C$20001,IF(Settings!$B$2="","&lt;&gt;",Settings!$B$2),'JLR Materials'!$D$2:$D$20001,IF(Settings!$B$4="","&lt;&gt;",Settings!$B$4)))</f>
        <v>0</v>
      </c>
      <c r="N251" s="39">
        <f>IF($L251&lt;&gt;1,0,SUMIFS('JLR Materials'!$F$2:$F$20001,'JLR Materials'!$A$2:$A$20001,$K251,'JLR Materials'!$C$2:$C$20001,IF(Settings!$B$2="","&lt;&gt;",Settings!$B$2),'JLR Materials'!$D$2:$D$20001,IF(Settings!$B$4="","&lt;&gt;",Settings!$B$4)))</f>
        <v>0</v>
      </c>
      <c r="O251" s="38">
        <f>IF($N251=0,0,IF(Settings!$B$5="percent",$M251*$N251/100,$N251))</f>
        <v>0</v>
      </c>
      <c r="P251" s="39">
        <f>IF($L251&lt;&gt;1,0,SUMIFS('JLR Materials'!$G$2:$G$20001,'JLR Materials'!$A$2:$A$20001,$K251,'JLR Materials'!$C$2:$C$20001,IF(Settings!$B$2="","&lt;&gt;",Settings!$B$2),'JLR Materials'!$D$2:$D$20001,IF(Settings!$B$4="","&lt;&gt;",Settings!$B$4)))</f>
        <v>0</v>
      </c>
      <c r="Q251" s="40" t="s">
        <v>1930</v>
      </c>
      <c r="R251" s="40" t="s">
        <v>1382</v>
      </c>
    </row>
    <row r="252" spans="1:18" x14ac:dyDescent="0.25">
      <c r="A252" s="32" t="s">
        <v>767</v>
      </c>
      <c r="B252" s="33" t="s">
        <v>1931</v>
      </c>
      <c r="C252" s="33" t="s">
        <v>1913</v>
      </c>
      <c r="D252" s="34">
        <f>IF($M252&gt;0,$M252,1.9)</f>
        <v>1.9</v>
      </c>
      <c r="E252" s="34">
        <f>IF($O252&gt;0,$O252,0)</f>
        <v>0</v>
      </c>
      <c r="F252" s="35">
        <v>1250</v>
      </c>
      <c r="G252" s="33" t="s">
        <v>1379</v>
      </c>
      <c r="H252" s="36" t="str">
        <f>IF($M252&gt;0,IF($L252&lt;&gt;1,$R252,IFERROR(INDEX('JLR Materials'!$D$2:$D$20001,MATCH($K252,'JLR Materials'!$A$2:$A$20001,0)),$R252)),$R252)</f>
        <v>2026-09</v>
      </c>
      <c r="I252" s="36" t="str">
        <f>IF($M252&gt;0,"JLR rate card — material code "&amp;$K252,$Q252)</f>
        <v>UK medical-compound benchmark 2026-07. Non-phthalate plasticised PVC — IV/medical tubing, ISO 10993. | Refresh 2026-09: −£0.047/kg from 0.6kg pvc £0.453→£0.375/kg; premiums held</v>
      </c>
      <c r="J252" s="33" t="s">
        <v>1393</v>
      </c>
      <c r="K252" s="37" t="str">
        <f>IFERROR(INDEX(Mapping!$C$2:$C$549,MATCH($A252,Mapping!$A$2:$A$549,0)),"")</f>
        <v/>
      </c>
      <c r="L252" s="37">
        <f>IF($K252="",0,COUNTIFS('JLR Materials'!$A$2:$A$20001,$K252,'JLR Materials'!$C$2:$C$20001,IF(Settings!$B$2="","&lt;&gt;",Settings!$B$2),'JLR Materials'!$D$2:$D$20001,IF(Settings!$B$4="","&lt;&gt;",Settings!$B$4)))</f>
        <v>0</v>
      </c>
      <c r="M252" s="38">
        <f>IF($L252&lt;&gt;1,0,SUMIFS('JLR Materials'!$E$2:$E$20001,'JLR Materials'!$A$2:$A$20001,$K252,'JLR Materials'!$C$2:$C$20001,IF(Settings!$B$2="","&lt;&gt;",Settings!$B$2),'JLR Materials'!$D$2:$D$20001,IF(Settings!$B$4="","&lt;&gt;",Settings!$B$4)))</f>
        <v>0</v>
      </c>
      <c r="N252" s="39">
        <f>IF($L252&lt;&gt;1,0,SUMIFS('JLR Materials'!$F$2:$F$20001,'JLR Materials'!$A$2:$A$20001,$K252,'JLR Materials'!$C$2:$C$20001,IF(Settings!$B$2="","&lt;&gt;",Settings!$B$2),'JLR Materials'!$D$2:$D$20001,IF(Settings!$B$4="","&lt;&gt;",Settings!$B$4)))</f>
        <v>0</v>
      </c>
      <c r="O252" s="38">
        <f>IF($N252=0,0,IF(Settings!$B$5="percent",$M252*$N252/100,$N252))</f>
        <v>0</v>
      </c>
      <c r="P252" s="39">
        <f>IF($L252&lt;&gt;1,0,SUMIFS('JLR Materials'!$G$2:$G$20001,'JLR Materials'!$A$2:$A$20001,$K252,'JLR Materials'!$C$2:$C$20001,IF(Settings!$B$2="","&lt;&gt;",Settings!$B$2),'JLR Materials'!$D$2:$D$20001,IF(Settings!$B$4="","&lt;&gt;",Settings!$B$4)))</f>
        <v>0</v>
      </c>
      <c r="Q252" s="40" t="s">
        <v>1932</v>
      </c>
      <c r="R252" s="40" t="s">
        <v>1382</v>
      </c>
    </row>
    <row r="253" spans="1:18" x14ac:dyDescent="0.25">
      <c r="A253" s="32" t="s">
        <v>769</v>
      </c>
      <c r="B253" s="33" t="s">
        <v>1933</v>
      </c>
      <c r="C253" s="33" t="s">
        <v>1913</v>
      </c>
      <c r="D253" s="34">
        <f>IF($M253&gt;0,$M253,6.5)</f>
        <v>6.5</v>
      </c>
      <c r="E253" s="34">
        <f>IF($O253&gt;0,$O253,0)</f>
        <v>0</v>
      </c>
      <c r="F253" s="35">
        <v>1150</v>
      </c>
      <c r="G253" s="33" t="s">
        <v>1379</v>
      </c>
      <c r="H253" s="36" t="str">
        <f>IF($M253&gt;0,IF($L253&lt;&gt;1,$R253,IFERROR(INDEX('JLR Materials'!$D$2:$D$20001,MATCH($K253,'JLR Materials'!$A$2:$A$20001,0)),$R253)),$R253)</f>
        <v>2026-09</v>
      </c>
      <c r="I253" s="36" t="str">
        <f>IF($M253&gt;0,"JLR rate card — material code "&amp;$K253,$Q253)</f>
        <v>UK medical-compound benchmark 2026-07. Aliphatic/aromatic TPU — catheters, medical tube; biocompatible. | Refresh 2026-09: NOT SOURCED — tpu: Not sourced this period: engineering resin prices are paywalled (PIE/ICIS). Direction only: PC rising through Aug 2026, PA6 rebounding, PA66 under pressure, PET declining — no like-for-like June→Sep figures. Held at the June 2026 price.</v>
      </c>
      <c r="J253" s="33" t="s">
        <v>1393</v>
      </c>
      <c r="K253" s="37" t="str">
        <f>IFERROR(INDEX(Mapping!$C$2:$C$549,MATCH($A253,Mapping!$A$2:$A$549,0)),"")</f>
        <v/>
      </c>
      <c r="L253" s="37">
        <f>IF($K253="",0,COUNTIFS('JLR Materials'!$A$2:$A$20001,$K253,'JLR Materials'!$C$2:$C$20001,IF(Settings!$B$2="","&lt;&gt;",Settings!$B$2),'JLR Materials'!$D$2:$D$20001,IF(Settings!$B$4="","&lt;&gt;",Settings!$B$4)))</f>
        <v>0</v>
      </c>
      <c r="M253" s="38">
        <f>IF($L253&lt;&gt;1,0,SUMIFS('JLR Materials'!$E$2:$E$20001,'JLR Materials'!$A$2:$A$20001,$K253,'JLR Materials'!$C$2:$C$20001,IF(Settings!$B$2="","&lt;&gt;",Settings!$B$2),'JLR Materials'!$D$2:$D$20001,IF(Settings!$B$4="","&lt;&gt;",Settings!$B$4)))</f>
        <v>0</v>
      </c>
      <c r="N253" s="39">
        <f>IF($L253&lt;&gt;1,0,SUMIFS('JLR Materials'!$F$2:$F$20001,'JLR Materials'!$A$2:$A$20001,$K253,'JLR Materials'!$C$2:$C$20001,IF(Settings!$B$2="","&lt;&gt;",Settings!$B$2),'JLR Materials'!$D$2:$D$20001,IF(Settings!$B$4="","&lt;&gt;",Settings!$B$4)))</f>
        <v>0</v>
      </c>
      <c r="O253" s="38">
        <f>IF($N253=0,0,IF(Settings!$B$5="percent",$M253*$N253/100,$N253))</f>
        <v>0</v>
      </c>
      <c r="P253" s="39">
        <f>IF($L253&lt;&gt;1,0,SUMIFS('JLR Materials'!$G$2:$G$20001,'JLR Materials'!$A$2:$A$20001,$K253,'JLR Materials'!$C$2:$C$20001,IF(Settings!$B$2="","&lt;&gt;",Settings!$B$2),'JLR Materials'!$D$2:$D$20001,IF(Settings!$B$4="","&lt;&gt;",Settings!$B$4)))</f>
        <v>0</v>
      </c>
      <c r="Q253" s="40" t="s">
        <v>1934</v>
      </c>
      <c r="R253" s="40" t="s">
        <v>1382</v>
      </c>
    </row>
    <row r="254" spans="1:18" x14ac:dyDescent="0.25">
      <c r="A254" s="32" t="s">
        <v>771</v>
      </c>
      <c r="B254" s="33" t="s">
        <v>1935</v>
      </c>
      <c r="C254" s="33" t="s">
        <v>1913</v>
      </c>
      <c r="D254" s="34">
        <f>IF($M254&gt;0,$M254,2.4)</f>
        <v>2.4</v>
      </c>
      <c r="E254" s="34">
        <f>IF($O254&gt;0,$O254,0.08)</f>
        <v>0.08</v>
      </c>
      <c r="F254" s="35">
        <v>940</v>
      </c>
      <c r="G254" s="33" t="s">
        <v>1379</v>
      </c>
      <c r="H254" s="36" t="str">
        <f>IF($M254&gt;0,IF($L254&lt;&gt;1,$R254,IFERROR(INDEX('JLR Materials'!$D$2:$D$20001,MATCH($K254,'JLR Materials'!$A$2:$A$20001,0)),$R254)),$R254)</f>
        <v>2026-09</v>
      </c>
      <c r="I254" s="36" t="str">
        <f>IF($M254&gt;0,"JLR rate card — material code "&amp;$K254,$Q254)</f>
        <v>UK resin distributor 2026-07. Styrenic TPE — soft-touch seals, glazing gaskets (recyclable EPDM alternative). Die swell ~10%. | Refresh 2026-09: SPECIALTY — no public market index for this grade; held at the June 2026 price — refresh by supplier quote</v>
      </c>
      <c r="J254" s="33" t="s">
        <v>1393</v>
      </c>
      <c r="K254" s="37" t="str">
        <f>IFERROR(INDEX(Mapping!$C$2:$C$549,MATCH($A254,Mapping!$A$2:$A$549,0)),"")</f>
        <v/>
      </c>
      <c r="L254" s="37">
        <f>IF($K254="",0,COUNTIFS('JLR Materials'!$A$2:$A$20001,$K254,'JLR Materials'!$C$2:$C$20001,IF(Settings!$B$2="","&lt;&gt;",Settings!$B$2),'JLR Materials'!$D$2:$D$20001,IF(Settings!$B$4="","&lt;&gt;",Settings!$B$4)))</f>
        <v>0</v>
      </c>
      <c r="M254" s="38">
        <f>IF($L254&lt;&gt;1,0,SUMIFS('JLR Materials'!$E$2:$E$20001,'JLR Materials'!$A$2:$A$20001,$K254,'JLR Materials'!$C$2:$C$20001,IF(Settings!$B$2="","&lt;&gt;",Settings!$B$2),'JLR Materials'!$D$2:$D$20001,IF(Settings!$B$4="","&lt;&gt;",Settings!$B$4)))</f>
        <v>0</v>
      </c>
      <c r="N254" s="39">
        <f>IF($L254&lt;&gt;1,0,SUMIFS('JLR Materials'!$F$2:$F$20001,'JLR Materials'!$A$2:$A$20001,$K254,'JLR Materials'!$C$2:$C$20001,IF(Settings!$B$2="","&lt;&gt;",Settings!$B$2),'JLR Materials'!$D$2:$D$20001,IF(Settings!$B$4="","&lt;&gt;",Settings!$B$4)))</f>
        <v>0</v>
      </c>
      <c r="O254" s="38">
        <f>IF($N254=0,0,IF(Settings!$B$5="percent",$M254*$N254/100,$N254))</f>
        <v>0</v>
      </c>
      <c r="P254" s="39">
        <f>IF($L254&lt;&gt;1,0,SUMIFS('JLR Materials'!$G$2:$G$20001,'JLR Materials'!$A$2:$A$20001,$K254,'JLR Materials'!$C$2:$C$20001,IF(Settings!$B$2="","&lt;&gt;",Settings!$B$2),'JLR Materials'!$D$2:$D$20001,IF(Settings!$B$4="","&lt;&gt;",Settings!$B$4)))</f>
        <v>0</v>
      </c>
      <c r="Q254" s="40" t="s">
        <v>1936</v>
      </c>
      <c r="R254" s="40" t="s">
        <v>1382</v>
      </c>
    </row>
    <row r="255" spans="1:18" x14ac:dyDescent="0.25">
      <c r="A255" s="32" t="s">
        <v>773</v>
      </c>
      <c r="B255" s="33" t="s">
        <v>1937</v>
      </c>
      <c r="C255" s="33" t="s">
        <v>1913</v>
      </c>
      <c r="D255" s="34">
        <f>IF($M255&gt;0,$M255,1.08)</f>
        <v>1.08</v>
      </c>
      <c r="E255" s="34">
        <f>IF($O255&gt;0,$O255,0.03)</f>
        <v>0.03</v>
      </c>
      <c r="F255" s="35">
        <v>700</v>
      </c>
      <c r="G255" s="33" t="s">
        <v>1379</v>
      </c>
      <c r="H255" s="36" t="str">
        <f>IF($M255&gt;0,IF($L255&lt;&gt;1,$R255,IFERROR(INDEX('JLR Materials'!$D$2:$D$20001,MATCH($K255,'JLR Materials'!$A$2:$A$20001,0)),$R255)),$R255)</f>
        <v>2026-09</v>
      </c>
      <c r="I255" s="36" t="str">
        <f>IF($M255&gt;0,"JLR rate card — material code "&amp;$K255,$Q255)</f>
        <v>UK PVC compounder 2026-07. Free-foam/Celuka rigid PVC — trim board, cladding, furniture profile. Low bulk density. | Refresh 2026-09: −£0.066/kg from 0.85kg pvc £0.453→£0.375/kg; premiums held</v>
      </c>
      <c r="J255" s="33" t="s">
        <v>1393</v>
      </c>
      <c r="K255" s="37" t="str">
        <f>IFERROR(INDEX(Mapping!$C$2:$C$549,MATCH($A255,Mapping!$A$2:$A$549,0)),"")</f>
        <v/>
      </c>
      <c r="L255" s="37">
        <f>IF($K255="",0,COUNTIFS('JLR Materials'!$A$2:$A$20001,$K255,'JLR Materials'!$C$2:$C$20001,IF(Settings!$B$2="","&lt;&gt;",Settings!$B$2),'JLR Materials'!$D$2:$D$20001,IF(Settings!$B$4="","&lt;&gt;",Settings!$B$4)))</f>
        <v>0</v>
      </c>
      <c r="M255" s="38">
        <f>IF($L255&lt;&gt;1,0,SUMIFS('JLR Materials'!$E$2:$E$20001,'JLR Materials'!$A$2:$A$20001,$K255,'JLR Materials'!$C$2:$C$20001,IF(Settings!$B$2="","&lt;&gt;",Settings!$B$2),'JLR Materials'!$D$2:$D$20001,IF(Settings!$B$4="","&lt;&gt;",Settings!$B$4)))</f>
        <v>0</v>
      </c>
      <c r="N255" s="39">
        <f>IF($L255&lt;&gt;1,0,SUMIFS('JLR Materials'!$F$2:$F$20001,'JLR Materials'!$A$2:$A$20001,$K255,'JLR Materials'!$C$2:$C$20001,IF(Settings!$B$2="","&lt;&gt;",Settings!$B$2),'JLR Materials'!$D$2:$D$20001,IF(Settings!$B$4="","&lt;&gt;",Settings!$B$4)))</f>
        <v>0</v>
      </c>
      <c r="O255" s="38">
        <f>IF($N255=0,0,IF(Settings!$B$5="percent",$M255*$N255/100,$N255))</f>
        <v>0</v>
      </c>
      <c r="P255" s="39">
        <f>IF($L255&lt;&gt;1,0,SUMIFS('JLR Materials'!$G$2:$G$20001,'JLR Materials'!$A$2:$A$20001,$K255,'JLR Materials'!$C$2:$C$20001,IF(Settings!$B$2="","&lt;&gt;",Settings!$B$2),'JLR Materials'!$D$2:$D$20001,IF(Settings!$B$4="","&lt;&gt;",Settings!$B$4)))</f>
        <v>0</v>
      </c>
      <c r="Q255" s="40" t="s">
        <v>1938</v>
      </c>
      <c r="R255" s="40" t="s">
        <v>1382</v>
      </c>
    </row>
    <row r="256" spans="1:18" x14ac:dyDescent="0.25">
      <c r="A256" s="32" t="s">
        <v>775</v>
      </c>
      <c r="B256" s="33" t="s">
        <v>1939</v>
      </c>
      <c r="C256" s="33" t="s">
        <v>1913</v>
      </c>
      <c r="D256" s="34">
        <f>IF($M256&gt;0,$M256,1.18)</f>
        <v>1.18</v>
      </c>
      <c r="E256" s="34">
        <f>IF($O256&gt;0,$O256,0.1)</f>
        <v>0.1</v>
      </c>
      <c r="F256" s="35">
        <v>905</v>
      </c>
      <c r="G256" s="33" t="s">
        <v>1379</v>
      </c>
      <c r="H256" s="36" t="str">
        <f>IF($M256&gt;0,IF($L256&lt;&gt;1,$R256,IFERROR(INDEX('JLR Materials'!$D$2:$D$20001,MATCH($K256,'JLR Materials'!$A$2:$A$20001,0)),$R256)),$R256)</f>
        <v>2026-09</v>
      </c>
      <c r="I256" s="36" t="str">
        <f>IF($M256&gt;0,"JLR rate card — material code "&amp;$K256,$Q256)</f>
        <v>UK resin distributor 2026-07. High-melt-strength PP — thermoforming/packaging sheet, corrugated board. | Refresh 2026-09: +£0.027/kg from 1kg pp £0.960→£0.987/kg; premiums held</v>
      </c>
      <c r="J256" s="33" t="s">
        <v>1380</v>
      </c>
      <c r="K256" s="37" t="str">
        <f>IFERROR(INDEX(Mapping!$C$2:$C$549,MATCH($A256,Mapping!$A$2:$A$549,0)),"")</f>
        <v/>
      </c>
      <c r="L256" s="37">
        <f>IF($K256="",0,COUNTIFS('JLR Materials'!$A$2:$A$20001,$K256,'JLR Materials'!$C$2:$C$20001,IF(Settings!$B$2="","&lt;&gt;",Settings!$B$2),'JLR Materials'!$D$2:$D$20001,IF(Settings!$B$4="","&lt;&gt;",Settings!$B$4)))</f>
        <v>0</v>
      </c>
      <c r="M256" s="38">
        <f>IF($L256&lt;&gt;1,0,SUMIFS('JLR Materials'!$E$2:$E$20001,'JLR Materials'!$A$2:$A$20001,$K256,'JLR Materials'!$C$2:$C$20001,IF(Settings!$B$2="","&lt;&gt;",Settings!$B$2),'JLR Materials'!$D$2:$D$20001,IF(Settings!$B$4="","&lt;&gt;",Settings!$B$4)))</f>
        <v>0</v>
      </c>
      <c r="N256" s="39">
        <f>IF($L256&lt;&gt;1,0,SUMIFS('JLR Materials'!$F$2:$F$20001,'JLR Materials'!$A$2:$A$20001,$K256,'JLR Materials'!$C$2:$C$20001,IF(Settings!$B$2="","&lt;&gt;",Settings!$B$2),'JLR Materials'!$D$2:$D$20001,IF(Settings!$B$4="","&lt;&gt;",Settings!$B$4)))</f>
        <v>0</v>
      </c>
      <c r="O256" s="38">
        <f>IF($N256=0,0,IF(Settings!$B$5="percent",$M256*$N256/100,$N256))</f>
        <v>0</v>
      </c>
      <c r="P256" s="39">
        <f>IF($L256&lt;&gt;1,0,SUMIFS('JLR Materials'!$G$2:$G$20001,'JLR Materials'!$A$2:$A$20001,$K256,'JLR Materials'!$C$2:$C$20001,IF(Settings!$B$2="","&lt;&gt;",Settings!$B$2),'JLR Materials'!$D$2:$D$20001,IF(Settings!$B$4="","&lt;&gt;",Settings!$B$4)))</f>
        <v>0</v>
      </c>
      <c r="Q256" s="40" t="s">
        <v>1940</v>
      </c>
      <c r="R256" s="40" t="s">
        <v>1382</v>
      </c>
    </row>
    <row r="257" spans="1:18" x14ac:dyDescent="0.25">
      <c r="A257" s="32" t="s">
        <v>777</v>
      </c>
      <c r="B257" s="33" t="s">
        <v>1941</v>
      </c>
      <c r="C257" s="33" t="s">
        <v>1913</v>
      </c>
      <c r="D257" s="34">
        <f>IF($M257&gt;0,$M257,6.2)</f>
        <v>6.2</v>
      </c>
      <c r="E257" s="34">
        <f>IF($O257&gt;0,$O257,0.1)</f>
        <v>0.1</v>
      </c>
      <c r="F257" s="35">
        <v>1010</v>
      </c>
      <c r="G257" s="33" t="s">
        <v>1379</v>
      </c>
      <c r="H257" s="36" t="str">
        <f>IF($M257&gt;0,IF($L257&lt;&gt;1,$R257,IFERROR(INDEX('JLR Materials'!$D$2:$D$20001,MATCH($K257,'JLR Materials'!$A$2:$A$20001,0)),$R257)),$R257)</f>
        <v>2026-09</v>
      </c>
      <c r="I257" s="36" t="str">
        <f>IF($M257&gt;0,"JLR rate card — material code "&amp;$K257,$Q257)</f>
        <v>UK speciality resin 2026-07. Nylon 12 — automotive fuel/brake/air-brake tube, multi-layer barrier line. | Refresh 2026-09: SPECIALTY — no public market index for this grade; held at the June 2026 price — refresh by supplier quote</v>
      </c>
      <c r="J257" s="33" t="s">
        <v>1393</v>
      </c>
      <c r="K257" s="37" t="str">
        <f>IFERROR(INDEX(Mapping!$C$2:$C$549,MATCH($A257,Mapping!$A$2:$A$549,0)),"")</f>
        <v/>
      </c>
      <c r="L257" s="37">
        <f>IF($K257="",0,COUNTIFS('JLR Materials'!$A$2:$A$20001,$K257,'JLR Materials'!$C$2:$C$20001,IF(Settings!$B$2="","&lt;&gt;",Settings!$B$2),'JLR Materials'!$D$2:$D$20001,IF(Settings!$B$4="","&lt;&gt;",Settings!$B$4)))</f>
        <v>0</v>
      </c>
      <c r="M257" s="38">
        <f>IF($L257&lt;&gt;1,0,SUMIFS('JLR Materials'!$E$2:$E$20001,'JLR Materials'!$A$2:$A$20001,$K257,'JLR Materials'!$C$2:$C$20001,IF(Settings!$B$2="","&lt;&gt;",Settings!$B$2),'JLR Materials'!$D$2:$D$20001,IF(Settings!$B$4="","&lt;&gt;",Settings!$B$4)))</f>
        <v>0</v>
      </c>
      <c r="N257" s="39">
        <f>IF($L257&lt;&gt;1,0,SUMIFS('JLR Materials'!$F$2:$F$20001,'JLR Materials'!$A$2:$A$20001,$K257,'JLR Materials'!$C$2:$C$20001,IF(Settings!$B$2="","&lt;&gt;",Settings!$B$2),'JLR Materials'!$D$2:$D$20001,IF(Settings!$B$4="","&lt;&gt;",Settings!$B$4)))</f>
        <v>0</v>
      </c>
      <c r="O257" s="38">
        <f>IF($N257=0,0,IF(Settings!$B$5="percent",$M257*$N257/100,$N257))</f>
        <v>0</v>
      </c>
      <c r="P257" s="39">
        <f>IF($L257&lt;&gt;1,0,SUMIFS('JLR Materials'!$G$2:$G$20001,'JLR Materials'!$A$2:$A$20001,$K257,'JLR Materials'!$C$2:$C$20001,IF(Settings!$B$2="","&lt;&gt;",Settings!$B$2),'JLR Materials'!$D$2:$D$20001,IF(Settings!$B$4="","&lt;&gt;",Settings!$B$4)))</f>
        <v>0</v>
      </c>
      <c r="Q257" s="40" t="s">
        <v>1942</v>
      </c>
      <c r="R257" s="40" t="s">
        <v>1382</v>
      </c>
    </row>
    <row r="258" spans="1:18" x14ac:dyDescent="0.25">
      <c r="A258" s="32" t="s">
        <v>779</v>
      </c>
      <c r="B258" s="33" t="s">
        <v>1943</v>
      </c>
      <c r="C258" s="33" t="s">
        <v>1944</v>
      </c>
      <c r="D258" s="34">
        <f>IF($M258&gt;0,$M258,4.63)</f>
        <v>4.63</v>
      </c>
      <c r="E258" s="34">
        <f>IF($O258&gt;0,$O258,0)</f>
        <v>0</v>
      </c>
      <c r="F258" s="35">
        <v>1200</v>
      </c>
      <c r="G258" s="33" t="s">
        <v>1379</v>
      </c>
      <c r="H258" s="36" t="str">
        <f>IF($M258&gt;0,IF($L258&lt;&gt;1,$R258,IFERROR(INDEX('JLR Materials'!$D$2:$D$20001,MATCH($K258,'JLR Materials'!$A$2:$A$20001,0)),$R258)),$R258)</f>
        <v>2026-09</v>
      </c>
      <c r="I258" s="36" t="str">
        <f>IF($M258&gt;0,"JLR rate card — material code "&amp;$K258,$Q258)</f>
        <v>UK MB supplier 2026-07. Universal colour concentrate; let-down ~2–4%. | Refresh 2026-09: +£0.130/kg from 0.6kg ldpe £0.870→£1.087/kg; premiums held</v>
      </c>
      <c r="J258" s="33" t="s">
        <v>1380</v>
      </c>
      <c r="K258" s="37" t="str">
        <f>IFERROR(INDEX(Mapping!$C$2:$C$549,MATCH($A258,Mapping!$A$2:$A$549,0)),"")</f>
        <v/>
      </c>
      <c r="L258" s="37">
        <f>IF($K258="",0,COUNTIFS('JLR Materials'!$A$2:$A$20001,$K258,'JLR Materials'!$C$2:$C$20001,IF(Settings!$B$2="","&lt;&gt;",Settings!$B$2),'JLR Materials'!$D$2:$D$20001,IF(Settings!$B$4="","&lt;&gt;",Settings!$B$4)))</f>
        <v>0</v>
      </c>
      <c r="M258" s="38">
        <f>IF($L258&lt;&gt;1,0,SUMIFS('JLR Materials'!$E$2:$E$20001,'JLR Materials'!$A$2:$A$20001,$K258,'JLR Materials'!$C$2:$C$20001,IF(Settings!$B$2="","&lt;&gt;",Settings!$B$2),'JLR Materials'!$D$2:$D$20001,IF(Settings!$B$4="","&lt;&gt;",Settings!$B$4)))</f>
        <v>0</v>
      </c>
      <c r="N258" s="39">
        <f>IF($L258&lt;&gt;1,0,SUMIFS('JLR Materials'!$F$2:$F$20001,'JLR Materials'!$A$2:$A$20001,$K258,'JLR Materials'!$C$2:$C$20001,IF(Settings!$B$2="","&lt;&gt;",Settings!$B$2),'JLR Materials'!$D$2:$D$20001,IF(Settings!$B$4="","&lt;&gt;",Settings!$B$4)))</f>
        <v>0</v>
      </c>
      <c r="O258" s="38">
        <f>IF($N258=0,0,IF(Settings!$B$5="percent",$M258*$N258/100,$N258))</f>
        <v>0</v>
      </c>
      <c r="P258" s="39">
        <f>IF($L258&lt;&gt;1,0,SUMIFS('JLR Materials'!$G$2:$G$20001,'JLR Materials'!$A$2:$A$20001,$K258,'JLR Materials'!$C$2:$C$20001,IF(Settings!$B$2="","&lt;&gt;",Settings!$B$2),'JLR Materials'!$D$2:$D$20001,IF(Settings!$B$4="","&lt;&gt;",Settings!$B$4)))</f>
        <v>0</v>
      </c>
      <c r="Q258" s="40" t="s">
        <v>1945</v>
      </c>
      <c r="R258" s="40" t="s">
        <v>1382</v>
      </c>
    </row>
    <row r="259" spans="1:18" x14ac:dyDescent="0.25">
      <c r="A259" s="32" t="s">
        <v>781</v>
      </c>
      <c r="B259" s="33" t="s">
        <v>1946</v>
      </c>
      <c r="C259" s="33" t="s">
        <v>1944</v>
      </c>
      <c r="D259" s="34">
        <f>IF($M259&gt;0,$M259,3.29)</f>
        <v>3.29</v>
      </c>
      <c r="E259" s="34">
        <f>IF($O259&gt;0,$O259,0)</f>
        <v>0</v>
      </c>
      <c r="F259" s="35">
        <v>1600</v>
      </c>
      <c r="G259" s="33" t="s">
        <v>1379</v>
      </c>
      <c r="H259" s="36" t="str">
        <f>IF($M259&gt;0,IF($L259&lt;&gt;1,$R259,IFERROR(INDEX('JLR Materials'!$D$2:$D$20001,MATCH($K259,'JLR Materials'!$A$2:$A$20001,0)),$R259)),$R259)</f>
        <v>2026-09</v>
      </c>
      <c r="I259" s="36" t="str">
        <f>IF($M259&gt;0,"JLR rate card — material code "&amp;$K259,$Q259)</f>
        <v>UK MB supplier 2026-07. High-TiO₂ white; let-down ~3–6%. | Refresh 2026-09: +£0.087/kg from 0.6kg tio2 £1.000→£1.000/kg, 0.4kg ldpe £0.870→£1.087/kg; premiums held</v>
      </c>
      <c r="J259" s="33" t="s">
        <v>1380</v>
      </c>
      <c r="K259" s="37" t="str">
        <f>IFERROR(INDEX(Mapping!$C$2:$C$549,MATCH($A259,Mapping!$A$2:$A$549,0)),"")</f>
        <v/>
      </c>
      <c r="L259" s="37">
        <f>IF($K259="",0,COUNTIFS('JLR Materials'!$A$2:$A$20001,$K259,'JLR Materials'!$C$2:$C$20001,IF(Settings!$B$2="","&lt;&gt;",Settings!$B$2),'JLR Materials'!$D$2:$D$20001,IF(Settings!$B$4="","&lt;&gt;",Settings!$B$4)))</f>
        <v>0</v>
      </c>
      <c r="M259" s="38">
        <f>IF($L259&lt;&gt;1,0,SUMIFS('JLR Materials'!$E$2:$E$20001,'JLR Materials'!$A$2:$A$20001,$K259,'JLR Materials'!$C$2:$C$20001,IF(Settings!$B$2="","&lt;&gt;",Settings!$B$2),'JLR Materials'!$D$2:$D$20001,IF(Settings!$B$4="","&lt;&gt;",Settings!$B$4)))</f>
        <v>0</v>
      </c>
      <c r="N259" s="39">
        <f>IF($L259&lt;&gt;1,0,SUMIFS('JLR Materials'!$F$2:$F$20001,'JLR Materials'!$A$2:$A$20001,$K259,'JLR Materials'!$C$2:$C$20001,IF(Settings!$B$2="","&lt;&gt;",Settings!$B$2),'JLR Materials'!$D$2:$D$20001,IF(Settings!$B$4="","&lt;&gt;",Settings!$B$4)))</f>
        <v>0</v>
      </c>
      <c r="O259" s="38">
        <f>IF($N259=0,0,IF(Settings!$B$5="percent",$M259*$N259/100,$N259))</f>
        <v>0</v>
      </c>
      <c r="P259" s="39">
        <f>IF($L259&lt;&gt;1,0,SUMIFS('JLR Materials'!$G$2:$G$20001,'JLR Materials'!$A$2:$A$20001,$K259,'JLR Materials'!$C$2:$C$20001,IF(Settings!$B$2="","&lt;&gt;",Settings!$B$2),'JLR Materials'!$D$2:$D$20001,IF(Settings!$B$4="","&lt;&gt;",Settings!$B$4)))</f>
        <v>0</v>
      </c>
      <c r="Q259" s="40" t="s">
        <v>1947</v>
      </c>
      <c r="R259" s="40" t="s">
        <v>1382</v>
      </c>
    </row>
    <row r="260" spans="1:18" x14ac:dyDescent="0.25">
      <c r="A260" s="32" t="s">
        <v>783</v>
      </c>
      <c r="B260" s="33" t="s">
        <v>1948</v>
      </c>
      <c r="C260" s="33" t="s">
        <v>1944</v>
      </c>
      <c r="D260" s="34">
        <f>IF($M260&gt;0,$M260,2.23)</f>
        <v>2.23</v>
      </c>
      <c r="E260" s="34">
        <f>IF($O260&gt;0,$O260,0)</f>
        <v>0</v>
      </c>
      <c r="F260" s="35">
        <v>1150</v>
      </c>
      <c r="G260" s="33" t="s">
        <v>1379</v>
      </c>
      <c r="H260" s="36" t="str">
        <f>IF($M260&gt;0,IF($L260&lt;&gt;1,$R260,IFERROR(INDEX('JLR Materials'!$D$2:$D$20001,MATCH($K260,'JLR Materials'!$A$2:$A$20001,0)),$R260)),$R260)</f>
        <v>2026-09</v>
      </c>
      <c r="I260" s="36" t="str">
        <f>IF($M260&gt;0,"JLR rate card — material code "&amp;$K260,$Q260)</f>
        <v>UK MB supplier 2026-07. Carbon-black concentrate (also UV shield); let-down ~2–3%. | Refresh 2026-09: +£0.130/kg from 0.4kg carbonblack £1.000→£1.000/kg, 0.6kg ldpe £0.870→£1.087/kg; premiums held</v>
      </c>
      <c r="J260" s="33" t="s">
        <v>1380</v>
      </c>
      <c r="K260" s="37" t="str">
        <f>IFERROR(INDEX(Mapping!$C$2:$C$549,MATCH($A260,Mapping!$A$2:$A$549,0)),"")</f>
        <v/>
      </c>
      <c r="L260" s="37">
        <f>IF($K260="",0,COUNTIFS('JLR Materials'!$A$2:$A$20001,$K260,'JLR Materials'!$C$2:$C$20001,IF(Settings!$B$2="","&lt;&gt;",Settings!$B$2),'JLR Materials'!$D$2:$D$20001,IF(Settings!$B$4="","&lt;&gt;",Settings!$B$4)))</f>
        <v>0</v>
      </c>
      <c r="M260" s="38">
        <f>IF($L260&lt;&gt;1,0,SUMIFS('JLR Materials'!$E$2:$E$20001,'JLR Materials'!$A$2:$A$20001,$K260,'JLR Materials'!$C$2:$C$20001,IF(Settings!$B$2="","&lt;&gt;",Settings!$B$2),'JLR Materials'!$D$2:$D$20001,IF(Settings!$B$4="","&lt;&gt;",Settings!$B$4)))</f>
        <v>0</v>
      </c>
      <c r="N260" s="39">
        <f>IF($L260&lt;&gt;1,0,SUMIFS('JLR Materials'!$F$2:$F$20001,'JLR Materials'!$A$2:$A$20001,$K260,'JLR Materials'!$C$2:$C$20001,IF(Settings!$B$2="","&lt;&gt;",Settings!$B$2),'JLR Materials'!$D$2:$D$20001,IF(Settings!$B$4="","&lt;&gt;",Settings!$B$4)))</f>
        <v>0</v>
      </c>
      <c r="O260" s="38">
        <f>IF($N260=0,0,IF(Settings!$B$5="percent",$M260*$N260/100,$N260))</f>
        <v>0</v>
      </c>
      <c r="P260" s="39">
        <f>IF($L260&lt;&gt;1,0,SUMIFS('JLR Materials'!$G$2:$G$20001,'JLR Materials'!$A$2:$A$20001,$K260,'JLR Materials'!$C$2:$C$20001,IF(Settings!$B$2="","&lt;&gt;",Settings!$B$2),'JLR Materials'!$D$2:$D$20001,IF(Settings!$B$4="","&lt;&gt;",Settings!$B$4)))</f>
        <v>0</v>
      </c>
      <c r="Q260" s="40" t="s">
        <v>1949</v>
      </c>
      <c r="R260" s="40" t="s">
        <v>1382</v>
      </c>
    </row>
    <row r="261" spans="1:18" x14ac:dyDescent="0.25">
      <c r="A261" s="32" t="s">
        <v>785</v>
      </c>
      <c r="B261" s="33" t="s">
        <v>1950</v>
      </c>
      <c r="C261" s="33" t="s">
        <v>1944</v>
      </c>
      <c r="D261" s="34">
        <f>IF($M261&gt;0,$M261,6.8)</f>
        <v>6.8</v>
      </c>
      <c r="E261" s="34">
        <f>IF($O261&gt;0,$O261,0)</f>
        <v>0</v>
      </c>
      <c r="F261" s="35">
        <v>1000</v>
      </c>
      <c r="G261" s="33" t="s">
        <v>1379</v>
      </c>
      <c r="H261" s="36" t="str">
        <f>IF($M261&gt;0,IF($L261&lt;&gt;1,$R261,IFERROR(INDEX('JLR Materials'!$D$2:$D$20001,MATCH($K261,'JLR Materials'!$A$2:$A$20001,0)),$R261)),$R261)</f>
        <v>2026-09</v>
      </c>
      <c r="I261" s="36" t="str">
        <f>IF($M261&gt;0,"JLR rate card — material code "&amp;$K261,$Q261)</f>
        <v>UK additive supplier 2026-07. HALS/UV-absorber concentrate for outdoor profiles/pipe; let-down ~1–3%. | Refresh 2026-09: SPECIALTY — no public market index for this grade; held at the June 2026 price — refresh by supplier quote</v>
      </c>
      <c r="J261" s="33" t="s">
        <v>1393</v>
      </c>
      <c r="K261" s="37" t="str">
        <f>IFERROR(INDEX(Mapping!$C$2:$C$549,MATCH($A261,Mapping!$A$2:$A$549,0)),"")</f>
        <v/>
      </c>
      <c r="L261" s="37">
        <f>IF($K261="",0,COUNTIFS('JLR Materials'!$A$2:$A$20001,$K261,'JLR Materials'!$C$2:$C$20001,IF(Settings!$B$2="","&lt;&gt;",Settings!$B$2),'JLR Materials'!$D$2:$D$20001,IF(Settings!$B$4="","&lt;&gt;",Settings!$B$4)))</f>
        <v>0</v>
      </c>
      <c r="M261" s="38">
        <f>IF($L261&lt;&gt;1,0,SUMIFS('JLR Materials'!$E$2:$E$20001,'JLR Materials'!$A$2:$A$20001,$K261,'JLR Materials'!$C$2:$C$20001,IF(Settings!$B$2="","&lt;&gt;",Settings!$B$2),'JLR Materials'!$D$2:$D$20001,IF(Settings!$B$4="","&lt;&gt;",Settings!$B$4)))</f>
        <v>0</v>
      </c>
      <c r="N261" s="39">
        <f>IF($L261&lt;&gt;1,0,SUMIFS('JLR Materials'!$F$2:$F$20001,'JLR Materials'!$A$2:$A$20001,$K261,'JLR Materials'!$C$2:$C$20001,IF(Settings!$B$2="","&lt;&gt;",Settings!$B$2),'JLR Materials'!$D$2:$D$20001,IF(Settings!$B$4="","&lt;&gt;",Settings!$B$4)))</f>
        <v>0</v>
      </c>
      <c r="O261" s="38">
        <f>IF($N261=0,0,IF(Settings!$B$5="percent",$M261*$N261/100,$N261))</f>
        <v>0</v>
      </c>
      <c r="P261" s="39">
        <f>IF($L261&lt;&gt;1,0,SUMIFS('JLR Materials'!$G$2:$G$20001,'JLR Materials'!$A$2:$A$20001,$K261,'JLR Materials'!$C$2:$C$20001,IF(Settings!$B$2="","&lt;&gt;",Settings!$B$2),'JLR Materials'!$D$2:$D$20001,IF(Settings!$B$4="","&lt;&gt;",Settings!$B$4)))</f>
        <v>0</v>
      </c>
      <c r="Q261" s="40" t="s">
        <v>1951</v>
      </c>
      <c r="R261" s="40" t="s">
        <v>1382</v>
      </c>
    </row>
    <row r="262" spans="1:18" x14ac:dyDescent="0.25">
      <c r="A262" s="32" t="s">
        <v>787</v>
      </c>
      <c r="B262" s="33" t="s">
        <v>1952</v>
      </c>
      <c r="C262" s="33" t="s">
        <v>1944</v>
      </c>
      <c r="D262" s="34">
        <f>IF($M262&gt;0,$M262,5.5)</f>
        <v>5.5</v>
      </c>
      <c r="E262" s="34">
        <f>IF($O262&gt;0,$O262,0)</f>
        <v>0</v>
      </c>
      <c r="F262" s="35">
        <v>1000</v>
      </c>
      <c r="G262" s="33" t="s">
        <v>1379</v>
      </c>
      <c r="H262" s="36" t="str">
        <f>IF($M262&gt;0,IF($L262&lt;&gt;1,$R262,IFERROR(INDEX('JLR Materials'!$D$2:$D$20001,MATCH($K262,'JLR Materials'!$A$2:$A$20001,0)),$R262)),$R262)</f>
        <v>2026-09</v>
      </c>
      <c r="I262" s="36" t="str">
        <f>IF($M262&gt;0,"JLR rate card — material code "&amp;$K262,$Q262)</f>
        <v>UK additive supplier 2026-07. Migratory/permanent anti-stat; let-down ~1–2%. | Refresh 2026-09: SPECIALTY — no public market index for this grade; held at the June 2026 price — refresh by supplier quote</v>
      </c>
      <c r="J262" s="33" t="s">
        <v>1393</v>
      </c>
      <c r="K262" s="37" t="str">
        <f>IFERROR(INDEX(Mapping!$C$2:$C$549,MATCH($A262,Mapping!$A$2:$A$549,0)),"")</f>
        <v/>
      </c>
      <c r="L262" s="37">
        <f>IF($K262="",0,COUNTIFS('JLR Materials'!$A$2:$A$20001,$K262,'JLR Materials'!$C$2:$C$20001,IF(Settings!$B$2="","&lt;&gt;",Settings!$B$2),'JLR Materials'!$D$2:$D$20001,IF(Settings!$B$4="","&lt;&gt;",Settings!$B$4)))</f>
        <v>0</v>
      </c>
      <c r="M262" s="38">
        <f>IF($L262&lt;&gt;1,0,SUMIFS('JLR Materials'!$E$2:$E$20001,'JLR Materials'!$A$2:$A$20001,$K262,'JLR Materials'!$C$2:$C$20001,IF(Settings!$B$2="","&lt;&gt;",Settings!$B$2),'JLR Materials'!$D$2:$D$20001,IF(Settings!$B$4="","&lt;&gt;",Settings!$B$4)))</f>
        <v>0</v>
      </c>
      <c r="N262" s="39">
        <f>IF($L262&lt;&gt;1,0,SUMIFS('JLR Materials'!$F$2:$F$20001,'JLR Materials'!$A$2:$A$20001,$K262,'JLR Materials'!$C$2:$C$20001,IF(Settings!$B$2="","&lt;&gt;",Settings!$B$2),'JLR Materials'!$D$2:$D$20001,IF(Settings!$B$4="","&lt;&gt;",Settings!$B$4)))</f>
        <v>0</v>
      </c>
      <c r="O262" s="38">
        <f>IF($N262=0,0,IF(Settings!$B$5="percent",$M262*$N262/100,$N262))</f>
        <v>0</v>
      </c>
      <c r="P262" s="39">
        <f>IF($L262&lt;&gt;1,0,SUMIFS('JLR Materials'!$G$2:$G$20001,'JLR Materials'!$A$2:$A$20001,$K262,'JLR Materials'!$C$2:$C$20001,IF(Settings!$B$2="","&lt;&gt;",Settings!$B$2),'JLR Materials'!$D$2:$D$20001,IF(Settings!$B$4="","&lt;&gt;",Settings!$B$4)))</f>
        <v>0</v>
      </c>
      <c r="Q262" s="40" t="s">
        <v>1953</v>
      </c>
      <c r="R262" s="40" t="s">
        <v>1382</v>
      </c>
    </row>
    <row r="263" spans="1:18" x14ac:dyDescent="0.25">
      <c r="A263" s="32" t="s">
        <v>789</v>
      </c>
      <c r="B263" s="33" t="s">
        <v>1954</v>
      </c>
      <c r="C263" s="33" t="s">
        <v>1944</v>
      </c>
      <c r="D263" s="34">
        <f>IF($M263&gt;0,$M263,4.2)</f>
        <v>4.2</v>
      </c>
      <c r="E263" s="34">
        <f>IF($O263&gt;0,$O263,0)</f>
        <v>0</v>
      </c>
      <c r="F263" s="35">
        <v>1300</v>
      </c>
      <c r="G263" s="33" t="s">
        <v>1379</v>
      </c>
      <c r="H263" s="36" t="str">
        <f>IF($M263&gt;0,IF($L263&lt;&gt;1,$R263,IFERROR(INDEX('JLR Materials'!$D$2:$D$20001,MATCH($K263,'JLR Materials'!$A$2:$A$20001,0)),$R263)),$R263)</f>
        <v>2026-09</v>
      </c>
      <c r="I263" s="36" t="str">
        <f>IF($M263&gt;0,"JLR rate card — material code "&amp;$K263,$Q263)</f>
        <v>UK additive supplier 2026-07. Non-halogen FR for cable/profile; high let-down ~10–25% (property-driven). | Refresh 2026-09: SPECIALTY — no public market index for this grade; held at the June 2026 price — refresh by supplier quote</v>
      </c>
      <c r="J263" s="33" t="s">
        <v>1393</v>
      </c>
      <c r="K263" s="37" t="str">
        <f>IFERROR(INDEX(Mapping!$C$2:$C$549,MATCH($A263,Mapping!$A$2:$A$549,0)),"")</f>
        <v/>
      </c>
      <c r="L263" s="37">
        <f>IF($K263="",0,COUNTIFS('JLR Materials'!$A$2:$A$20001,$K263,'JLR Materials'!$C$2:$C$20001,IF(Settings!$B$2="","&lt;&gt;",Settings!$B$2),'JLR Materials'!$D$2:$D$20001,IF(Settings!$B$4="","&lt;&gt;",Settings!$B$4)))</f>
        <v>0</v>
      </c>
      <c r="M263" s="38">
        <f>IF($L263&lt;&gt;1,0,SUMIFS('JLR Materials'!$E$2:$E$20001,'JLR Materials'!$A$2:$A$20001,$K263,'JLR Materials'!$C$2:$C$20001,IF(Settings!$B$2="","&lt;&gt;",Settings!$B$2),'JLR Materials'!$D$2:$D$20001,IF(Settings!$B$4="","&lt;&gt;",Settings!$B$4)))</f>
        <v>0</v>
      </c>
      <c r="N263" s="39">
        <f>IF($L263&lt;&gt;1,0,SUMIFS('JLR Materials'!$F$2:$F$20001,'JLR Materials'!$A$2:$A$20001,$K263,'JLR Materials'!$C$2:$C$20001,IF(Settings!$B$2="","&lt;&gt;",Settings!$B$2),'JLR Materials'!$D$2:$D$20001,IF(Settings!$B$4="","&lt;&gt;",Settings!$B$4)))</f>
        <v>0</v>
      </c>
      <c r="O263" s="38">
        <f>IF($N263=0,0,IF(Settings!$B$5="percent",$M263*$N263/100,$N263))</f>
        <v>0</v>
      </c>
      <c r="P263" s="39">
        <f>IF($L263&lt;&gt;1,0,SUMIFS('JLR Materials'!$G$2:$G$20001,'JLR Materials'!$A$2:$A$20001,$K263,'JLR Materials'!$C$2:$C$20001,IF(Settings!$B$2="","&lt;&gt;",Settings!$B$2),'JLR Materials'!$D$2:$D$20001,IF(Settings!$B$4="","&lt;&gt;",Settings!$B$4)))</f>
        <v>0</v>
      </c>
      <c r="Q263" s="40" t="s">
        <v>1955</v>
      </c>
      <c r="R263" s="40" t="s">
        <v>1382</v>
      </c>
    </row>
    <row r="264" spans="1:18" x14ac:dyDescent="0.25">
      <c r="A264" s="32" t="s">
        <v>791</v>
      </c>
      <c r="B264" s="33" t="s">
        <v>1956</v>
      </c>
      <c r="C264" s="33" t="s">
        <v>1944</v>
      </c>
      <c r="D264" s="34">
        <f>IF($M264&gt;0,$M264,3.1)</f>
        <v>3.1</v>
      </c>
      <c r="E264" s="34">
        <f>IF($O264&gt;0,$O264,0)</f>
        <v>0</v>
      </c>
      <c r="F264" s="35">
        <v>1000</v>
      </c>
      <c r="G264" s="33" t="s">
        <v>1379</v>
      </c>
      <c r="H264" s="36" t="str">
        <f>IF($M264&gt;0,IF($L264&lt;&gt;1,$R264,IFERROR(INDEX('JLR Materials'!$D$2:$D$20001,MATCH($K264,'JLR Materials'!$A$2:$A$20001,0)),$R264)),$R264)</f>
        <v>2026-09</v>
      </c>
      <c r="I264" s="36" t="str">
        <f>IF($M264&gt;0,"JLR rate card — material code "&amp;$K264,$Q264)</f>
        <v>UK additive supplier 2026-07. Impact modifier for rigid PVC/PP; let-down ~4–8%. | Refresh 2026-09: SPECIALTY — no public market index for this grade; held at the June 2026 price — refresh by supplier quote</v>
      </c>
      <c r="J264" s="33" t="s">
        <v>1393</v>
      </c>
      <c r="K264" s="37" t="str">
        <f>IFERROR(INDEX(Mapping!$C$2:$C$549,MATCH($A264,Mapping!$A$2:$A$549,0)),"")</f>
        <v/>
      </c>
      <c r="L264" s="37">
        <f>IF($K264="",0,COUNTIFS('JLR Materials'!$A$2:$A$20001,$K264,'JLR Materials'!$C$2:$C$20001,IF(Settings!$B$2="","&lt;&gt;",Settings!$B$2),'JLR Materials'!$D$2:$D$20001,IF(Settings!$B$4="","&lt;&gt;",Settings!$B$4)))</f>
        <v>0</v>
      </c>
      <c r="M264" s="38">
        <f>IF($L264&lt;&gt;1,0,SUMIFS('JLR Materials'!$E$2:$E$20001,'JLR Materials'!$A$2:$A$20001,$K264,'JLR Materials'!$C$2:$C$20001,IF(Settings!$B$2="","&lt;&gt;",Settings!$B$2),'JLR Materials'!$D$2:$D$20001,IF(Settings!$B$4="","&lt;&gt;",Settings!$B$4)))</f>
        <v>0</v>
      </c>
      <c r="N264" s="39">
        <f>IF($L264&lt;&gt;1,0,SUMIFS('JLR Materials'!$F$2:$F$20001,'JLR Materials'!$A$2:$A$20001,$K264,'JLR Materials'!$C$2:$C$20001,IF(Settings!$B$2="","&lt;&gt;",Settings!$B$2),'JLR Materials'!$D$2:$D$20001,IF(Settings!$B$4="","&lt;&gt;",Settings!$B$4)))</f>
        <v>0</v>
      </c>
      <c r="O264" s="38">
        <f>IF($N264=0,0,IF(Settings!$B$5="percent",$M264*$N264/100,$N264))</f>
        <v>0</v>
      </c>
      <c r="P264" s="39">
        <f>IF($L264&lt;&gt;1,0,SUMIFS('JLR Materials'!$G$2:$G$20001,'JLR Materials'!$A$2:$A$20001,$K264,'JLR Materials'!$C$2:$C$20001,IF(Settings!$B$2="","&lt;&gt;",Settings!$B$2),'JLR Materials'!$D$2:$D$20001,IF(Settings!$B$4="","&lt;&gt;",Settings!$B$4)))</f>
        <v>0</v>
      </c>
      <c r="Q264" s="40" t="s">
        <v>1957</v>
      </c>
      <c r="R264" s="40" t="s">
        <v>1382</v>
      </c>
    </row>
    <row r="265" spans="1:18" x14ac:dyDescent="0.25">
      <c r="A265" s="32" t="s">
        <v>793</v>
      </c>
      <c r="B265" s="33" t="s">
        <v>1958</v>
      </c>
      <c r="C265" s="33" t="s">
        <v>1944</v>
      </c>
      <c r="D265" s="34">
        <f>IF($M265&gt;0,$M265,8.5)</f>
        <v>8.5</v>
      </c>
      <c r="E265" s="34">
        <f>IF($O265&gt;0,$O265,0)</f>
        <v>0</v>
      </c>
      <c r="F265" s="35">
        <v>1000</v>
      </c>
      <c r="G265" s="33" t="s">
        <v>1379</v>
      </c>
      <c r="H265" s="36" t="str">
        <f>IF($M265&gt;0,IF($L265&lt;&gt;1,$R265,IFERROR(INDEX('JLR Materials'!$D$2:$D$20001,MATCH($K265,'JLR Materials'!$A$2:$A$20001,0)),$R265)),$R265)</f>
        <v>2026-09</v>
      </c>
      <c r="I265" s="36" t="str">
        <f>IF($M265&gt;0,"JLR rate card — material code "&amp;$K265,$Q265)</f>
        <v>UK additive supplier 2026-07. Fluoropolymer PPA — eliminates melt fracture, boosts output; let-down ~0.05–0.1%. | Refresh 2026-09: SPECIALTY — no public market index for this grade; held at the June 2026 price — refresh by supplier quote</v>
      </c>
      <c r="J265" s="33" t="s">
        <v>1393</v>
      </c>
      <c r="K265" s="37" t="str">
        <f>IFERROR(INDEX(Mapping!$C$2:$C$549,MATCH($A265,Mapping!$A$2:$A$549,0)),"")</f>
        <v/>
      </c>
      <c r="L265" s="37">
        <f>IF($K265="",0,COUNTIFS('JLR Materials'!$A$2:$A$20001,$K265,'JLR Materials'!$C$2:$C$20001,IF(Settings!$B$2="","&lt;&gt;",Settings!$B$2),'JLR Materials'!$D$2:$D$20001,IF(Settings!$B$4="","&lt;&gt;",Settings!$B$4)))</f>
        <v>0</v>
      </c>
      <c r="M265" s="38">
        <f>IF($L265&lt;&gt;1,0,SUMIFS('JLR Materials'!$E$2:$E$20001,'JLR Materials'!$A$2:$A$20001,$K265,'JLR Materials'!$C$2:$C$20001,IF(Settings!$B$2="","&lt;&gt;",Settings!$B$2),'JLR Materials'!$D$2:$D$20001,IF(Settings!$B$4="","&lt;&gt;",Settings!$B$4)))</f>
        <v>0</v>
      </c>
      <c r="N265" s="39">
        <f>IF($L265&lt;&gt;1,0,SUMIFS('JLR Materials'!$F$2:$F$20001,'JLR Materials'!$A$2:$A$20001,$K265,'JLR Materials'!$C$2:$C$20001,IF(Settings!$B$2="","&lt;&gt;",Settings!$B$2),'JLR Materials'!$D$2:$D$20001,IF(Settings!$B$4="","&lt;&gt;",Settings!$B$4)))</f>
        <v>0</v>
      </c>
      <c r="O265" s="38">
        <f>IF($N265=0,0,IF(Settings!$B$5="percent",$M265*$N265/100,$N265))</f>
        <v>0</v>
      </c>
      <c r="P265" s="39">
        <f>IF($L265&lt;&gt;1,0,SUMIFS('JLR Materials'!$G$2:$G$20001,'JLR Materials'!$A$2:$A$20001,$K265,'JLR Materials'!$C$2:$C$20001,IF(Settings!$B$2="","&lt;&gt;",Settings!$B$2),'JLR Materials'!$D$2:$D$20001,IF(Settings!$B$4="","&lt;&gt;",Settings!$B$4)))</f>
        <v>0</v>
      </c>
      <c r="Q265" s="40" t="s">
        <v>1959</v>
      </c>
      <c r="R265" s="40" t="s">
        <v>1382</v>
      </c>
    </row>
    <row r="266" spans="1:18" x14ac:dyDescent="0.25">
      <c r="A266" s="32" t="s">
        <v>795</v>
      </c>
      <c r="B266" s="33" t="s">
        <v>1960</v>
      </c>
      <c r="C266" s="33" t="s">
        <v>1961</v>
      </c>
      <c r="D266" s="34">
        <f>IF($M266&gt;0,$M266,1.45)</f>
        <v>1.45</v>
      </c>
      <c r="E266" s="34">
        <f>IF($O266&gt;0,$O266,0.41)</f>
        <v>0.41</v>
      </c>
      <c r="F266" s="35">
        <v>1040</v>
      </c>
      <c r="G266" s="33" t="s">
        <v>1379</v>
      </c>
      <c r="H266" s="36" t="str">
        <f>IF($M266&gt;0,IF($L266&lt;&gt;1,$R266,IFERROR(INDEX('JLR Materials'!$D$2:$D$20001,MATCH($K266,'JLR Materials'!$A$2:$A$20001,0)),$R266)),$R266)</f>
        <v>2026-09</v>
      </c>
      <c r="I266" s="36" t="str">
        <f>IF($M266&gt;0,"JLR rate card — material code "&amp;$K266,$Q266)</f>
        <v>UK sheet extruder 2026-07. High-impact PS gauge sheet — cups, trays, signage, refrigerator liners. Wide forming window; skeleton fully regrindable. | Refresh 2026-09: +£0.399/kg from 1kg hips £0.970→£1.369/kg; premiums held</v>
      </c>
      <c r="J266" s="33" t="s">
        <v>1380</v>
      </c>
      <c r="K266" s="37" t="str">
        <f>IFERROR(INDEX(Mapping!$C$2:$C$549,MATCH($A266,Mapping!$A$2:$A$549,0)),"")</f>
        <v/>
      </c>
      <c r="L266" s="37">
        <f>IF($K266="",0,COUNTIFS('JLR Materials'!$A$2:$A$20001,$K266,'JLR Materials'!$C$2:$C$20001,IF(Settings!$B$2="","&lt;&gt;",Settings!$B$2),'JLR Materials'!$D$2:$D$20001,IF(Settings!$B$4="","&lt;&gt;",Settings!$B$4)))</f>
        <v>0</v>
      </c>
      <c r="M266" s="38">
        <f>IF($L266&lt;&gt;1,0,SUMIFS('JLR Materials'!$E$2:$E$20001,'JLR Materials'!$A$2:$A$20001,$K266,'JLR Materials'!$C$2:$C$20001,IF(Settings!$B$2="","&lt;&gt;",Settings!$B$2),'JLR Materials'!$D$2:$D$20001,IF(Settings!$B$4="","&lt;&gt;",Settings!$B$4)))</f>
        <v>0</v>
      </c>
      <c r="N266" s="39">
        <f>IF($L266&lt;&gt;1,0,SUMIFS('JLR Materials'!$F$2:$F$20001,'JLR Materials'!$A$2:$A$20001,$K266,'JLR Materials'!$C$2:$C$20001,IF(Settings!$B$2="","&lt;&gt;",Settings!$B$2),'JLR Materials'!$D$2:$D$20001,IF(Settings!$B$4="","&lt;&gt;",Settings!$B$4)))</f>
        <v>0</v>
      </c>
      <c r="O266" s="38">
        <f>IF($N266=0,0,IF(Settings!$B$5="percent",$M266*$N266/100,$N266))</f>
        <v>0</v>
      </c>
      <c r="P266" s="39">
        <f>IF($L266&lt;&gt;1,0,SUMIFS('JLR Materials'!$G$2:$G$20001,'JLR Materials'!$A$2:$A$20001,$K266,'JLR Materials'!$C$2:$C$20001,IF(Settings!$B$2="","&lt;&gt;",Settings!$B$2),'JLR Materials'!$D$2:$D$20001,IF(Settings!$B$4="","&lt;&gt;",Settings!$B$4)))</f>
        <v>0</v>
      </c>
      <c r="Q266" s="40" t="s">
        <v>1962</v>
      </c>
      <c r="R266" s="40" t="s">
        <v>1382</v>
      </c>
    </row>
    <row r="267" spans="1:18" x14ac:dyDescent="0.25">
      <c r="A267" s="32" t="s">
        <v>797</v>
      </c>
      <c r="B267" s="33" t="s">
        <v>1963</v>
      </c>
      <c r="C267" s="33" t="s">
        <v>1961</v>
      </c>
      <c r="D267" s="34">
        <f>IF($M267&gt;0,$M267,1.94)</f>
        <v>1.94</v>
      </c>
      <c r="E267" s="34">
        <f>IF($O267&gt;0,$O267,0.44)</f>
        <v>0.44</v>
      </c>
      <c r="F267" s="35">
        <v>1050</v>
      </c>
      <c r="G267" s="33" t="s">
        <v>1379</v>
      </c>
      <c r="H267" s="36" t="str">
        <f>IF($M267&gt;0,IF($L267&lt;&gt;1,$R267,IFERROR(INDEX('JLR Materials'!$D$2:$D$20001,MATCH($K267,'JLR Materials'!$A$2:$A$20001,0)),$R267)),$R267)</f>
        <v>2026-09</v>
      </c>
      <c r="I267" s="36" t="str">
        <f>IF($M267&gt;0,"JLR rate card — material code "&amp;$K267,$Q267)</f>
        <v>UK sheet extruder 2026-07. Automotive/appliance ABS gauge sheet — interior trim, cargo liners, luggage; SPI texture capable. | Refresh 2026-09: −£0.065/kg from 1kg abs £0.775→£0.710/kg; premiums held</v>
      </c>
      <c r="J267" s="33" t="s">
        <v>1380</v>
      </c>
      <c r="K267" s="37" t="str">
        <f>IFERROR(INDEX(Mapping!$C$2:$C$549,MATCH($A267,Mapping!$A$2:$A$549,0)),"")</f>
        <v/>
      </c>
      <c r="L267" s="37">
        <f>IF($K267="",0,COUNTIFS('JLR Materials'!$A$2:$A$20001,$K267,'JLR Materials'!$C$2:$C$20001,IF(Settings!$B$2="","&lt;&gt;",Settings!$B$2),'JLR Materials'!$D$2:$D$20001,IF(Settings!$B$4="","&lt;&gt;",Settings!$B$4)))</f>
        <v>0</v>
      </c>
      <c r="M267" s="38">
        <f>IF($L267&lt;&gt;1,0,SUMIFS('JLR Materials'!$E$2:$E$20001,'JLR Materials'!$A$2:$A$20001,$K267,'JLR Materials'!$C$2:$C$20001,IF(Settings!$B$2="","&lt;&gt;",Settings!$B$2),'JLR Materials'!$D$2:$D$20001,IF(Settings!$B$4="","&lt;&gt;",Settings!$B$4)))</f>
        <v>0</v>
      </c>
      <c r="N267" s="39">
        <f>IF($L267&lt;&gt;1,0,SUMIFS('JLR Materials'!$F$2:$F$20001,'JLR Materials'!$A$2:$A$20001,$K267,'JLR Materials'!$C$2:$C$20001,IF(Settings!$B$2="","&lt;&gt;",Settings!$B$2),'JLR Materials'!$D$2:$D$20001,IF(Settings!$B$4="","&lt;&gt;",Settings!$B$4)))</f>
        <v>0</v>
      </c>
      <c r="O267" s="38">
        <f>IF($N267=0,0,IF(Settings!$B$5="percent",$M267*$N267/100,$N267))</f>
        <v>0</v>
      </c>
      <c r="P267" s="39">
        <f>IF($L267&lt;&gt;1,0,SUMIFS('JLR Materials'!$G$2:$G$20001,'JLR Materials'!$A$2:$A$20001,$K267,'JLR Materials'!$C$2:$C$20001,IF(Settings!$B$2="","&lt;&gt;",Settings!$B$2),'JLR Materials'!$D$2:$D$20001,IF(Settings!$B$4="","&lt;&gt;",Settings!$B$4)))</f>
        <v>0</v>
      </c>
      <c r="Q267" s="40" t="s">
        <v>1964</v>
      </c>
      <c r="R267" s="40" t="s">
        <v>1382</v>
      </c>
    </row>
    <row r="268" spans="1:18" x14ac:dyDescent="0.25">
      <c r="A268" s="32" t="s">
        <v>799</v>
      </c>
      <c r="B268" s="33" t="s">
        <v>1965</v>
      </c>
      <c r="C268" s="33" t="s">
        <v>1961</v>
      </c>
      <c r="D268" s="34">
        <f>IF($M268&gt;0,$M268,1.85)</f>
        <v>1.85</v>
      </c>
      <c r="E268" s="34">
        <f>IF($O268&gt;0,$O268,0.45)</f>
        <v>0.45</v>
      </c>
      <c r="F268" s="35">
        <v>1270</v>
      </c>
      <c r="G268" s="33" t="s">
        <v>1379</v>
      </c>
      <c r="H268" s="36" t="str">
        <f>IF($M268&gt;0,IF($L268&lt;&gt;1,$R268,IFERROR(INDEX('JLR Materials'!$D$2:$D$20001,MATCH($K268,'JLR Materials'!$A$2:$A$20001,0)),$R268)),$R268)</f>
        <v>2026-09</v>
      </c>
      <c r="I268" s="36" t="str">
        <f>IF($M268&gt;0,"JLR rate card — material code "&amp;$K268,$Q268)</f>
        <v>UK sheet extruder 2026-07. Glycol-modified PET — clear packaging, medical trays, retail; easy deep draw, no pre-dry. | Refresh 2026-09: SPECIALTY — no public market index for this grade; held at the June 2026 price — refresh by supplier quote</v>
      </c>
      <c r="J268" s="33" t="s">
        <v>1380</v>
      </c>
      <c r="K268" s="37" t="str">
        <f>IFERROR(INDEX(Mapping!$C$2:$C$549,MATCH($A268,Mapping!$A$2:$A$549,0)),"")</f>
        <v/>
      </c>
      <c r="L268" s="37">
        <f>IF($K268="",0,COUNTIFS('JLR Materials'!$A$2:$A$20001,$K268,'JLR Materials'!$C$2:$C$20001,IF(Settings!$B$2="","&lt;&gt;",Settings!$B$2),'JLR Materials'!$D$2:$D$20001,IF(Settings!$B$4="","&lt;&gt;",Settings!$B$4)))</f>
        <v>0</v>
      </c>
      <c r="M268" s="38">
        <f>IF($L268&lt;&gt;1,0,SUMIFS('JLR Materials'!$E$2:$E$20001,'JLR Materials'!$A$2:$A$20001,$K268,'JLR Materials'!$C$2:$C$20001,IF(Settings!$B$2="","&lt;&gt;",Settings!$B$2),'JLR Materials'!$D$2:$D$20001,IF(Settings!$B$4="","&lt;&gt;",Settings!$B$4)))</f>
        <v>0</v>
      </c>
      <c r="N268" s="39">
        <f>IF($L268&lt;&gt;1,0,SUMIFS('JLR Materials'!$F$2:$F$20001,'JLR Materials'!$A$2:$A$20001,$K268,'JLR Materials'!$C$2:$C$20001,IF(Settings!$B$2="","&lt;&gt;",Settings!$B$2),'JLR Materials'!$D$2:$D$20001,IF(Settings!$B$4="","&lt;&gt;",Settings!$B$4)))</f>
        <v>0</v>
      </c>
      <c r="O268" s="38">
        <f>IF($N268=0,0,IF(Settings!$B$5="percent",$M268*$N268/100,$N268))</f>
        <v>0</v>
      </c>
      <c r="P268" s="39">
        <f>IF($L268&lt;&gt;1,0,SUMIFS('JLR Materials'!$G$2:$G$20001,'JLR Materials'!$A$2:$A$20001,$K268,'JLR Materials'!$C$2:$C$20001,IF(Settings!$B$2="","&lt;&gt;",Settings!$B$2),'JLR Materials'!$D$2:$D$20001,IF(Settings!$B$4="","&lt;&gt;",Settings!$B$4)))</f>
        <v>0</v>
      </c>
      <c r="Q268" s="40" t="s">
        <v>1966</v>
      </c>
      <c r="R268" s="40" t="s">
        <v>1382</v>
      </c>
    </row>
    <row r="269" spans="1:18" x14ac:dyDescent="0.25">
      <c r="A269" s="32" t="s">
        <v>801</v>
      </c>
      <c r="B269" s="33" t="s">
        <v>1967</v>
      </c>
      <c r="C269" s="33" t="s">
        <v>1961</v>
      </c>
      <c r="D269" s="34">
        <f>IF($M269&gt;0,$M269,1.55)</f>
        <v>1.55</v>
      </c>
      <c r="E269" s="34">
        <f>IF($O269&gt;0,$O269,0.4)</f>
        <v>0.4</v>
      </c>
      <c r="F269" s="35">
        <v>1340</v>
      </c>
      <c r="G269" s="33" t="s">
        <v>1379</v>
      </c>
      <c r="H269" s="36" t="str">
        <f>IF($M269&gt;0,IF($L269&lt;&gt;1,$R269,IFERROR(INDEX('JLR Materials'!$D$2:$D$20001,MATCH($K269,'JLR Materials'!$A$2:$A$20001,0)),$R269)),$R269)</f>
        <v>2026-09</v>
      </c>
      <c r="I269" s="36" t="str">
        <f>IF($M269&gt;0,"JLR rate card — material code "&amp;$K269,$Q269)</f>
        <v>UK sheet extruder 2026-07. Amorphous PET — clear food trays/clamshells, blister; highest-volume packaging sheet. rPET content common. | Refresh 2026-09: NOT SOURCED — pet: Not sourced this period: engineering resin prices are paywalled (PIE/ICIS). Direction only: PC rising through Aug 2026, PA6 rebounding, PA66 under pressure, PET declining — no like-for-like June→Sep figures. Held at the June 2026 price.</v>
      </c>
      <c r="J269" s="33" t="s">
        <v>1380</v>
      </c>
      <c r="K269" s="37" t="str">
        <f>IFERROR(INDEX(Mapping!$C$2:$C$549,MATCH($A269,Mapping!$A$2:$A$549,0)),"")</f>
        <v/>
      </c>
      <c r="L269" s="37">
        <f>IF($K269="",0,COUNTIFS('JLR Materials'!$A$2:$A$20001,$K269,'JLR Materials'!$C$2:$C$20001,IF(Settings!$B$2="","&lt;&gt;",Settings!$B$2),'JLR Materials'!$D$2:$D$20001,IF(Settings!$B$4="","&lt;&gt;",Settings!$B$4)))</f>
        <v>0</v>
      </c>
      <c r="M269" s="38">
        <f>IF($L269&lt;&gt;1,0,SUMIFS('JLR Materials'!$E$2:$E$20001,'JLR Materials'!$A$2:$A$20001,$K269,'JLR Materials'!$C$2:$C$20001,IF(Settings!$B$2="","&lt;&gt;",Settings!$B$2),'JLR Materials'!$D$2:$D$20001,IF(Settings!$B$4="","&lt;&gt;",Settings!$B$4)))</f>
        <v>0</v>
      </c>
      <c r="N269" s="39">
        <f>IF($L269&lt;&gt;1,0,SUMIFS('JLR Materials'!$F$2:$F$20001,'JLR Materials'!$A$2:$A$20001,$K269,'JLR Materials'!$C$2:$C$20001,IF(Settings!$B$2="","&lt;&gt;",Settings!$B$2),'JLR Materials'!$D$2:$D$20001,IF(Settings!$B$4="","&lt;&gt;",Settings!$B$4)))</f>
        <v>0</v>
      </c>
      <c r="O269" s="38">
        <f>IF($N269=0,0,IF(Settings!$B$5="percent",$M269*$N269/100,$N269))</f>
        <v>0</v>
      </c>
      <c r="P269" s="39">
        <f>IF($L269&lt;&gt;1,0,SUMIFS('JLR Materials'!$G$2:$G$20001,'JLR Materials'!$A$2:$A$20001,$K269,'JLR Materials'!$C$2:$C$20001,IF(Settings!$B$2="","&lt;&gt;",Settings!$B$2),'JLR Materials'!$D$2:$D$20001,IF(Settings!$B$4="","&lt;&gt;",Settings!$B$4)))</f>
        <v>0</v>
      </c>
      <c r="Q269" s="40" t="s">
        <v>1968</v>
      </c>
      <c r="R269" s="40" t="s">
        <v>1382</v>
      </c>
    </row>
    <row r="270" spans="1:18" x14ac:dyDescent="0.25">
      <c r="A270" s="32" t="s">
        <v>803</v>
      </c>
      <c r="B270" s="33" t="s">
        <v>1969</v>
      </c>
      <c r="C270" s="33" t="s">
        <v>1961</v>
      </c>
      <c r="D270" s="34">
        <f>IF($M270&gt;0,$M270,1.75)</f>
        <v>1.75</v>
      </c>
      <c r="E270" s="34">
        <f>IF($O270&gt;0,$O270,0.35)</f>
        <v>0.35</v>
      </c>
      <c r="F270" s="35">
        <v>1400</v>
      </c>
      <c r="G270" s="33" t="s">
        <v>1379</v>
      </c>
      <c r="H270" s="36" t="str">
        <f>IF($M270&gt;0,IF($L270&lt;&gt;1,$R270,IFERROR(INDEX('JLR Materials'!$D$2:$D$20001,MATCH($K270,'JLR Materials'!$A$2:$A$20001,0)),$R270)),$R270)</f>
        <v>2026-09</v>
      </c>
      <c r="I270" s="36" t="str">
        <f>IF($M270&gt;0,"JLR rate card — material code "&amp;$K270,$Q270)</f>
        <v>UK sheet extruder 2026-07. Crystallising PET — dual-ovenable ready-meal trays (-40 to +220°C); needs hot tool + long crystallisation cycle. | Refresh 2026-09: NOT SOURCED — pet: Not sourced this period: engineering resin prices are paywalled (PIE/ICIS). Direction only: PC rising through Aug 2026, PA6 rebounding, PA66 under pressure, PET declining — no like-for-like June→Sep figures. Held at the June 2026 price.</v>
      </c>
      <c r="J270" s="33" t="s">
        <v>1393</v>
      </c>
      <c r="K270" s="37" t="str">
        <f>IFERROR(INDEX(Mapping!$C$2:$C$549,MATCH($A270,Mapping!$A$2:$A$549,0)),"")</f>
        <v/>
      </c>
      <c r="L270" s="37">
        <f>IF($K270="",0,COUNTIFS('JLR Materials'!$A$2:$A$20001,$K270,'JLR Materials'!$C$2:$C$20001,IF(Settings!$B$2="","&lt;&gt;",Settings!$B$2),'JLR Materials'!$D$2:$D$20001,IF(Settings!$B$4="","&lt;&gt;",Settings!$B$4)))</f>
        <v>0</v>
      </c>
      <c r="M270" s="38">
        <f>IF($L270&lt;&gt;1,0,SUMIFS('JLR Materials'!$E$2:$E$20001,'JLR Materials'!$A$2:$A$20001,$K270,'JLR Materials'!$C$2:$C$20001,IF(Settings!$B$2="","&lt;&gt;",Settings!$B$2),'JLR Materials'!$D$2:$D$20001,IF(Settings!$B$4="","&lt;&gt;",Settings!$B$4)))</f>
        <v>0</v>
      </c>
      <c r="N270" s="39">
        <f>IF($L270&lt;&gt;1,0,SUMIFS('JLR Materials'!$F$2:$F$20001,'JLR Materials'!$A$2:$A$20001,$K270,'JLR Materials'!$C$2:$C$20001,IF(Settings!$B$2="","&lt;&gt;",Settings!$B$2),'JLR Materials'!$D$2:$D$20001,IF(Settings!$B$4="","&lt;&gt;",Settings!$B$4)))</f>
        <v>0</v>
      </c>
      <c r="O270" s="38">
        <f>IF($N270=0,0,IF(Settings!$B$5="percent",$M270*$N270/100,$N270))</f>
        <v>0</v>
      </c>
      <c r="P270" s="39">
        <f>IF($L270&lt;&gt;1,0,SUMIFS('JLR Materials'!$G$2:$G$20001,'JLR Materials'!$A$2:$A$20001,$K270,'JLR Materials'!$C$2:$C$20001,IF(Settings!$B$2="","&lt;&gt;",Settings!$B$2),'JLR Materials'!$D$2:$D$20001,IF(Settings!$B$4="","&lt;&gt;",Settings!$B$4)))</f>
        <v>0</v>
      </c>
      <c r="Q270" s="40" t="s">
        <v>1970</v>
      </c>
      <c r="R270" s="40" t="s">
        <v>1382</v>
      </c>
    </row>
    <row r="271" spans="1:18" x14ac:dyDescent="0.25">
      <c r="A271" s="32" t="s">
        <v>805</v>
      </c>
      <c r="B271" s="33" t="s">
        <v>1971</v>
      </c>
      <c r="C271" s="33" t="s">
        <v>1961</v>
      </c>
      <c r="D271" s="34">
        <f>IF($M271&gt;0,$M271,1.28)</f>
        <v>1.28</v>
      </c>
      <c r="E271" s="34">
        <f>IF($O271&gt;0,$O271,0.19)</f>
        <v>0.19</v>
      </c>
      <c r="F271" s="35">
        <v>1400</v>
      </c>
      <c r="G271" s="33" t="s">
        <v>1379</v>
      </c>
      <c r="H271" s="36" t="str">
        <f>IF($M271&gt;0,IF($L271&lt;&gt;1,$R271,IFERROR(INDEX('JLR Materials'!$D$2:$D$20001,MATCH($K271,'JLR Materials'!$A$2:$A$20001,0)),$R271)),$R271)</f>
        <v>2026-09</v>
      </c>
      <c r="I271" s="36" t="str">
        <f>IF($M271&gt;0,"JLR rate card — material code "&amp;$K271,$Q271)</f>
        <v>UK sheet extruder 2026-07. Rigid PVC gauge sheet — blister packs, ID/credit cards, medical; low forming temp, heat-sensitive. | Refresh 2026-09: −£0.066/kg from 0.85kg pvc £0.453→£0.375/kg; premiums held</v>
      </c>
      <c r="J271" s="33" t="s">
        <v>1380</v>
      </c>
      <c r="K271" s="37" t="str">
        <f>IFERROR(INDEX(Mapping!$C$2:$C$549,MATCH($A271,Mapping!$A$2:$A$549,0)),"")</f>
        <v/>
      </c>
      <c r="L271" s="37">
        <f>IF($K271="",0,COUNTIFS('JLR Materials'!$A$2:$A$20001,$K271,'JLR Materials'!$C$2:$C$20001,IF(Settings!$B$2="","&lt;&gt;",Settings!$B$2),'JLR Materials'!$D$2:$D$20001,IF(Settings!$B$4="","&lt;&gt;",Settings!$B$4)))</f>
        <v>0</v>
      </c>
      <c r="M271" s="38">
        <f>IF($L271&lt;&gt;1,0,SUMIFS('JLR Materials'!$E$2:$E$20001,'JLR Materials'!$A$2:$A$20001,$K271,'JLR Materials'!$C$2:$C$20001,IF(Settings!$B$2="","&lt;&gt;",Settings!$B$2),'JLR Materials'!$D$2:$D$20001,IF(Settings!$B$4="","&lt;&gt;",Settings!$B$4)))</f>
        <v>0</v>
      </c>
      <c r="N271" s="39">
        <f>IF($L271&lt;&gt;1,0,SUMIFS('JLR Materials'!$F$2:$F$20001,'JLR Materials'!$A$2:$A$20001,$K271,'JLR Materials'!$C$2:$C$20001,IF(Settings!$B$2="","&lt;&gt;",Settings!$B$2),'JLR Materials'!$D$2:$D$20001,IF(Settings!$B$4="","&lt;&gt;",Settings!$B$4)))</f>
        <v>0</v>
      </c>
      <c r="O271" s="38">
        <f>IF($N271=0,0,IF(Settings!$B$5="percent",$M271*$N271/100,$N271))</f>
        <v>0</v>
      </c>
      <c r="P271" s="39">
        <f>IF($L271&lt;&gt;1,0,SUMIFS('JLR Materials'!$G$2:$G$20001,'JLR Materials'!$A$2:$A$20001,$K271,'JLR Materials'!$C$2:$C$20001,IF(Settings!$B$2="","&lt;&gt;",Settings!$B$2),'JLR Materials'!$D$2:$D$20001,IF(Settings!$B$4="","&lt;&gt;",Settings!$B$4)))</f>
        <v>0</v>
      </c>
      <c r="Q271" s="40" t="s">
        <v>1972</v>
      </c>
      <c r="R271" s="40" t="s">
        <v>1382</v>
      </c>
    </row>
    <row r="272" spans="1:18" x14ac:dyDescent="0.25">
      <c r="A272" s="32" t="s">
        <v>807</v>
      </c>
      <c r="B272" s="33" t="s">
        <v>1973</v>
      </c>
      <c r="C272" s="33" t="s">
        <v>1961</v>
      </c>
      <c r="D272" s="34">
        <f>IF($M272&gt;0,$M272,1.33)</f>
        <v>1.33</v>
      </c>
      <c r="E272" s="34">
        <f>IF($O272&gt;0,$O272,0.31)</f>
        <v>0.31</v>
      </c>
      <c r="F272" s="35">
        <v>905</v>
      </c>
      <c r="G272" s="33" t="s">
        <v>1379</v>
      </c>
      <c r="H272" s="36" t="str">
        <f>IF($M272&gt;0,IF($L272&lt;&gt;1,$R272,IFERROR(INDEX('JLR Materials'!$D$2:$D$20001,MATCH($K272,'JLR Materials'!$A$2:$A$20001,0)),$R272)),$R272)</f>
        <v>2026-09</v>
      </c>
      <c r="I272" s="36" t="str">
        <f>IF($M272&gt;0,"JLR rate card — material code "&amp;$K272,$Q272)</f>
        <v>UK sheet extruder 2026-07. High-melt-strength PP — hot-fill cups, deli tubs, medical; narrow window, needs sag control. Lightest sheet. | Refresh 2026-09: +£0.027/kg from 1kg pp £0.960→£0.987/kg; premiums held</v>
      </c>
      <c r="J272" s="33" t="s">
        <v>1380</v>
      </c>
      <c r="K272" s="37" t="str">
        <f>IFERROR(INDEX(Mapping!$C$2:$C$549,MATCH($A272,Mapping!$A$2:$A$549,0)),"")</f>
        <v/>
      </c>
      <c r="L272" s="37">
        <f>IF($K272="",0,COUNTIFS('JLR Materials'!$A$2:$A$20001,$K272,'JLR Materials'!$C$2:$C$20001,IF(Settings!$B$2="","&lt;&gt;",Settings!$B$2),'JLR Materials'!$D$2:$D$20001,IF(Settings!$B$4="","&lt;&gt;",Settings!$B$4)))</f>
        <v>0</v>
      </c>
      <c r="M272" s="38">
        <f>IF($L272&lt;&gt;1,0,SUMIFS('JLR Materials'!$E$2:$E$20001,'JLR Materials'!$A$2:$A$20001,$K272,'JLR Materials'!$C$2:$C$20001,IF(Settings!$B$2="","&lt;&gt;",Settings!$B$2),'JLR Materials'!$D$2:$D$20001,IF(Settings!$B$4="","&lt;&gt;",Settings!$B$4)))</f>
        <v>0</v>
      </c>
      <c r="N272" s="39">
        <f>IF($L272&lt;&gt;1,0,SUMIFS('JLR Materials'!$F$2:$F$20001,'JLR Materials'!$A$2:$A$20001,$K272,'JLR Materials'!$C$2:$C$20001,IF(Settings!$B$2="","&lt;&gt;",Settings!$B$2),'JLR Materials'!$D$2:$D$20001,IF(Settings!$B$4="","&lt;&gt;",Settings!$B$4)))</f>
        <v>0</v>
      </c>
      <c r="O272" s="38">
        <f>IF($N272=0,0,IF(Settings!$B$5="percent",$M272*$N272/100,$N272))</f>
        <v>0</v>
      </c>
      <c r="P272" s="39">
        <f>IF($L272&lt;&gt;1,0,SUMIFS('JLR Materials'!$G$2:$G$20001,'JLR Materials'!$A$2:$A$20001,$K272,'JLR Materials'!$C$2:$C$20001,IF(Settings!$B$2="","&lt;&gt;",Settings!$B$2),'JLR Materials'!$D$2:$D$20001,IF(Settings!$B$4="","&lt;&gt;",Settings!$B$4)))</f>
        <v>0</v>
      </c>
      <c r="Q272" s="40" t="s">
        <v>1974</v>
      </c>
      <c r="R272" s="40" t="s">
        <v>1382</v>
      </c>
    </row>
    <row r="273" spans="1:18" x14ac:dyDescent="0.25">
      <c r="A273" s="32" t="s">
        <v>809</v>
      </c>
      <c r="B273" s="33" t="s">
        <v>1975</v>
      </c>
      <c r="C273" s="33" t="s">
        <v>1961</v>
      </c>
      <c r="D273" s="34">
        <f>IF($M273&gt;0,$M273,1.24)</f>
        <v>1.24</v>
      </c>
      <c r="E273" s="34">
        <f>IF($O273&gt;0,$O273,0.35)</f>
        <v>0.35</v>
      </c>
      <c r="F273" s="35">
        <v>950</v>
      </c>
      <c r="G273" s="33" t="s">
        <v>1379</v>
      </c>
      <c r="H273" s="36" t="str">
        <f>IF($M273&gt;0,IF($L273&lt;&gt;1,$R273,IFERROR(INDEX('JLR Materials'!$D$2:$D$20001,MATCH($K273,'JLR Materials'!$A$2:$A$20001,0)),$R273)),$R273)</f>
        <v>2026-09</v>
      </c>
      <c r="I273" s="36" t="str">
        <f>IF($M273&gt;0,"JLR rate card — material code "&amp;$K273,$Q273)</f>
        <v>UK sheet extruder 2026-07. HDPE gauge sheet — industrial trays, liners, kayaks (heavy-gauge); heavy sag, low melt strength. | Refresh 2026-09: −£0.013/kg from 1kg hdpe £1.060→£1.047/kg; premiums held</v>
      </c>
      <c r="J273" s="33" t="s">
        <v>1393</v>
      </c>
      <c r="K273" s="37" t="str">
        <f>IFERROR(INDEX(Mapping!$C$2:$C$549,MATCH($A273,Mapping!$A$2:$A$549,0)),"")</f>
        <v/>
      </c>
      <c r="L273" s="37">
        <f>IF($K273="",0,COUNTIFS('JLR Materials'!$A$2:$A$20001,$K273,'JLR Materials'!$C$2:$C$20001,IF(Settings!$B$2="","&lt;&gt;",Settings!$B$2),'JLR Materials'!$D$2:$D$20001,IF(Settings!$B$4="","&lt;&gt;",Settings!$B$4)))</f>
        <v>0</v>
      </c>
      <c r="M273" s="38">
        <f>IF($L273&lt;&gt;1,0,SUMIFS('JLR Materials'!$E$2:$E$20001,'JLR Materials'!$A$2:$A$20001,$K273,'JLR Materials'!$C$2:$C$20001,IF(Settings!$B$2="","&lt;&gt;",Settings!$B$2),'JLR Materials'!$D$2:$D$20001,IF(Settings!$B$4="","&lt;&gt;",Settings!$B$4)))</f>
        <v>0</v>
      </c>
      <c r="N273" s="39">
        <f>IF($L273&lt;&gt;1,0,SUMIFS('JLR Materials'!$F$2:$F$20001,'JLR Materials'!$A$2:$A$20001,$K273,'JLR Materials'!$C$2:$C$20001,IF(Settings!$B$2="","&lt;&gt;",Settings!$B$2),'JLR Materials'!$D$2:$D$20001,IF(Settings!$B$4="","&lt;&gt;",Settings!$B$4)))</f>
        <v>0</v>
      </c>
      <c r="O273" s="38">
        <f>IF($N273=0,0,IF(Settings!$B$5="percent",$M273*$N273/100,$N273))</f>
        <v>0</v>
      </c>
      <c r="P273" s="39">
        <f>IF($L273&lt;&gt;1,0,SUMIFS('JLR Materials'!$G$2:$G$20001,'JLR Materials'!$A$2:$A$20001,$K273,'JLR Materials'!$C$2:$C$20001,IF(Settings!$B$2="","&lt;&gt;",Settings!$B$2),'JLR Materials'!$D$2:$D$20001,IF(Settings!$B$4="","&lt;&gt;",Settings!$B$4)))</f>
        <v>0</v>
      </c>
      <c r="Q273" s="40" t="s">
        <v>1976</v>
      </c>
      <c r="R273" s="40" t="s">
        <v>1382</v>
      </c>
    </row>
    <row r="274" spans="1:18" x14ac:dyDescent="0.25">
      <c r="A274" s="32" t="s">
        <v>811</v>
      </c>
      <c r="B274" s="33" t="s">
        <v>1977</v>
      </c>
      <c r="C274" s="33" t="s">
        <v>1961</v>
      </c>
      <c r="D274" s="34">
        <f>IF($M274&gt;0,$M274,1.52)</f>
        <v>1.52</v>
      </c>
      <c r="E274" s="34">
        <f>IF($O274&gt;0,$O274,0.35)</f>
        <v>0.35</v>
      </c>
      <c r="F274" s="35">
        <v>925</v>
      </c>
      <c r="G274" s="33" t="s">
        <v>1379</v>
      </c>
      <c r="H274" s="36" t="str">
        <f>IF($M274&gt;0,IF($L274&lt;&gt;1,$R274,IFERROR(INDEX('JLR Materials'!$D$2:$D$20001,MATCH($K274,'JLR Materials'!$A$2:$A$20001,0)),$R274)),$R274)</f>
        <v>2026-09</v>
      </c>
      <c r="I274" s="36" t="str">
        <f>IF($M274&gt;0,"JLR rate card — material code "&amp;$K274,$Q274)</f>
        <v>UK sheet extruder 2026-07. LDPE gauge sheet — soft protective trays, flexible packaging inserts. Very low melt strength. | Refresh 2026-09: +£0.217/kg from 1kg ldpe £0.870→£1.087/kg; premiums held</v>
      </c>
      <c r="J274" s="33" t="s">
        <v>1393</v>
      </c>
      <c r="K274" s="37" t="str">
        <f>IFERROR(INDEX(Mapping!$C$2:$C$549,MATCH($A274,Mapping!$A$2:$A$549,0)),"")</f>
        <v/>
      </c>
      <c r="L274" s="37">
        <f>IF($K274="",0,COUNTIFS('JLR Materials'!$A$2:$A$20001,$K274,'JLR Materials'!$C$2:$C$20001,IF(Settings!$B$2="","&lt;&gt;",Settings!$B$2),'JLR Materials'!$D$2:$D$20001,IF(Settings!$B$4="","&lt;&gt;",Settings!$B$4)))</f>
        <v>0</v>
      </c>
      <c r="M274" s="38">
        <f>IF($L274&lt;&gt;1,0,SUMIFS('JLR Materials'!$E$2:$E$20001,'JLR Materials'!$A$2:$A$20001,$K274,'JLR Materials'!$C$2:$C$20001,IF(Settings!$B$2="","&lt;&gt;",Settings!$B$2),'JLR Materials'!$D$2:$D$20001,IF(Settings!$B$4="","&lt;&gt;",Settings!$B$4)))</f>
        <v>0</v>
      </c>
      <c r="N274" s="39">
        <f>IF($L274&lt;&gt;1,0,SUMIFS('JLR Materials'!$F$2:$F$20001,'JLR Materials'!$A$2:$A$20001,$K274,'JLR Materials'!$C$2:$C$20001,IF(Settings!$B$2="","&lt;&gt;",Settings!$B$2),'JLR Materials'!$D$2:$D$20001,IF(Settings!$B$4="","&lt;&gt;",Settings!$B$4)))</f>
        <v>0</v>
      </c>
      <c r="O274" s="38">
        <f>IF($N274=0,0,IF(Settings!$B$5="percent",$M274*$N274/100,$N274))</f>
        <v>0</v>
      </c>
      <c r="P274" s="39">
        <f>IF($L274&lt;&gt;1,0,SUMIFS('JLR Materials'!$G$2:$G$20001,'JLR Materials'!$A$2:$A$20001,$K274,'JLR Materials'!$C$2:$C$20001,IF(Settings!$B$2="","&lt;&gt;",Settings!$B$2),'JLR Materials'!$D$2:$D$20001,IF(Settings!$B$4="","&lt;&gt;",Settings!$B$4)))</f>
        <v>0</v>
      </c>
      <c r="Q274" s="40" t="s">
        <v>1978</v>
      </c>
      <c r="R274" s="40" t="s">
        <v>1382</v>
      </c>
    </row>
    <row r="275" spans="1:18" x14ac:dyDescent="0.25">
      <c r="A275" s="32" t="s">
        <v>813</v>
      </c>
      <c r="B275" s="33" t="s">
        <v>1979</v>
      </c>
      <c r="C275" s="33" t="s">
        <v>1961</v>
      </c>
      <c r="D275" s="34">
        <f>IF($M275&gt;0,$M275,1.97)</f>
        <v>1.97</v>
      </c>
      <c r="E275" s="34">
        <f>IF($O275&gt;0,$O275,0.18)</f>
        <v>0.18</v>
      </c>
      <c r="F275" s="35">
        <v>120</v>
      </c>
      <c r="G275" s="33" t="s">
        <v>1379</v>
      </c>
      <c r="H275" s="36" t="str">
        <f>IF($M275&gt;0,IF($L275&lt;&gt;1,$R275,IFERROR(INDEX('JLR Materials'!$D$2:$D$20001,MATCH($K275,'JLR Materials'!$A$2:$A$20001,0)),$R275)),$R275)</f>
        <v>2026-09</v>
      </c>
      <c r="I275" s="36" t="str">
        <f>IF($M275&gt;0,"JLR rate card — material code "&amp;$K275,$Q275)</f>
        <v>UK sheet extruder 2026-07. Expanded PS foam sheet — egg cartons, meat/produce trays, insulation; low density, high stiffness-per-kg. | Refresh 2026-09: +£0.369/kg from 1kg gpps £1.000→£1.369/kg; premiums held</v>
      </c>
      <c r="J275" s="33" t="s">
        <v>1393</v>
      </c>
      <c r="K275" s="37" t="str">
        <f>IFERROR(INDEX(Mapping!$C$2:$C$549,MATCH($A275,Mapping!$A$2:$A$549,0)),"")</f>
        <v/>
      </c>
      <c r="L275" s="37">
        <f>IF($K275="",0,COUNTIFS('JLR Materials'!$A$2:$A$20001,$K275,'JLR Materials'!$C$2:$C$20001,IF(Settings!$B$2="","&lt;&gt;",Settings!$B$2),'JLR Materials'!$D$2:$D$20001,IF(Settings!$B$4="","&lt;&gt;",Settings!$B$4)))</f>
        <v>0</v>
      </c>
      <c r="M275" s="38">
        <f>IF($L275&lt;&gt;1,0,SUMIFS('JLR Materials'!$E$2:$E$20001,'JLR Materials'!$A$2:$A$20001,$K275,'JLR Materials'!$C$2:$C$20001,IF(Settings!$B$2="","&lt;&gt;",Settings!$B$2),'JLR Materials'!$D$2:$D$20001,IF(Settings!$B$4="","&lt;&gt;",Settings!$B$4)))</f>
        <v>0</v>
      </c>
      <c r="N275" s="39">
        <f>IF($L275&lt;&gt;1,0,SUMIFS('JLR Materials'!$F$2:$F$20001,'JLR Materials'!$A$2:$A$20001,$K275,'JLR Materials'!$C$2:$C$20001,IF(Settings!$B$2="","&lt;&gt;",Settings!$B$2),'JLR Materials'!$D$2:$D$20001,IF(Settings!$B$4="","&lt;&gt;",Settings!$B$4)))</f>
        <v>0</v>
      </c>
      <c r="O275" s="38">
        <f>IF($N275=0,0,IF(Settings!$B$5="percent",$M275*$N275/100,$N275))</f>
        <v>0</v>
      </c>
      <c r="P275" s="39">
        <f>IF($L275&lt;&gt;1,0,SUMIFS('JLR Materials'!$G$2:$G$20001,'JLR Materials'!$A$2:$A$20001,$K275,'JLR Materials'!$C$2:$C$20001,IF(Settings!$B$2="","&lt;&gt;",Settings!$B$2),'JLR Materials'!$D$2:$D$20001,IF(Settings!$B$4="","&lt;&gt;",Settings!$B$4)))</f>
        <v>0</v>
      </c>
      <c r="Q275" s="40" t="s">
        <v>1980</v>
      </c>
      <c r="R275" s="40" t="s">
        <v>1382</v>
      </c>
    </row>
    <row r="276" spans="1:18" x14ac:dyDescent="0.25">
      <c r="A276" s="32" t="s">
        <v>815</v>
      </c>
      <c r="B276" s="33" t="s">
        <v>1981</v>
      </c>
      <c r="C276" s="33" t="s">
        <v>1961</v>
      </c>
      <c r="D276" s="34">
        <f>IF($M276&gt;0,$M276,2.9)</f>
        <v>2.9</v>
      </c>
      <c r="E276" s="34">
        <f>IF($O276&gt;0,$O276,0.35)</f>
        <v>0.35</v>
      </c>
      <c r="F276" s="35">
        <v>1190</v>
      </c>
      <c r="G276" s="33" t="s">
        <v>1379</v>
      </c>
      <c r="H276" s="36" t="str">
        <f>IF($M276&gt;0,IF($L276&lt;&gt;1,$R276,IFERROR(INDEX('JLR Materials'!$D$2:$D$20001,MATCH($K276,'JLR Materials'!$A$2:$A$20001,0)),$R276)),$R276)</f>
        <v>2026-09</v>
      </c>
      <c r="I276" s="36" t="str">
        <f>IF($M276&gt;0,"JLR rate card — material code "&amp;$K276,$Q276)</f>
        <v>UK sheet distributor 2026-07. Acrylic sheet — baths/spas, skylights, lightboxes, displays; excellent clarity, low sag (high melt strength). | Refresh 2026-09: NOT SOURCED — pmma: Not sourced this period: engineering resin prices are paywalled (PIE/ICIS). Direction only: PC rising through Aug 2026, PA6 rebounding, PA66 under pressure, PET declining — no like-for-like June→Sep figures. Held at the June 2026 price.</v>
      </c>
      <c r="J276" s="33" t="s">
        <v>1393</v>
      </c>
      <c r="K276" s="37" t="str">
        <f>IFERROR(INDEX(Mapping!$C$2:$C$549,MATCH($A276,Mapping!$A$2:$A$549,0)),"")</f>
        <v/>
      </c>
      <c r="L276" s="37">
        <f>IF($K276="",0,COUNTIFS('JLR Materials'!$A$2:$A$20001,$K276,'JLR Materials'!$C$2:$C$20001,IF(Settings!$B$2="","&lt;&gt;",Settings!$B$2),'JLR Materials'!$D$2:$D$20001,IF(Settings!$B$4="","&lt;&gt;",Settings!$B$4)))</f>
        <v>0</v>
      </c>
      <c r="M276" s="38">
        <f>IF($L276&lt;&gt;1,0,SUMIFS('JLR Materials'!$E$2:$E$20001,'JLR Materials'!$A$2:$A$20001,$K276,'JLR Materials'!$C$2:$C$20001,IF(Settings!$B$2="","&lt;&gt;",Settings!$B$2),'JLR Materials'!$D$2:$D$20001,IF(Settings!$B$4="","&lt;&gt;",Settings!$B$4)))</f>
        <v>0</v>
      </c>
      <c r="N276" s="39">
        <f>IF($L276&lt;&gt;1,0,SUMIFS('JLR Materials'!$F$2:$F$20001,'JLR Materials'!$A$2:$A$20001,$K276,'JLR Materials'!$C$2:$C$20001,IF(Settings!$B$2="","&lt;&gt;",Settings!$B$2),'JLR Materials'!$D$2:$D$20001,IF(Settings!$B$4="","&lt;&gt;",Settings!$B$4)))</f>
        <v>0</v>
      </c>
      <c r="O276" s="38">
        <f>IF($N276=0,0,IF(Settings!$B$5="percent",$M276*$N276/100,$N276))</f>
        <v>0</v>
      </c>
      <c r="P276" s="39">
        <f>IF($L276&lt;&gt;1,0,SUMIFS('JLR Materials'!$G$2:$G$20001,'JLR Materials'!$A$2:$A$20001,$K276,'JLR Materials'!$C$2:$C$20001,IF(Settings!$B$2="","&lt;&gt;",Settings!$B$2),'JLR Materials'!$D$2:$D$20001,IF(Settings!$B$4="","&lt;&gt;",Settings!$B$4)))</f>
        <v>0</v>
      </c>
      <c r="Q276" s="40" t="s">
        <v>1982</v>
      </c>
      <c r="R276" s="40" t="s">
        <v>1382</v>
      </c>
    </row>
    <row r="277" spans="1:18" x14ac:dyDescent="0.25">
      <c r="A277" s="32" t="s">
        <v>817</v>
      </c>
      <c r="B277" s="33" t="s">
        <v>1983</v>
      </c>
      <c r="C277" s="33" t="s">
        <v>1961</v>
      </c>
      <c r="D277" s="34">
        <f>IF($M277&gt;0,$M277,3.4)</f>
        <v>3.4</v>
      </c>
      <c r="E277" s="34">
        <f>IF($O277&gt;0,$O277,0.35)</f>
        <v>0.35</v>
      </c>
      <c r="F277" s="35">
        <v>1200</v>
      </c>
      <c r="G277" s="33" t="s">
        <v>1379</v>
      </c>
      <c r="H277" s="36" t="str">
        <f>IF($M277&gt;0,IF($L277&lt;&gt;1,$R277,IFERROR(INDEX('JLR Materials'!$D$2:$D$20001,MATCH($K277,'JLR Materials'!$A$2:$A$20001,0)),$R277)),$R277)</f>
        <v>2026-09</v>
      </c>
      <c r="I277" s="36" t="str">
        <f>IF($M277&gt;0,"JLR rate card — material code "&amp;$K277,$Q277)</f>
        <v>UK sheet distributor 2026-07. Polycarbonate sheet — machine guards, glazing, riot shields, aircraft interiors; high forming temp → high oven energy, must pre-dry. | Refresh 2026-09: NOT SOURCED — pc: Not sourced this period: engineering resin prices are paywalled (PIE/ICIS). Direction only: PC rising through Aug 2026, PA6 rebounding, PA66 under pressure, PET declining — no like-for-like June→Sep figures. Held at the June 2026 price.</v>
      </c>
      <c r="J277" s="33" t="s">
        <v>1393</v>
      </c>
      <c r="K277" s="37" t="str">
        <f>IFERROR(INDEX(Mapping!$C$2:$C$549,MATCH($A277,Mapping!$A$2:$A$549,0)),"")</f>
        <v/>
      </c>
      <c r="L277" s="37">
        <f>IF($K277="",0,COUNTIFS('JLR Materials'!$A$2:$A$20001,$K277,'JLR Materials'!$C$2:$C$20001,IF(Settings!$B$2="","&lt;&gt;",Settings!$B$2),'JLR Materials'!$D$2:$D$20001,IF(Settings!$B$4="","&lt;&gt;",Settings!$B$4)))</f>
        <v>0</v>
      </c>
      <c r="M277" s="38">
        <f>IF($L277&lt;&gt;1,0,SUMIFS('JLR Materials'!$E$2:$E$20001,'JLR Materials'!$A$2:$A$20001,$K277,'JLR Materials'!$C$2:$C$20001,IF(Settings!$B$2="","&lt;&gt;",Settings!$B$2),'JLR Materials'!$D$2:$D$20001,IF(Settings!$B$4="","&lt;&gt;",Settings!$B$4)))</f>
        <v>0</v>
      </c>
      <c r="N277" s="39">
        <f>IF($L277&lt;&gt;1,0,SUMIFS('JLR Materials'!$F$2:$F$20001,'JLR Materials'!$A$2:$A$20001,$K277,'JLR Materials'!$C$2:$C$20001,IF(Settings!$B$2="","&lt;&gt;",Settings!$B$2),'JLR Materials'!$D$2:$D$20001,IF(Settings!$B$4="","&lt;&gt;",Settings!$B$4)))</f>
        <v>0</v>
      </c>
      <c r="O277" s="38">
        <f>IF($N277=0,0,IF(Settings!$B$5="percent",$M277*$N277/100,$N277))</f>
        <v>0</v>
      </c>
      <c r="P277" s="39">
        <f>IF($L277&lt;&gt;1,0,SUMIFS('JLR Materials'!$G$2:$G$20001,'JLR Materials'!$A$2:$A$20001,$K277,'JLR Materials'!$C$2:$C$20001,IF(Settings!$B$2="","&lt;&gt;",Settings!$B$2),'JLR Materials'!$D$2:$D$20001,IF(Settings!$B$4="","&lt;&gt;",Settings!$B$4)))</f>
        <v>0</v>
      </c>
      <c r="Q277" s="40" t="s">
        <v>1984</v>
      </c>
      <c r="R277" s="40" t="s">
        <v>1382</v>
      </c>
    </row>
    <row r="278" spans="1:18" x14ac:dyDescent="0.25">
      <c r="A278" s="32" t="s">
        <v>819</v>
      </c>
      <c r="B278" s="33" t="s">
        <v>1985</v>
      </c>
      <c r="C278" s="33" t="s">
        <v>1961</v>
      </c>
      <c r="D278" s="34">
        <f>IF($M278&gt;0,$M278,28)</f>
        <v>28</v>
      </c>
      <c r="E278" s="34">
        <f>IF($O278&gt;0,$O278,1)</f>
        <v>1</v>
      </c>
      <c r="F278" s="35">
        <v>1270</v>
      </c>
      <c r="G278" s="33" t="s">
        <v>1379</v>
      </c>
      <c r="H278" s="36" t="str">
        <f>IF($M278&gt;0,IF($L278&lt;&gt;1,$R278,IFERROR(INDEX('JLR Materials'!$D$2:$D$20001,MATCH($K278,'JLR Materials'!$A$2:$A$20001,0)),$R278)),$R278)</f>
        <v>2026-09</v>
      </c>
      <c r="I278" s="36" t="str">
        <f>IF($M278&gt;0,"JLR rate card — material code "&amp;$K278,$Q278)</f>
        <v>UK speciality 2026-07. Polyetherimide sheet — aircraft interior panels/ducting (FST/OSU compliant); very high forming temp ~250°C. | Refresh 2026-09: SPECIALTY — no public market index for this grade; held at the June 2026 price — refresh by supplier quote</v>
      </c>
      <c r="J278" s="33" t="s">
        <v>1393</v>
      </c>
      <c r="K278" s="37" t="str">
        <f>IFERROR(INDEX(Mapping!$C$2:$C$549,MATCH($A278,Mapping!$A$2:$A$549,0)),"")</f>
        <v/>
      </c>
      <c r="L278" s="37">
        <f>IF($K278="",0,COUNTIFS('JLR Materials'!$A$2:$A$20001,$K278,'JLR Materials'!$C$2:$C$20001,IF(Settings!$B$2="","&lt;&gt;",Settings!$B$2),'JLR Materials'!$D$2:$D$20001,IF(Settings!$B$4="","&lt;&gt;",Settings!$B$4)))</f>
        <v>0</v>
      </c>
      <c r="M278" s="38">
        <f>IF($L278&lt;&gt;1,0,SUMIFS('JLR Materials'!$E$2:$E$20001,'JLR Materials'!$A$2:$A$20001,$K278,'JLR Materials'!$C$2:$C$20001,IF(Settings!$B$2="","&lt;&gt;",Settings!$B$2),'JLR Materials'!$D$2:$D$20001,IF(Settings!$B$4="","&lt;&gt;",Settings!$B$4)))</f>
        <v>0</v>
      </c>
      <c r="N278" s="39">
        <f>IF($L278&lt;&gt;1,0,SUMIFS('JLR Materials'!$F$2:$F$20001,'JLR Materials'!$A$2:$A$20001,$K278,'JLR Materials'!$C$2:$C$20001,IF(Settings!$B$2="","&lt;&gt;",Settings!$B$2),'JLR Materials'!$D$2:$D$20001,IF(Settings!$B$4="","&lt;&gt;",Settings!$B$4)))</f>
        <v>0</v>
      </c>
      <c r="O278" s="38">
        <f>IF($N278=0,0,IF(Settings!$B$5="percent",$M278*$N278/100,$N278))</f>
        <v>0</v>
      </c>
      <c r="P278" s="39">
        <f>IF($L278&lt;&gt;1,0,SUMIFS('JLR Materials'!$G$2:$G$20001,'JLR Materials'!$A$2:$A$20001,$K278,'JLR Materials'!$C$2:$C$20001,IF(Settings!$B$2="","&lt;&gt;",Settings!$B$2),'JLR Materials'!$D$2:$D$20001,IF(Settings!$B$4="","&lt;&gt;",Settings!$B$4)))</f>
        <v>0</v>
      </c>
      <c r="Q278" s="40" t="s">
        <v>1986</v>
      </c>
      <c r="R278" s="40" t="s">
        <v>1382</v>
      </c>
    </row>
    <row r="279" spans="1:18" x14ac:dyDescent="0.25">
      <c r="A279" s="32" t="s">
        <v>821</v>
      </c>
      <c r="B279" s="33" t="s">
        <v>1987</v>
      </c>
      <c r="C279" s="33" t="s">
        <v>1961</v>
      </c>
      <c r="D279" s="34">
        <f>IF($M279&gt;0,$M279,14)</f>
        <v>14</v>
      </c>
      <c r="E279" s="34">
        <f>IF($O279&gt;0,$O279,0.5)</f>
        <v>0.5</v>
      </c>
      <c r="F279" s="35">
        <v>1350</v>
      </c>
      <c r="G279" s="33" t="s">
        <v>1379</v>
      </c>
      <c r="H279" s="36" t="str">
        <f>IF($M279&gt;0,IF($L279&lt;&gt;1,$R279,IFERROR(INDEX('JLR Materials'!$D$2:$D$20001,MATCH($K279,'JLR Materials'!$A$2:$A$20001,0)),$R279)),$R279)</f>
        <v>2026-09</v>
      </c>
      <c r="I279" s="36" t="str">
        <f>IF($M279&gt;0,"JLR rate card — material code "&amp;$K279,$Q279)</f>
        <v>UK speciality 2026-07. Polyphenylene sulphide sheet — chemical/high-temp trays, under-bonnet; ~285°C forming, semi-crystalline. | Refresh 2026-09: SPECIALTY — no public market index for this grade; held at the June 2026 price — refresh by supplier quote</v>
      </c>
      <c r="J279" s="33" t="s">
        <v>1393</v>
      </c>
      <c r="K279" s="37" t="str">
        <f>IFERROR(INDEX(Mapping!$C$2:$C$549,MATCH($A279,Mapping!$A$2:$A$549,0)),"")</f>
        <v/>
      </c>
      <c r="L279" s="37">
        <f>IF($K279="",0,COUNTIFS('JLR Materials'!$A$2:$A$20001,$K279,'JLR Materials'!$C$2:$C$20001,IF(Settings!$B$2="","&lt;&gt;",Settings!$B$2),'JLR Materials'!$D$2:$D$20001,IF(Settings!$B$4="","&lt;&gt;",Settings!$B$4)))</f>
        <v>0</v>
      </c>
      <c r="M279" s="38">
        <f>IF($L279&lt;&gt;1,0,SUMIFS('JLR Materials'!$E$2:$E$20001,'JLR Materials'!$A$2:$A$20001,$K279,'JLR Materials'!$C$2:$C$20001,IF(Settings!$B$2="","&lt;&gt;",Settings!$B$2),'JLR Materials'!$D$2:$D$20001,IF(Settings!$B$4="","&lt;&gt;",Settings!$B$4)))</f>
        <v>0</v>
      </c>
      <c r="N279" s="39">
        <f>IF($L279&lt;&gt;1,0,SUMIFS('JLR Materials'!$F$2:$F$20001,'JLR Materials'!$A$2:$A$20001,$K279,'JLR Materials'!$C$2:$C$20001,IF(Settings!$B$2="","&lt;&gt;",Settings!$B$2),'JLR Materials'!$D$2:$D$20001,IF(Settings!$B$4="","&lt;&gt;",Settings!$B$4)))</f>
        <v>0</v>
      </c>
      <c r="O279" s="38">
        <f>IF($N279=0,0,IF(Settings!$B$5="percent",$M279*$N279/100,$N279))</f>
        <v>0</v>
      </c>
      <c r="P279" s="39">
        <f>IF($L279&lt;&gt;1,0,SUMIFS('JLR Materials'!$G$2:$G$20001,'JLR Materials'!$A$2:$A$20001,$K279,'JLR Materials'!$C$2:$C$20001,IF(Settings!$B$2="","&lt;&gt;",Settings!$B$2),'JLR Materials'!$D$2:$D$20001,IF(Settings!$B$4="","&lt;&gt;",Settings!$B$4)))</f>
        <v>0</v>
      </c>
      <c r="Q279" s="40" t="s">
        <v>1988</v>
      </c>
      <c r="R279" s="40" t="s">
        <v>1382</v>
      </c>
    </row>
    <row r="280" spans="1:18" x14ac:dyDescent="0.25">
      <c r="A280" s="32" t="s">
        <v>823</v>
      </c>
      <c r="B280" s="33" t="s">
        <v>1989</v>
      </c>
      <c r="C280" s="33" t="s">
        <v>1961</v>
      </c>
      <c r="D280" s="34">
        <f>IF($M280&gt;0,$M280,2.56)</f>
        <v>2.56</v>
      </c>
      <c r="E280" s="34">
        <f>IF($O280&gt;0,$O280,0.15)</f>
        <v>0.15</v>
      </c>
      <c r="F280" s="35">
        <v>1080</v>
      </c>
      <c r="G280" s="33" t="s">
        <v>1379</v>
      </c>
      <c r="H280" s="36" t="str">
        <f>IF($M280&gt;0,IF($L280&lt;&gt;1,$R280,IFERROR(INDEX('JLR Materials'!$D$2:$D$20001,MATCH($K280,'JLR Materials'!$A$2:$A$20001,0)),$R280)),$R280)</f>
        <v>2026-09</v>
      </c>
      <c r="I280" s="36" t="str">
        <f>IF($M280&gt;0,"JLR rate card — material code "&amp;$K280,$Q280)</f>
        <v>UK sheet extruder 2026-07. ABS substrate + acrylic cap — sanitaryware, caravan/RV panels, spas; UV/scratch cap. Multilayer regrind limited. | Refresh 2026-09: −£0.039/kg from 0.6kg abs £0.775→£0.710/kg, 0.4kg pmma £1.000→£1.000/kg; premiums held</v>
      </c>
      <c r="J280" s="33" t="s">
        <v>1393</v>
      </c>
      <c r="K280" s="37" t="str">
        <f>IFERROR(INDEX(Mapping!$C$2:$C$549,MATCH($A280,Mapping!$A$2:$A$549,0)),"")</f>
        <v/>
      </c>
      <c r="L280" s="37">
        <f>IF($K280="",0,COUNTIFS('JLR Materials'!$A$2:$A$20001,$K280,'JLR Materials'!$C$2:$C$20001,IF(Settings!$B$2="","&lt;&gt;",Settings!$B$2),'JLR Materials'!$D$2:$D$20001,IF(Settings!$B$4="","&lt;&gt;",Settings!$B$4)))</f>
        <v>0</v>
      </c>
      <c r="M280" s="38">
        <f>IF($L280&lt;&gt;1,0,SUMIFS('JLR Materials'!$E$2:$E$20001,'JLR Materials'!$A$2:$A$20001,$K280,'JLR Materials'!$C$2:$C$20001,IF(Settings!$B$2="","&lt;&gt;",Settings!$B$2),'JLR Materials'!$D$2:$D$20001,IF(Settings!$B$4="","&lt;&gt;",Settings!$B$4)))</f>
        <v>0</v>
      </c>
      <c r="N280" s="39">
        <f>IF($L280&lt;&gt;1,0,SUMIFS('JLR Materials'!$F$2:$F$20001,'JLR Materials'!$A$2:$A$20001,$K280,'JLR Materials'!$C$2:$C$20001,IF(Settings!$B$2="","&lt;&gt;",Settings!$B$2),'JLR Materials'!$D$2:$D$20001,IF(Settings!$B$4="","&lt;&gt;",Settings!$B$4)))</f>
        <v>0</v>
      </c>
      <c r="O280" s="38">
        <f>IF($N280=0,0,IF(Settings!$B$5="percent",$M280*$N280/100,$N280))</f>
        <v>0</v>
      </c>
      <c r="P280" s="39">
        <f>IF($L280&lt;&gt;1,0,SUMIFS('JLR Materials'!$G$2:$G$20001,'JLR Materials'!$A$2:$A$20001,$K280,'JLR Materials'!$C$2:$C$20001,IF(Settings!$B$2="","&lt;&gt;",Settings!$B$2),'JLR Materials'!$D$2:$D$20001,IF(Settings!$B$4="","&lt;&gt;",Settings!$B$4)))</f>
        <v>0</v>
      </c>
      <c r="Q280" s="40" t="s">
        <v>1990</v>
      </c>
      <c r="R280" s="40" t="s">
        <v>1382</v>
      </c>
    </row>
    <row r="281" spans="1:18" x14ac:dyDescent="0.25">
      <c r="A281" s="32" t="s">
        <v>825</v>
      </c>
      <c r="B281" s="33" t="s">
        <v>1991</v>
      </c>
      <c r="C281" s="33" t="s">
        <v>1961</v>
      </c>
      <c r="D281" s="34">
        <f>IF($M281&gt;0,$M281,3.07)</f>
        <v>3.07</v>
      </c>
      <c r="E281" s="34">
        <f>IF($O281&gt;0,$O281,0.15)</f>
        <v>0.15</v>
      </c>
      <c r="F281" s="35">
        <v>1130</v>
      </c>
      <c r="G281" s="33" t="s">
        <v>1379</v>
      </c>
      <c r="H281" s="36" t="str">
        <f>IF($M281&gt;0,IF($L281&lt;&gt;1,$R281,IFERROR(INDEX('JLR Materials'!$D$2:$D$20001,MATCH($K281,'JLR Materials'!$A$2:$A$20001,0)),$R281)),$R281)</f>
        <v>2026-09</v>
      </c>
      <c r="I281" s="36" t="str">
        <f>IF($M281&gt;0,"JLR rate card — material code "&amp;$K281,$Q281)</f>
        <v>UK sheet extruder 2026-07. PC/ABS blend/co-ex — automotive exterior, luggage, high-impact housings; higher forming temp than ABS. | Refresh 2026-09: −£0.026/kg from 0.6kg pc £1.000→£1.000/kg, 0.4kg abs £0.775→£0.710/kg; premiums held</v>
      </c>
      <c r="J281" s="33" t="s">
        <v>1393</v>
      </c>
      <c r="K281" s="37" t="str">
        <f>IFERROR(INDEX(Mapping!$C$2:$C$549,MATCH($A281,Mapping!$A$2:$A$549,0)),"")</f>
        <v/>
      </c>
      <c r="L281" s="37">
        <f>IF($K281="",0,COUNTIFS('JLR Materials'!$A$2:$A$20001,$K281,'JLR Materials'!$C$2:$C$20001,IF(Settings!$B$2="","&lt;&gt;",Settings!$B$2),'JLR Materials'!$D$2:$D$20001,IF(Settings!$B$4="","&lt;&gt;",Settings!$B$4)))</f>
        <v>0</v>
      </c>
      <c r="M281" s="38">
        <f>IF($L281&lt;&gt;1,0,SUMIFS('JLR Materials'!$E$2:$E$20001,'JLR Materials'!$A$2:$A$20001,$K281,'JLR Materials'!$C$2:$C$20001,IF(Settings!$B$2="","&lt;&gt;",Settings!$B$2),'JLR Materials'!$D$2:$D$20001,IF(Settings!$B$4="","&lt;&gt;",Settings!$B$4)))</f>
        <v>0</v>
      </c>
      <c r="N281" s="39">
        <f>IF($L281&lt;&gt;1,0,SUMIFS('JLR Materials'!$F$2:$F$20001,'JLR Materials'!$A$2:$A$20001,$K281,'JLR Materials'!$C$2:$C$20001,IF(Settings!$B$2="","&lt;&gt;",Settings!$B$2),'JLR Materials'!$D$2:$D$20001,IF(Settings!$B$4="","&lt;&gt;",Settings!$B$4)))</f>
        <v>0</v>
      </c>
      <c r="O281" s="38">
        <f>IF($N281=0,0,IF(Settings!$B$5="percent",$M281*$N281/100,$N281))</f>
        <v>0</v>
      </c>
      <c r="P281" s="39">
        <f>IF($L281&lt;&gt;1,0,SUMIFS('JLR Materials'!$G$2:$G$20001,'JLR Materials'!$A$2:$A$20001,$K281,'JLR Materials'!$C$2:$C$20001,IF(Settings!$B$2="","&lt;&gt;",Settings!$B$2),'JLR Materials'!$D$2:$D$20001,IF(Settings!$B$4="","&lt;&gt;",Settings!$B$4)))</f>
        <v>0</v>
      </c>
      <c r="Q281" s="40" t="s">
        <v>1992</v>
      </c>
      <c r="R281" s="40" t="s">
        <v>1382</v>
      </c>
    </row>
    <row r="282" spans="1:18" x14ac:dyDescent="0.25">
      <c r="A282" s="32" t="s">
        <v>827</v>
      </c>
      <c r="B282" s="33" t="s">
        <v>1993</v>
      </c>
      <c r="C282" s="33" t="s">
        <v>1961</v>
      </c>
      <c r="D282" s="34">
        <f>IF($M282&gt;0,$M282,1.92)</f>
        <v>1.92</v>
      </c>
      <c r="E282" s="34">
        <f>IF($O282&gt;0,$O282,0.2)</f>
        <v>0.2</v>
      </c>
      <c r="F282" s="35">
        <v>900</v>
      </c>
      <c r="G282" s="33" t="s">
        <v>1379</v>
      </c>
      <c r="H282" s="36" t="str">
        <f>IF($M282&gt;0,IF($L282&lt;&gt;1,$R282,IFERROR(INDEX('JLR Materials'!$D$2:$D$20001,MATCH($K282,'JLR Materials'!$A$2:$A$20001,0)),$R282)),$R282)</f>
        <v>2026-09</v>
      </c>
      <c r="I282" s="36" t="str">
        <f>IF($M282&gt;0,"JLR rate card — material code "&amp;$K282,$Q282)</f>
        <v>UK sheet extruder 2026-07. TPO-skinned PP — automotive interior skins, load floors, underbody shields; soft-touch grain, recyclable. | Refresh 2026-09: +£0.019/kg from 0.7kg pp £0.960→£0.987/kg, 0.25kg epdm £1.000→£1.000/kg; premiums held</v>
      </c>
      <c r="J282" s="33" t="s">
        <v>1393</v>
      </c>
      <c r="K282" s="37" t="str">
        <f>IFERROR(INDEX(Mapping!$C$2:$C$549,MATCH($A282,Mapping!$A$2:$A$549,0)),"")</f>
        <v/>
      </c>
      <c r="L282" s="37">
        <f>IF($K282="",0,COUNTIFS('JLR Materials'!$A$2:$A$20001,$K282,'JLR Materials'!$C$2:$C$20001,IF(Settings!$B$2="","&lt;&gt;",Settings!$B$2),'JLR Materials'!$D$2:$D$20001,IF(Settings!$B$4="","&lt;&gt;",Settings!$B$4)))</f>
        <v>0</v>
      </c>
      <c r="M282" s="38">
        <f>IF($L282&lt;&gt;1,0,SUMIFS('JLR Materials'!$E$2:$E$20001,'JLR Materials'!$A$2:$A$20001,$K282,'JLR Materials'!$C$2:$C$20001,IF(Settings!$B$2="","&lt;&gt;",Settings!$B$2),'JLR Materials'!$D$2:$D$20001,IF(Settings!$B$4="","&lt;&gt;",Settings!$B$4)))</f>
        <v>0</v>
      </c>
      <c r="N282" s="39">
        <f>IF($L282&lt;&gt;1,0,SUMIFS('JLR Materials'!$F$2:$F$20001,'JLR Materials'!$A$2:$A$20001,$K282,'JLR Materials'!$C$2:$C$20001,IF(Settings!$B$2="","&lt;&gt;",Settings!$B$2),'JLR Materials'!$D$2:$D$20001,IF(Settings!$B$4="","&lt;&gt;",Settings!$B$4)))</f>
        <v>0</v>
      </c>
      <c r="O282" s="38">
        <f>IF($N282=0,0,IF(Settings!$B$5="percent",$M282*$N282/100,$N282))</f>
        <v>0</v>
      </c>
      <c r="P282" s="39">
        <f>IF($L282&lt;&gt;1,0,SUMIFS('JLR Materials'!$G$2:$G$20001,'JLR Materials'!$A$2:$A$20001,$K282,'JLR Materials'!$C$2:$C$20001,IF(Settings!$B$2="","&lt;&gt;",Settings!$B$2),'JLR Materials'!$D$2:$D$20001,IF(Settings!$B$4="","&lt;&gt;",Settings!$B$4)))</f>
        <v>0</v>
      </c>
      <c r="Q282" s="40" t="s">
        <v>1994</v>
      </c>
      <c r="R282" s="40" t="s">
        <v>1382</v>
      </c>
    </row>
    <row r="283" spans="1:18" x14ac:dyDescent="0.25">
      <c r="A283" s="32" t="s">
        <v>829</v>
      </c>
      <c r="B283" s="33" t="s">
        <v>1995</v>
      </c>
      <c r="C283" s="33" t="s">
        <v>1961</v>
      </c>
      <c r="D283" s="34">
        <f>IF($M283&gt;0,$M283,2.4)</f>
        <v>2.4</v>
      </c>
      <c r="E283" s="34">
        <f>IF($O283&gt;0,$O283,0.1)</f>
        <v>0.1</v>
      </c>
      <c r="F283" s="35">
        <v>1300</v>
      </c>
      <c r="G283" s="33" t="s">
        <v>1379</v>
      </c>
      <c r="H283" s="36" t="str">
        <f>IF($M283&gt;0,IF($L283&lt;&gt;1,$R283,IFERROR(INDEX('JLR Materials'!$D$2:$D$20001,MATCH($K283,'JLR Materials'!$A$2:$A$20001,0)),$R283)),$R283)</f>
        <v>2026-09</v>
      </c>
      <c r="I283" s="36" t="str">
        <f>IF($M283&gt;0,"JLR rate card — material code "&amp;$K283,$Q283)</f>
        <v>UK sheet extruder 2026-07. Multilayer PET/EVOH/tie barrier — MAP food trays, extended shelf-life; EVOH barrier core. Regrind cross-contamination limits recovery. | Refresh 2026-09: SPECIALTY — no public market index for this grade; held at the June 2026 price — refresh by supplier quote</v>
      </c>
      <c r="J283" s="33" t="s">
        <v>1393</v>
      </c>
      <c r="K283" s="37" t="str">
        <f>IFERROR(INDEX(Mapping!$C$2:$C$549,MATCH($A283,Mapping!$A$2:$A$549,0)),"")</f>
        <v/>
      </c>
      <c r="L283" s="37">
        <f>IF($K283="",0,COUNTIFS('JLR Materials'!$A$2:$A$20001,$K283,'JLR Materials'!$C$2:$C$20001,IF(Settings!$B$2="","&lt;&gt;",Settings!$B$2),'JLR Materials'!$D$2:$D$20001,IF(Settings!$B$4="","&lt;&gt;",Settings!$B$4)))</f>
        <v>0</v>
      </c>
      <c r="M283" s="38">
        <f>IF($L283&lt;&gt;1,0,SUMIFS('JLR Materials'!$E$2:$E$20001,'JLR Materials'!$A$2:$A$20001,$K283,'JLR Materials'!$C$2:$C$20001,IF(Settings!$B$2="","&lt;&gt;",Settings!$B$2),'JLR Materials'!$D$2:$D$20001,IF(Settings!$B$4="","&lt;&gt;",Settings!$B$4)))</f>
        <v>0</v>
      </c>
      <c r="N283" s="39">
        <f>IF($L283&lt;&gt;1,0,SUMIFS('JLR Materials'!$F$2:$F$20001,'JLR Materials'!$A$2:$A$20001,$K283,'JLR Materials'!$C$2:$C$20001,IF(Settings!$B$2="","&lt;&gt;",Settings!$B$2),'JLR Materials'!$D$2:$D$20001,IF(Settings!$B$4="","&lt;&gt;",Settings!$B$4)))</f>
        <v>0</v>
      </c>
      <c r="O283" s="38">
        <f>IF($N283=0,0,IF(Settings!$B$5="percent",$M283*$N283/100,$N283))</f>
        <v>0</v>
      </c>
      <c r="P283" s="39">
        <f>IF($L283&lt;&gt;1,0,SUMIFS('JLR Materials'!$G$2:$G$20001,'JLR Materials'!$A$2:$A$20001,$K283,'JLR Materials'!$C$2:$C$20001,IF(Settings!$B$2="","&lt;&gt;",Settings!$B$2),'JLR Materials'!$D$2:$D$20001,IF(Settings!$B$4="","&lt;&gt;",Settings!$B$4)))</f>
        <v>0</v>
      </c>
      <c r="Q283" s="40" t="s">
        <v>1996</v>
      </c>
      <c r="R283" s="40" t="s">
        <v>1382</v>
      </c>
    </row>
    <row r="284" spans="1:18" x14ac:dyDescent="0.25">
      <c r="A284" s="32" t="s">
        <v>831</v>
      </c>
      <c r="B284" s="33" t="s">
        <v>1997</v>
      </c>
      <c r="C284" s="33" t="s">
        <v>1998</v>
      </c>
      <c r="D284" s="34">
        <f>IF($M284&gt;0,$M284,1.47)</f>
        <v>1.47</v>
      </c>
      <c r="E284" s="34">
        <f>IF($O284&gt;0,$O284,0.11)</f>
        <v>0.11</v>
      </c>
      <c r="F284" s="35">
        <v>940</v>
      </c>
      <c r="G284" s="33" t="s">
        <v>1379</v>
      </c>
      <c r="H284" s="36" t="str">
        <f>IF($M284&gt;0,IF($L284&lt;&gt;1,$R284,IFERROR(INDEX('JLR Materials'!$D$2:$D$20001,MATCH($K284,'JLR Materials'!$A$2:$A$20001,0)),$R284)),$R284)</f>
        <v>2026-09</v>
      </c>
      <c r="I284" s="36" t="str">
        <f>IF($M284&gt;0,"JLR rate card — material code "&amp;$K284,$Q284)</f>
        <v>Index-anchored 2026-07. Primary roto resin — tanks, containers, playground; ground to ~35 mesh (add grinding premium).  | Refresh 2026-09: +£0.117/kg from 1kg lldpe £0.930→£1.047/kg; premiums held</v>
      </c>
      <c r="J284" s="33" t="s">
        <v>1380</v>
      </c>
      <c r="K284" s="37" t="str">
        <f>IFERROR(INDEX(Mapping!$C$2:$C$549,MATCH($A284,Mapping!$A$2:$A$549,0)),"")</f>
        <v/>
      </c>
      <c r="L284" s="37">
        <f>IF($K284="",0,COUNTIFS('JLR Materials'!$A$2:$A$20001,$K284,'JLR Materials'!$C$2:$C$20001,IF(Settings!$B$2="","&lt;&gt;",Settings!$B$2),'JLR Materials'!$D$2:$D$20001,IF(Settings!$B$4="","&lt;&gt;",Settings!$B$4)))</f>
        <v>0</v>
      </c>
      <c r="M284" s="38">
        <f>IF($L284&lt;&gt;1,0,SUMIFS('JLR Materials'!$E$2:$E$20001,'JLR Materials'!$A$2:$A$20001,$K284,'JLR Materials'!$C$2:$C$20001,IF(Settings!$B$2="","&lt;&gt;",Settings!$B$2),'JLR Materials'!$D$2:$D$20001,IF(Settings!$B$4="","&lt;&gt;",Settings!$B$4)))</f>
        <v>0</v>
      </c>
      <c r="N284" s="39">
        <f>IF($L284&lt;&gt;1,0,SUMIFS('JLR Materials'!$F$2:$F$20001,'JLR Materials'!$A$2:$A$20001,$K284,'JLR Materials'!$C$2:$C$20001,IF(Settings!$B$2="","&lt;&gt;",Settings!$B$2),'JLR Materials'!$D$2:$D$20001,IF(Settings!$B$4="","&lt;&gt;",Settings!$B$4)))</f>
        <v>0</v>
      </c>
      <c r="O284" s="38">
        <f>IF($N284=0,0,IF(Settings!$B$5="percent",$M284*$N284/100,$N284))</f>
        <v>0</v>
      </c>
      <c r="P284" s="39">
        <f>IF($L284&lt;&gt;1,0,SUMIFS('JLR Materials'!$G$2:$G$20001,'JLR Materials'!$A$2:$A$20001,$K284,'JLR Materials'!$C$2:$C$20001,IF(Settings!$B$2="","&lt;&gt;",Settings!$B$2),'JLR Materials'!$D$2:$D$20001,IF(Settings!$B$4="","&lt;&gt;",Settings!$B$4)))</f>
        <v>0</v>
      </c>
      <c r="Q284" s="40" t="s">
        <v>1999</v>
      </c>
      <c r="R284" s="40" t="s">
        <v>1382</v>
      </c>
    </row>
    <row r="285" spans="1:18" x14ac:dyDescent="0.25">
      <c r="A285" s="32" t="s">
        <v>833</v>
      </c>
      <c r="B285" s="33" t="s">
        <v>2000</v>
      </c>
      <c r="C285" s="33" t="s">
        <v>1998</v>
      </c>
      <c r="D285" s="34">
        <f>IF($M285&gt;0,$M285,1.29)</f>
        <v>1.29</v>
      </c>
      <c r="E285" s="34">
        <f>IF($O285&gt;0,$O285,0.1)</f>
        <v>0.1</v>
      </c>
      <c r="F285" s="35">
        <v>950</v>
      </c>
      <c r="G285" s="33" t="s">
        <v>1379</v>
      </c>
      <c r="H285" s="36" t="str">
        <f>IF($M285&gt;0,IF($L285&lt;&gt;1,$R285,IFERROR(INDEX('JLR Materials'!$D$2:$D$20001,MATCH($K285,'JLR Materials'!$A$2:$A$20001,0)),$R285)),$R285)</f>
        <v>2026-09</v>
      </c>
      <c r="I285" s="36" t="str">
        <f>IF($M285&gt;0,"JLR rate card — material code "&amp;$K285,$Q285)</f>
        <v>Index-anchored 2026-07. Stiffer roto grade — large tanks, agricultural, marine. Higher modulus than LLDPE. | Refresh 2026-09: −£0.013/kg from 1kg hdpe £1.060→£1.047/kg; premiums held</v>
      </c>
      <c r="J285" s="33" t="s">
        <v>1380</v>
      </c>
      <c r="K285" s="37" t="str">
        <f>IFERROR(INDEX(Mapping!$C$2:$C$549,MATCH($A285,Mapping!$A$2:$A$549,0)),"")</f>
        <v/>
      </c>
      <c r="L285" s="37">
        <f>IF($K285="",0,COUNTIFS('JLR Materials'!$A$2:$A$20001,$K285,'JLR Materials'!$C$2:$C$20001,IF(Settings!$B$2="","&lt;&gt;",Settings!$B$2),'JLR Materials'!$D$2:$D$20001,IF(Settings!$B$4="","&lt;&gt;",Settings!$B$4)))</f>
        <v>0</v>
      </c>
      <c r="M285" s="38">
        <f>IF($L285&lt;&gt;1,0,SUMIFS('JLR Materials'!$E$2:$E$20001,'JLR Materials'!$A$2:$A$20001,$K285,'JLR Materials'!$C$2:$C$20001,IF(Settings!$B$2="","&lt;&gt;",Settings!$B$2),'JLR Materials'!$D$2:$D$20001,IF(Settings!$B$4="","&lt;&gt;",Settings!$B$4)))</f>
        <v>0</v>
      </c>
      <c r="N285" s="39">
        <f>IF($L285&lt;&gt;1,0,SUMIFS('JLR Materials'!$F$2:$F$20001,'JLR Materials'!$A$2:$A$20001,$K285,'JLR Materials'!$C$2:$C$20001,IF(Settings!$B$2="","&lt;&gt;",Settings!$B$2),'JLR Materials'!$D$2:$D$20001,IF(Settings!$B$4="","&lt;&gt;",Settings!$B$4)))</f>
        <v>0</v>
      </c>
      <c r="O285" s="38">
        <f>IF($N285=0,0,IF(Settings!$B$5="percent",$M285*$N285/100,$N285))</f>
        <v>0</v>
      </c>
      <c r="P285" s="39">
        <f>IF($L285&lt;&gt;1,0,SUMIFS('JLR Materials'!$G$2:$G$20001,'JLR Materials'!$A$2:$A$20001,$K285,'JLR Materials'!$C$2:$C$20001,IF(Settings!$B$2="","&lt;&gt;",Settings!$B$2),'JLR Materials'!$D$2:$D$20001,IF(Settings!$B$4="","&lt;&gt;",Settings!$B$4)))</f>
        <v>0</v>
      </c>
      <c r="Q285" s="40" t="s">
        <v>2001</v>
      </c>
      <c r="R285" s="40" t="s">
        <v>1382</v>
      </c>
    </row>
    <row r="286" spans="1:18" x14ac:dyDescent="0.25">
      <c r="A286" s="32" t="s">
        <v>835</v>
      </c>
      <c r="B286" s="33" t="s">
        <v>2002</v>
      </c>
      <c r="C286" s="33" t="s">
        <v>1998</v>
      </c>
      <c r="D286" s="34">
        <f>IF($M286&gt;0,$M286,1.48)</f>
        <v>1.48</v>
      </c>
      <c r="E286" s="34">
        <f>IF($O286&gt;0,$O286,0.1)</f>
        <v>0.1</v>
      </c>
      <c r="F286" s="35">
        <v>905</v>
      </c>
      <c r="G286" s="33" t="s">
        <v>1379</v>
      </c>
      <c r="H286" s="36" t="str">
        <f>IF($M286&gt;0,IF($L286&lt;&gt;1,$R286,IFERROR(INDEX('JLR Materials'!$D$2:$D$20001,MATCH($K286,'JLR Materials'!$A$2:$A$20001,0)),$R286)),$R286)</f>
        <v>2026-09</v>
      </c>
      <c r="I286" s="36" t="str">
        <f>IF($M286&gt;0,"JLR rate card — material code "&amp;$K286,$Q286)</f>
        <v>Index-anchored 2026-07. Higher-temp roto grade — chemical/hot-fill tanks, ducting. Narrower processing window. | Refresh 2026-09: +£0.027/kg from 1kg pp £0.960→£0.987/kg; premiums held</v>
      </c>
      <c r="J286" s="33" t="s">
        <v>1393</v>
      </c>
      <c r="K286" s="37" t="str">
        <f>IFERROR(INDEX(Mapping!$C$2:$C$549,MATCH($A286,Mapping!$A$2:$A$549,0)),"")</f>
        <v/>
      </c>
      <c r="L286" s="37">
        <f>IF($K286="",0,COUNTIFS('JLR Materials'!$A$2:$A$20001,$K286,'JLR Materials'!$C$2:$C$20001,IF(Settings!$B$2="","&lt;&gt;",Settings!$B$2),'JLR Materials'!$D$2:$D$20001,IF(Settings!$B$4="","&lt;&gt;",Settings!$B$4)))</f>
        <v>0</v>
      </c>
      <c r="M286" s="38">
        <f>IF($L286&lt;&gt;1,0,SUMIFS('JLR Materials'!$E$2:$E$20001,'JLR Materials'!$A$2:$A$20001,$K286,'JLR Materials'!$C$2:$C$20001,IF(Settings!$B$2="","&lt;&gt;",Settings!$B$2),'JLR Materials'!$D$2:$D$20001,IF(Settings!$B$4="","&lt;&gt;",Settings!$B$4)))</f>
        <v>0</v>
      </c>
      <c r="N286" s="39">
        <f>IF($L286&lt;&gt;1,0,SUMIFS('JLR Materials'!$F$2:$F$20001,'JLR Materials'!$A$2:$A$20001,$K286,'JLR Materials'!$C$2:$C$20001,IF(Settings!$B$2="","&lt;&gt;",Settings!$B$2),'JLR Materials'!$D$2:$D$20001,IF(Settings!$B$4="","&lt;&gt;",Settings!$B$4)))</f>
        <v>0</v>
      </c>
      <c r="O286" s="38">
        <f>IF($N286=0,0,IF(Settings!$B$5="percent",$M286*$N286/100,$N286))</f>
        <v>0</v>
      </c>
      <c r="P286" s="39">
        <f>IF($L286&lt;&gt;1,0,SUMIFS('JLR Materials'!$G$2:$G$20001,'JLR Materials'!$A$2:$A$20001,$K286,'JLR Materials'!$C$2:$C$20001,IF(Settings!$B$2="","&lt;&gt;",Settings!$B$2),'JLR Materials'!$D$2:$D$20001,IF(Settings!$B$4="","&lt;&gt;",Settings!$B$4)))</f>
        <v>0</v>
      </c>
      <c r="Q286" s="40" t="s">
        <v>2003</v>
      </c>
      <c r="R286" s="40" t="s">
        <v>1382</v>
      </c>
    </row>
    <row r="287" spans="1:18" x14ac:dyDescent="0.25">
      <c r="A287" s="32" t="s">
        <v>837</v>
      </c>
      <c r="B287" s="33" t="s">
        <v>2004</v>
      </c>
      <c r="C287" s="33" t="s">
        <v>1998</v>
      </c>
      <c r="D287" s="34">
        <f>IF($M287&gt;0,$M287,1.74)</f>
        <v>1.74</v>
      </c>
      <c r="E287" s="34">
        <f>IF($O287&gt;0,$O287,0.05)</f>
        <v>0.05</v>
      </c>
      <c r="F287" s="35">
        <v>940</v>
      </c>
      <c r="G287" s="33" t="s">
        <v>1379</v>
      </c>
      <c r="H287" s="36" t="str">
        <f>IF($M287&gt;0,IF($L287&lt;&gt;1,$R287,IFERROR(INDEX('JLR Materials'!$D$2:$D$20001,MATCH($K287,'JLR Materials'!$A$2:$A$20001,0)),$R287)),$R287)</f>
        <v>2026-09</v>
      </c>
      <c r="I287" s="36" t="str">
        <f>IF($M287&gt;0,"JLR rate card — material code "&amp;$K287,$Q287)</f>
        <v>Index-anchored 2026-07. Cross-linked PE — fuel/chemical tanks, ESCR-critical; not regrindable, needs longer bake. | Refresh 2026-09: −£0.013/kg from 1kg hdpe £1.060→£1.047/kg; premiums held</v>
      </c>
      <c r="J287" s="33" t="s">
        <v>1393</v>
      </c>
      <c r="K287" s="37" t="str">
        <f>IFERROR(INDEX(Mapping!$C$2:$C$549,MATCH($A287,Mapping!$A$2:$A$549,0)),"")</f>
        <v/>
      </c>
      <c r="L287" s="37">
        <f>IF($K287="",0,COUNTIFS('JLR Materials'!$A$2:$A$20001,$K287,'JLR Materials'!$C$2:$C$20001,IF(Settings!$B$2="","&lt;&gt;",Settings!$B$2),'JLR Materials'!$D$2:$D$20001,IF(Settings!$B$4="","&lt;&gt;",Settings!$B$4)))</f>
        <v>0</v>
      </c>
      <c r="M287" s="38">
        <f>IF($L287&lt;&gt;1,0,SUMIFS('JLR Materials'!$E$2:$E$20001,'JLR Materials'!$A$2:$A$20001,$K287,'JLR Materials'!$C$2:$C$20001,IF(Settings!$B$2="","&lt;&gt;",Settings!$B$2),'JLR Materials'!$D$2:$D$20001,IF(Settings!$B$4="","&lt;&gt;",Settings!$B$4)))</f>
        <v>0</v>
      </c>
      <c r="N287" s="39">
        <f>IF($L287&lt;&gt;1,0,SUMIFS('JLR Materials'!$F$2:$F$20001,'JLR Materials'!$A$2:$A$20001,$K287,'JLR Materials'!$C$2:$C$20001,IF(Settings!$B$2="","&lt;&gt;",Settings!$B$2),'JLR Materials'!$D$2:$D$20001,IF(Settings!$B$4="","&lt;&gt;",Settings!$B$4)))</f>
        <v>0</v>
      </c>
      <c r="O287" s="38">
        <f>IF($N287=0,0,IF(Settings!$B$5="percent",$M287*$N287/100,$N287))</f>
        <v>0</v>
      </c>
      <c r="P287" s="39">
        <f>IF($L287&lt;&gt;1,0,SUMIFS('JLR Materials'!$G$2:$G$20001,'JLR Materials'!$A$2:$A$20001,$K287,'JLR Materials'!$C$2:$C$20001,IF(Settings!$B$2="","&lt;&gt;",Settings!$B$2),'JLR Materials'!$D$2:$D$20001,IF(Settings!$B$4="","&lt;&gt;",Settings!$B$4)))</f>
        <v>0</v>
      </c>
      <c r="Q287" s="40" t="s">
        <v>2005</v>
      </c>
      <c r="R287" s="40" t="s">
        <v>1382</v>
      </c>
    </row>
    <row r="288" spans="1:18" x14ac:dyDescent="0.25">
      <c r="A288" s="32" t="s">
        <v>839</v>
      </c>
      <c r="B288" s="33" t="s">
        <v>2006</v>
      </c>
      <c r="C288" s="33" t="s">
        <v>1998</v>
      </c>
      <c r="D288" s="34">
        <f>IF($M288&gt;0,$M288,9.5)</f>
        <v>9.5</v>
      </c>
      <c r="E288" s="34">
        <f>IF($O288&gt;0,$O288,0.2)</f>
        <v>0.2</v>
      </c>
      <c r="F288" s="35">
        <v>1010</v>
      </c>
      <c r="G288" s="33" t="s">
        <v>1379</v>
      </c>
      <c r="H288" s="36" t="str">
        <f>IF($M288&gt;0,IF($L288&lt;&gt;1,$R288,IFERROR(INDEX('JLR Materials'!$D$2:$D$20001,MATCH($K288,'JLR Materials'!$A$2:$A$20001,0)),$R288)),$R288)</f>
        <v>2026-09</v>
      </c>
      <c r="I288" s="36" t="str">
        <f>IF($M288&gt;0,"JLR rate card — material code "&amp;$K288,$Q288)</f>
        <v>Index-anchored 2026-07. High-performance roto — air ducts, fuel tanks, aerospace; high melt temp, long cycle. | Refresh 2026-09: SPECIALTY — no public market index for this grade; held at the June 2026 price — refresh by supplier quote</v>
      </c>
      <c r="J288" s="33" t="s">
        <v>1393</v>
      </c>
      <c r="K288" s="37" t="str">
        <f>IFERROR(INDEX(Mapping!$C$2:$C$549,MATCH($A288,Mapping!$A$2:$A$549,0)),"")</f>
        <v/>
      </c>
      <c r="L288" s="37">
        <f>IF($K288="",0,COUNTIFS('JLR Materials'!$A$2:$A$20001,$K288,'JLR Materials'!$C$2:$C$20001,IF(Settings!$B$2="","&lt;&gt;",Settings!$B$2),'JLR Materials'!$D$2:$D$20001,IF(Settings!$B$4="","&lt;&gt;",Settings!$B$4)))</f>
        <v>0</v>
      </c>
      <c r="M288" s="38">
        <f>IF($L288&lt;&gt;1,0,SUMIFS('JLR Materials'!$E$2:$E$20001,'JLR Materials'!$A$2:$A$20001,$K288,'JLR Materials'!$C$2:$C$20001,IF(Settings!$B$2="","&lt;&gt;",Settings!$B$2),'JLR Materials'!$D$2:$D$20001,IF(Settings!$B$4="","&lt;&gt;",Settings!$B$4)))</f>
        <v>0</v>
      </c>
      <c r="N288" s="39">
        <f>IF($L288&lt;&gt;1,0,SUMIFS('JLR Materials'!$F$2:$F$20001,'JLR Materials'!$A$2:$A$20001,$K288,'JLR Materials'!$C$2:$C$20001,IF(Settings!$B$2="","&lt;&gt;",Settings!$B$2),'JLR Materials'!$D$2:$D$20001,IF(Settings!$B$4="","&lt;&gt;",Settings!$B$4)))</f>
        <v>0</v>
      </c>
      <c r="O288" s="38">
        <f>IF($N288=0,0,IF(Settings!$B$5="percent",$M288*$N288/100,$N288))</f>
        <v>0</v>
      </c>
      <c r="P288" s="39">
        <f>IF($L288&lt;&gt;1,0,SUMIFS('JLR Materials'!$G$2:$G$20001,'JLR Materials'!$A$2:$A$20001,$K288,'JLR Materials'!$C$2:$C$20001,IF(Settings!$B$2="","&lt;&gt;",Settings!$B$2),'JLR Materials'!$D$2:$D$20001,IF(Settings!$B$4="","&lt;&gt;",Settings!$B$4)))</f>
        <v>0</v>
      </c>
      <c r="Q288" s="40" t="s">
        <v>2007</v>
      </c>
      <c r="R288" s="40" t="s">
        <v>1382</v>
      </c>
    </row>
    <row r="289" spans="1:18" x14ac:dyDescent="0.25">
      <c r="A289" s="32" t="s">
        <v>841</v>
      </c>
      <c r="B289" s="33" t="s">
        <v>2008</v>
      </c>
      <c r="C289" s="33" t="s">
        <v>1998</v>
      </c>
      <c r="D289" s="34">
        <f>IF($M289&gt;0,$M289,2.68)</f>
        <v>2.68</v>
      </c>
      <c r="E289" s="34">
        <f>IF($O289&gt;0,$O289,0.05)</f>
        <v>0.05</v>
      </c>
      <c r="F289" s="35">
        <v>970</v>
      </c>
      <c r="G289" s="33" t="s">
        <v>1379</v>
      </c>
      <c r="H289" s="36" t="str">
        <f>IF($M289&gt;0,IF($L289&lt;&gt;1,$R289,IFERROR(INDEX('JLR Materials'!$D$2:$D$20001,MATCH($K289,'JLR Materials'!$A$2:$A$20001,0)),$R289)),$R289)</f>
        <v>2026-09</v>
      </c>
      <c r="I289" s="36" t="str">
        <f>IF($M289&gt;0,"JLR rate card — material code "&amp;$K289,$Q289)</f>
        <v>Index-anchored 2026-07. FR-compounded PE — enclosures, transit, rail (UL94/EN45545). Additive-loaded. | Refresh 2026-09: +£0.082/kg from 0.7kg lldpe £0.930→£1.047/kg; premiums held</v>
      </c>
      <c r="J289" s="33" t="s">
        <v>1393</v>
      </c>
      <c r="K289" s="37" t="str">
        <f>IFERROR(INDEX(Mapping!$C$2:$C$549,MATCH($A289,Mapping!$A$2:$A$549,0)),"")</f>
        <v/>
      </c>
      <c r="L289" s="37">
        <f>IF($K289="",0,COUNTIFS('JLR Materials'!$A$2:$A$20001,$K289,'JLR Materials'!$C$2:$C$20001,IF(Settings!$B$2="","&lt;&gt;",Settings!$B$2),'JLR Materials'!$D$2:$D$20001,IF(Settings!$B$4="","&lt;&gt;",Settings!$B$4)))</f>
        <v>0</v>
      </c>
      <c r="M289" s="38">
        <f>IF($L289&lt;&gt;1,0,SUMIFS('JLR Materials'!$E$2:$E$20001,'JLR Materials'!$A$2:$A$20001,$K289,'JLR Materials'!$C$2:$C$20001,IF(Settings!$B$2="","&lt;&gt;",Settings!$B$2),'JLR Materials'!$D$2:$D$20001,IF(Settings!$B$4="","&lt;&gt;",Settings!$B$4)))</f>
        <v>0</v>
      </c>
      <c r="N289" s="39">
        <f>IF($L289&lt;&gt;1,0,SUMIFS('JLR Materials'!$F$2:$F$20001,'JLR Materials'!$A$2:$A$20001,$K289,'JLR Materials'!$C$2:$C$20001,IF(Settings!$B$2="","&lt;&gt;",Settings!$B$2),'JLR Materials'!$D$2:$D$20001,IF(Settings!$B$4="","&lt;&gt;",Settings!$B$4)))</f>
        <v>0</v>
      </c>
      <c r="O289" s="38">
        <f>IF($N289=0,0,IF(Settings!$B$5="percent",$M289*$N289/100,$N289))</f>
        <v>0</v>
      </c>
      <c r="P289" s="39">
        <f>IF($L289&lt;&gt;1,0,SUMIFS('JLR Materials'!$G$2:$G$20001,'JLR Materials'!$A$2:$A$20001,$K289,'JLR Materials'!$C$2:$C$20001,IF(Settings!$B$2="","&lt;&gt;",Settings!$B$2),'JLR Materials'!$D$2:$D$20001,IF(Settings!$B$4="","&lt;&gt;",Settings!$B$4)))</f>
        <v>0</v>
      </c>
      <c r="Q289" s="40" t="s">
        <v>2009</v>
      </c>
      <c r="R289" s="40" t="s">
        <v>1382</v>
      </c>
    </row>
    <row r="290" spans="1:18" x14ac:dyDescent="0.25">
      <c r="A290" s="32" t="s">
        <v>843</v>
      </c>
      <c r="B290" s="33" t="s">
        <v>2010</v>
      </c>
      <c r="C290" s="33" t="s">
        <v>1998</v>
      </c>
      <c r="D290" s="34">
        <f>IF($M290&gt;0,$M290,1.99)</f>
        <v>1.99</v>
      </c>
      <c r="E290" s="34">
        <f>IF($O290&gt;0,$O290,0.05)</f>
        <v>0.05</v>
      </c>
      <c r="F290" s="35">
        <v>700</v>
      </c>
      <c r="G290" s="33" t="s">
        <v>1379</v>
      </c>
      <c r="H290" s="36" t="str">
        <f>IF($M290&gt;0,IF($L290&lt;&gt;1,$R290,IFERROR(INDEX('JLR Materials'!$D$2:$D$20001,MATCH($K290,'JLR Materials'!$A$2:$A$20001,0)),$R290)),$R290)</f>
        <v>2026-09</v>
      </c>
      <c r="I290" s="36" t="str">
        <f>IF($M290&gt;0,"JLR rate card — material code "&amp;$K290,$Q290)</f>
        <v>Index-anchored 2026-07. Chemical-blowing-agent PE for foamed sandwich walls — stiffness-per-kg, insulation. | Refresh 2026-09: +£0.094/kg from 0.8kg lldpe £0.930→£1.047/kg; premiums held</v>
      </c>
      <c r="J290" s="33" t="s">
        <v>1393</v>
      </c>
      <c r="K290" s="37" t="str">
        <f>IFERROR(INDEX(Mapping!$C$2:$C$549,MATCH($A290,Mapping!$A$2:$A$549,0)),"")</f>
        <v/>
      </c>
      <c r="L290" s="37">
        <f>IF($K290="",0,COUNTIFS('JLR Materials'!$A$2:$A$20001,$K290,'JLR Materials'!$C$2:$C$20001,IF(Settings!$B$2="","&lt;&gt;",Settings!$B$2),'JLR Materials'!$D$2:$D$20001,IF(Settings!$B$4="","&lt;&gt;",Settings!$B$4)))</f>
        <v>0</v>
      </c>
      <c r="M290" s="38">
        <f>IF($L290&lt;&gt;1,0,SUMIFS('JLR Materials'!$E$2:$E$20001,'JLR Materials'!$A$2:$A$20001,$K290,'JLR Materials'!$C$2:$C$20001,IF(Settings!$B$2="","&lt;&gt;",Settings!$B$2),'JLR Materials'!$D$2:$D$20001,IF(Settings!$B$4="","&lt;&gt;",Settings!$B$4)))</f>
        <v>0</v>
      </c>
      <c r="N290" s="39">
        <f>IF($L290&lt;&gt;1,0,SUMIFS('JLR Materials'!$F$2:$F$20001,'JLR Materials'!$A$2:$A$20001,$K290,'JLR Materials'!$C$2:$C$20001,IF(Settings!$B$2="","&lt;&gt;",Settings!$B$2),'JLR Materials'!$D$2:$D$20001,IF(Settings!$B$4="","&lt;&gt;",Settings!$B$4)))</f>
        <v>0</v>
      </c>
      <c r="O290" s="38">
        <f>IF($N290=0,0,IF(Settings!$B$5="percent",$M290*$N290/100,$N290))</f>
        <v>0</v>
      </c>
      <c r="P290" s="39">
        <f>IF($L290&lt;&gt;1,0,SUMIFS('JLR Materials'!$G$2:$G$20001,'JLR Materials'!$A$2:$A$20001,$K290,'JLR Materials'!$C$2:$C$20001,IF(Settings!$B$2="","&lt;&gt;",Settings!$B$2),'JLR Materials'!$D$2:$D$20001,IF(Settings!$B$4="","&lt;&gt;",Settings!$B$4)))</f>
        <v>0</v>
      </c>
      <c r="Q290" s="40" t="s">
        <v>2011</v>
      </c>
      <c r="R290" s="40" t="s">
        <v>1382</v>
      </c>
    </row>
    <row r="291" spans="1:18" x14ac:dyDescent="0.25">
      <c r="A291" s="32" t="s">
        <v>845</v>
      </c>
      <c r="B291" s="33" t="s">
        <v>2012</v>
      </c>
      <c r="C291" s="33" t="s">
        <v>1998</v>
      </c>
      <c r="D291" s="34">
        <f>IF($M291&gt;0,$M291,2.49)</f>
        <v>2.49</v>
      </c>
      <c r="E291" s="34">
        <f>IF($O291&gt;0,$O291,0.05)</f>
        <v>0.05</v>
      </c>
      <c r="F291" s="35">
        <v>1010</v>
      </c>
      <c r="G291" s="33" t="s">
        <v>1379</v>
      </c>
      <c r="H291" s="36" t="str">
        <f>IF($M291&gt;0,IF($L291&lt;&gt;1,$R291,IFERROR(INDEX('JLR Materials'!$D$2:$D$20001,MATCH($K291,'JLR Materials'!$A$2:$A$20001,0)),$R291)),$R291)</f>
        <v>2026-09</v>
      </c>
      <c r="I291" s="36" t="str">
        <f>IF($M291&gt;0,"JLR rate card — material code "&amp;$K291,$Q291)</f>
        <v>Index-anchored 2026-07. Carbon-loaded PE — ATEX/ESD tanks, fuel handling; surface resistivity &lt;10^6 Ω. | Refresh 2026-09: +£0.094/kg from 0.8kg lldpe £0.930→£1.047/kg; premiums held</v>
      </c>
      <c r="J291" s="33" t="s">
        <v>1393</v>
      </c>
      <c r="K291" s="37" t="str">
        <f>IFERROR(INDEX(Mapping!$C$2:$C$549,MATCH($A291,Mapping!$A$2:$A$549,0)),"")</f>
        <v/>
      </c>
      <c r="L291" s="37">
        <f>IF($K291="",0,COUNTIFS('JLR Materials'!$A$2:$A$20001,$K291,'JLR Materials'!$C$2:$C$20001,IF(Settings!$B$2="","&lt;&gt;",Settings!$B$2),'JLR Materials'!$D$2:$D$20001,IF(Settings!$B$4="","&lt;&gt;",Settings!$B$4)))</f>
        <v>0</v>
      </c>
      <c r="M291" s="38">
        <f>IF($L291&lt;&gt;1,0,SUMIFS('JLR Materials'!$E$2:$E$20001,'JLR Materials'!$A$2:$A$20001,$K291,'JLR Materials'!$C$2:$C$20001,IF(Settings!$B$2="","&lt;&gt;",Settings!$B$2),'JLR Materials'!$D$2:$D$20001,IF(Settings!$B$4="","&lt;&gt;",Settings!$B$4)))</f>
        <v>0</v>
      </c>
      <c r="N291" s="39">
        <f>IF($L291&lt;&gt;1,0,SUMIFS('JLR Materials'!$F$2:$F$20001,'JLR Materials'!$A$2:$A$20001,$K291,'JLR Materials'!$C$2:$C$20001,IF(Settings!$B$2="","&lt;&gt;",Settings!$B$2),'JLR Materials'!$D$2:$D$20001,IF(Settings!$B$4="","&lt;&gt;",Settings!$B$4)))</f>
        <v>0</v>
      </c>
      <c r="O291" s="38">
        <f>IF($N291=0,0,IF(Settings!$B$5="percent",$M291*$N291/100,$N291))</f>
        <v>0</v>
      </c>
      <c r="P291" s="39">
        <f>IF($L291&lt;&gt;1,0,SUMIFS('JLR Materials'!$G$2:$G$20001,'JLR Materials'!$A$2:$A$20001,$K291,'JLR Materials'!$C$2:$C$20001,IF(Settings!$B$2="","&lt;&gt;",Settings!$B$2),'JLR Materials'!$D$2:$D$20001,IF(Settings!$B$4="","&lt;&gt;",Settings!$B$4)))</f>
        <v>0</v>
      </c>
      <c r="Q291" s="40" t="s">
        <v>2013</v>
      </c>
      <c r="R291" s="40" t="s">
        <v>1382</v>
      </c>
    </row>
    <row r="292" spans="1:18" x14ac:dyDescent="0.25">
      <c r="A292" s="32" t="s">
        <v>847</v>
      </c>
      <c r="B292" s="33" t="s">
        <v>2014</v>
      </c>
      <c r="C292" s="33" t="s">
        <v>1998</v>
      </c>
      <c r="D292" s="34">
        <f>IF($M292&gt;0,$M292,0.94)</f>
        <v>0.94</v>
      </c>
      <c r="E292" s="34">
        <f>IF($O292&gt;0,$O292,0.1)</f>
        <v>0.1</v>
      </c>
      <c r="F292" s="35">
        <v>945</v>
      </c>
      <c r="G292" s="33" t="s">
        <v>1379</v>
      </c>
      <c r="H292" s="36" t="str">
        <f>IF($M292&gt;0,IF($L292&lt;&gt;1,$R292,IFERROR(INDEX('JLR Materials'!$D$2:$D$20001,MATCH($K292,'JLR Materials'!$A$2:$A$20001,0)),$R292)),$R292)</f>
        <v>2026-09</v>
      </c>
      <c r="I292" s="36" t="str">
        <f>IF($M292&gt;0,"JLR rate card — material code "&amp;$K292,$Q292)</f>
        <v>Index-anchored 2026-07. Recyclate roto grade — non-critical tanks, planters, civils; wider property spread. | Refresh 2026-09: −£0.008/kg from 0.6kg hdpe £1.060→£1.047/kg; premiums held</v>
      </c>
      <c r="J292" s="33" t="s">
        <v>1393</v>
      </c>
      <c r="K292" s="37" t="str">
        <f>IFERROR(INDEX(Mapping!$C$2:$C$549,MATCH($A292,Mapping!$A$2:$A$549,0)),"")</f>
        <v/>
      </c>
      <c r="L292" s="37">
        <f>IF($K292="",0,COUNTIFS('JLR Materials'!$A$2:$A$20001,$K292,'JLR Materials'!$C$2:$C$20001,IF(Settings!$B$2="","&lt;&gt;",Settings!$B$2),'JLR Materials'!$D$2:$D$20001,IF(Settings!$B$4="","&lt;&gt;",Settings!$B$4)))</f>
        <v>0</v>
      </c>
      <c r="M292" s="38">
        <f>IF($L292&lt;&gt;1,0,SUMIFS('JLR Materials'!$E$2:$E$20001,'JLR Materials'!$A$2:$A$20001,$K292,'JLR Materials'!$C$2:$C$20001,IF(Settings!$B$2="","&lt;&gt;",Settings!$B$2),'JLR Materials'!$D$2:$D$20001,IF(Settings!$B$4="","&lt;&gt;",Settings!$B$4)))</f>
        <v>0</v>
      </c>
      <c r="N292" s="39">
        <f>IF($L292&lt;&gt;1,0,SUMIFS('JLR Materials'!$F$2:$F$20001,'JLR Materials'!$A$2:$A$20001,$K292,'JLR Materials'!$C$2:$C$20001,IF(Settings!$B$2="","&lt;&gt;",Settings!$B$2),'JLR Materials'!$D$2:$D$20001,IF(Settings!$B$4="","&lt;&gt;",Settings!$B$4)))</f>
        <v>0</v>
      </c>
      <c r="O292" s="38">
        <f>IF($N292=0,0,IF(Settings!$B$5="percent",$M292*$N292/100,$N292))</f>
        <v>0</v>
      </c>
      <c r="P292" s="39">
        <f>IF($L292&lt;&gt;1,0,SUMIFS('JLR Materials'!$G$2:$G$20001,'JLR Materials'!$A$2:$A$20001,$K292,'JLR Materials'!$C$2:$C$20001,IF(Settings!$B$2="","&lt;&gt;",Settings!$B$2),'JLR Materials'!$D$2:$D$20001,IF(Settings!$B$4="","&lt;&gt;",Settings!$B$4)))</f>
        <v>0</v>
      </c>
      <c r="Q292" s="40" t="s">
        <v>2015</v>
      </c>
      <c r="R292" s="40" t="s">
        <v>1382</v>
      </c>
    </row>
    <row r="293" spans="1:18" x14ac:dyDescent="0.25">
      <c r="A293" s="32" t="s">
        <v>849</v>
      </c>
      <c r="B293" s="33" t="s">
        <v>2016</v>
      </c>
      <c r="C293" s="33" t="s">
        <v>2017</v>
      </c>
      <c r="D293" s="34">
        <f>IF($M293&gt;0,$M293,1.9)</f>
        <v>1.9</v>
      </c>
      <c r="E293" s="34">
        <f>IF($O293&gt;0,$O293,0.05)</f>
        <v>0.05</v>
      </c>
      <c r="F293" s="35">
        <v>1150</v>
      </c>
      <c r="G293" s="33" t="s">
        <v>1379</v>
      </c>
      <c r="H293" s="36" t="str">
        <f>IF($M293&gt;0,IF($L293&lt;&gt;1,$R293,IFERROR(INDEX('JLR Materials'!$D$2:$D$20001,MATCH($K293,'JLR Materials'!$A$2:$A$20001,0)),$R293)),$R293)</f>
        <v>2026-09</v>
      </c>
      <c r="I293" s="36" t="str">
        <f>IF($M293&gt;0,"JLR rate card — material code "&amp;$K293,$Q293)</f>
        <v>UK rubber compounder Jun 2026. EPDM seals, hoses, weatherstrips. Shore 70A. Index-anchored 2026-07 refresh. | Refresh 2026-09: NOT SOURCED — epdm, carbonblack: Not sourced this period: synthetic rubber moves were weekly and mixed (ERJ, w/e 23 Sep 2026: SBR −2.3%, EPDM −1%, NBR +1%); no June→Sep level. Held at the June 2026 price.</v>
      </c>
      <c r="J293" s="33" t="s">
        <v>1380</v>
      </c>
      <c r="K293" s="37" t="str">
        <f>IFERROR(INDEX(Mapping!$C$2:$C$549,MATCH($A293,Mapping!$A$2:$A$549,0)),"")</f>
        <v/>
      </c>
      <c r="L293" s="37">
        <f>IF($K293="",0,COUNTIFS('JLR Materials'!$A$2:$A$20001,$K293,'JLR Materials'!$C$2:$C$20001,IF(Settings!$B$2="","&lt;&gt;",Settings!$B$2),'JLR Materials'!$D$2:$D$20001,IF(Settings!$B$4="","&lt;&gt;",Settings!$B$4)))</f>
        <v>0</v>
      </c>
      <c r="M293" s="38">
        <f>IF($L293&lt;&gt;1,0,SUMIFS('JLR Materials'!$E$2:$E$20001,'JLR Materials'!$A$2:$A$20001,$K293,'JLR Materials'!$C$2:$C$20001,IF(Settings!$B$2="","&lt;&gt;",Settings!$B$2),'JLR Materials'!$D$2:$D$20001,IF(Settings!$B$4="","&lt;&gt;",Settings!$B$4)))</f>
        <v>0</v>
      </c>
      <c r="N293" s="39">
        <f>IF($L293&lt;&gt;1,0,SUMIFS('JLR Materials'!$F$2:$F$20001,'JLR Materials'!$A$2:$A$20001,$K293,'JLR Materials'!$C$2:$C$20001,IF(Settings!$B$2="","&lt;&gt;",Settings!$B$2),'JLR Materials'!$D$2:$D$20001,IF(Settings!$B$4="","&lt;&gt;",Settings!$B$4)))</f>
        <v>0</v>
      </c>
      <c r="O293" s="38">
        <f>IF($N293=0,0,IF(Settings!$B$5="percent",$M293*$N293/100,$N293))</f>
        <v>0</v>
      </c>
      <c r="P293" s="39">
        <f>IF($L293&lt;&gt;1,0,SUMIFS('JLR Materials'!$G$2:$G$20001,'JLR Materials'!$A$2:$A$20001,$K293,'JLR Materials'!$C$2:$C$20001,IF(Settings!$B$2="","&lt;&gt;",Settings!$B$2),'JLR Materials'!$D$2:$D$20001,IF(Settings!$B$4="","&lt;&gt;",Settings!$B$4)))</f>
        <v>0</v>
      </c>
      <c r="Q293" s="40" t="s">
        <v>2018</v>
      </c>
      <c r="R293" s="40" t="s">
        <v>1382</v>
      </c>
    </row>
    <row r="294" spans="1:18" x14ac:dyDescent="0.25">
      <c r="A294" s="32" t="s">
        <v>851</v>
      </c>
      <c r="B294" s="33" t="s">
        <v>2019</v>
      </c>
      <c r="C294" s="33" t="s">
        <v>2017</v>
      </c>
      <c r="D294" s="34">
        <f>IF($M294&gt;0,$M294,2.32)</f>
        <v>2.32</v>
      </c>
      <c r="E294" s="34">
        <f>IF($O294&gt;0,$O294,0.05)</f>
        <v>0.05</v>
      </c>
      <c r="F294" s="35">
        <v>1200</v>
      </c>
      <c r="G294" s="33" t="s">
        <v>1379</v>
      </c>
      <c r="H294" s="36" t="str">
        <f>IF($M294&gt;0,IF($L294&lt;&gt;1,$R294,IFERROR(INDEX('JLR Materials'!$D$2:$D$20001,MATCH($K294,'JLR Materials'!$A$2:$A$20001,0)),$R294)),$R294)</f>
        <v>2026-09</v>
      </c>
      <c r="I294" s="36" t="str">
        <f>IF($M294&gt;0,"JLR rate card — material code "&amp;$K294,$Q294)</f>
        <v>UK rubber compounder Jun 2026. Nitrile rubber — oil/fuel seals, O-rings. Shore 70A. Index-anchored 2026-07 refresh. | Refresh 2026-09: NOT SOURCED — nbr, carbonblack: Not sourced this period: synthetic rubber moves were weekly and mixed (ERJ, w/e 23 Sep 2026: SBR −2.3%, EPDM −1%, NBR +1%); no June→Sep level. Held at the June 2026 price.</v>
      </c>
      <c r="J294" s="33" t="s">
        <v>1380</v>
      </c>
      <c r="K294" s="37" t="str">
        <f>IFERROR(INDEX(Mapping!$C$2:$C$549,MATCH($A294,Mapping!$A$2:$A$549,0)),"")</f>
        <v/>
      </c>
      <c r="L294" s="37">
        <f>IF($K294="",0,COUNTIFS('JLR Materials'!$A$2:$A$20001,$K294,'JLR Materials'!$C$2:$C$20001,IF(Settings!$B$2="","&lt;&gt;",Settings!$B$2),'JLR Materials'!$D$2:$D$20001,IF(Settings!$B$4="","&lt;&gt;",Settings!$B$4)))</f>
        <v>0</v>
      </c>
      <c r="M294" s="38">
        <f>IF($L294&lt;&gt;1,0,SUMIFS('JLR Materials'!$E$2:$E$20001,'JLR Materials'!$A$2:$A$20001,$K294,'JLR Materials'!$C$2:$C$20001,IF(Settings!$B$2="","&lt;&gt;",Settings!$B$2),'JLR Materials'!$D$2:$D$20001,IF(Settings!$B$4="","&lt;&gt;",Settings!$B$4)))</f>
        <v>0</v>
      </c>
      <c r="N294" s="39">
        <f>IF($L294&lt;&gt;1,0,SUMIFS('JLR Materials'!$F$2:$F$20001,'JLR Materials'!$A$2:$A$20001,$K294,'JLR Materials'!$C$2:$C$20001,IF(Settings!$B$2="","&lt;&gt;",Settings!$B$2),'JLR Materials'!$D$2:$D$20001,IF(Settings!$B$4="","&lt;&gt;",Settings!$B$4)))</f>
        <v>0</v>
      </c>
      <c r="O294" s="38">
        <f>IF($N294=0,0,IF(Settings!$B$5="percent",$M294*$N294/100,$N294))</f>
        <v>0</v>
      </c>
      <c r="P294" s="39">
        <f>IF($L294&lt;&gt;1,0,SUMIFS('JLR Materials'!$G$2:$G$20001,'JLR Materials'!$A$2:$A$20001,$K294,'JLR Materials'!$C$2:$C$20001,IF(Settings!$B$2="","&lt;&gt;",Settings!$B$2),'JLR Materials'!$D$2:$D$20001,IF(Settings!$B$4="","&lt;&gt;",Settings!$B$4)))</f>
        <v>0</v>
      </c>
      <c r="Q294" s="40" t="s">
        <v>2020</v>
      </c>
      <c r="R294" s="40" t="s">
        <v>1382</v>
      </c>
    </row>
    <row r="295" spans="1:18" x14ac:dyDescent="0.25">
      <c r="A295" s="32" t="s">
        <v>853</v>
      </c>
      <c r="B295" s="33" t="s">
        <v>2021</v>
      </c>
      <c r="C295" s="33" t="s">
        <v>2017</v>
      </c>
      <c r="D295" s="34">
        <f>IF($M295&gt;0,$M295,8.92)</f>
        <v>8.92</v>
      </c>
      <c r="E295" s="34">
        <f>IF($O295&gt;0,$O295,0.1)</f>
        <v>0.1</v>
      </c>
      <c r="F295" s="35">
        <v>1200</v>
      </c>
      <c r="G295" s="33" t="s">
        <v>1379</v>
      </c>
      <c r="H295" s="36" t="str">
        <f>IF($M295&gt;0,IF($L295&lt;&gt;1,$R295,IFERROR(INDEX('JLR Materials'!$D$2:$D$20001,MATCH($K295,'JLR Materials'!$A$2:$A$20001,0)),$R295)),$R295)</f>
        <v>2026-09</v>
      </c>
      <c r="I295" s="36" t="str">
        <f>IF($M295&gt;0,"JLR rate card — material code "&amp;$K295,$Q295)</f>
        <v>UK silicone supplier Jun 2026. High Consistency Rubber — compression/transfer moulding. Shore 60A. Index-anchored 2026-07 refresh. | Refresh 2026-09: NOT SOURCED — silicone: Not sourced this period: synthetic rubber moves were weekly and mixed (ERJ, w/e 23 Sep 2026: SBR −2.3%, EPDM −1%, NBR +1%); no June→Sep level. Held at the June 2026 price.</v>
      </c>
      <c r="J295" s="33" t="s">
        <v>1393</v>
      </c>
      <c r="K295" s="37" t="str">
        <f>IFERROR(INDEX(Mapping!$C$2:$C$549,MATCH($A295,Mapping!$A$2:$A$549,0)),"")</f>
        <v/>
      </c>
      <c r="L295" s="37">
        <f>IF($K295="",0,COUNTIFS('JLR Materials'!$A$2:$A$20001,$K295,'JLR Materials'!$C$2:$C$20001,IF(Settings!$B$2="","&lt;&gt;",Settings!$B$2),'JLR Materials'!$D$2:$D$20001,IF(Settings!$B$4="","&lt;&gt;",Settings!$B$4)))</f>
        <v>0</v>
      </c>
      <c r="M295" s="38">
        <f>IF($L295&lt;&gt;1,0,SUMIFS('JLR Materials'!$E$2:$E$20001,'JLR Materials'!$A$2:$A$20001,$K295,'JLR Materials'!$C$2:$C$20001,IF(Settings!$B$2="","&lt;&gt;",Settings!$B$2),'JLR Materials'!$D$2:$D$20001,IF(Settings!$B$4="","&lt;&gt;",Settings!$B$4)))</f>
        <v>0</v>
      </c>
      <c r="N295" s="39">
        <f>IF($L295&lt;&gt;1,0,SUMIFS('JLR Materials'!$F$2:$F$20001,'JLR Materials'!$A$2:$A$20001,$K295,'JLR Materials'!$C$2:$C$20001,IF(Settings!$B$2="","&lt;&gt;",Settings!$B$2),'JLR Materials'!$D$2:$D$20001,IF(Settings!$B$4="","&lt;&gt;",Settings!$B$4)))</f>
        <v>0</v>
      </c>
      <c r="O295" s="38">
        <f>IF($N295=0,0,IF(Settings!$B$5="percent",$M295*$N295/100,$N295))</f>
        <v>0</v>
      </c>
      <c r="P295" s="39">
        <f>IF($L295&lt;&gt;1,0,SUMIFS('JLR Materials'!$G$2:$G$20001,'JLR Materials'!$A$2:$A$20001,$K295,'JLR Materials'!$C$2:$C$20001,IF(Settings!$B$2="","&lt;&gt;",Settings!$B$2),'JLR Materials'!$D$2:$D$20001,IF(Settings!$B$4="","&lt;&gt;",Settings!$B$4)))</f>
        <v>0</v>
      </c>
      <c r="Q295" s="40" t="s">
        <v>2022</v>
      </c>
      <c r="R295" s="40" t="s">
        <v>1382</v>
      </c>
    </row>
    <row r="296" spans="1:18" x14ac:dyDescent="0.25">
      <c r="A296" s="32" t="s">
        <v>855</v>
      </c>
      <c r="B296" s="33" t="s">
        <v>2023</v>
      </c>
      <c r="C296" s="33" t="s">
        <v>2017</v>
      </c>
      <c r="D296" s="34">
        <f>IF($M296&gt;0,$M296,15.75)</f>
        <v>15.75</v>
      </c>
      <c r="E296" s="34">
        <f>IF($O296&gt;0,$O296,0.1)</f>
        <v>0.1</v>
      </c>
      <c r="F296" s="35">
        <v>1130</v>
      </c>
      <c r="G296" s="33" t="s">
        <v>1379</v>
      </c>
      <c r="H296" s="36" t="str">
        <f>IF($M296&gt;0,IF($L296&lt;&gt;1,$R296,IFERROR(INDEX('JLR Materials'!$D$2:$D$20001,MATCH($K296,'JLR Materials'!$A$2:$A$20001,0)),$R296)),$R296)</f>
        <v>2026-09</v>
      </c>
      <c r="I296" s="36" t="str">
        <f>IF($M296&gt;0,"JLR rate card — material code "&amp;$K296,$Q296)</f>
        <v>UK silicone supplier Jun 2026. Liquid Silicone Rubber — injection moulding, medical/auto seals. Shore 40A. Index-anchored 2026-07 refresh. | Refresh 2026-09: NOT SOURCED — silicone: Not sourced this period: synthetic rubber moves were weekly and mixed (ERJ, w/e 23 Sep 2026: SBR −2.3%, EPDM −1%, NBR +1%); no June→Sep level. Held at the June 2026 price.</v>
      </c>
      <c r="J296" s="33" t="s">
        <v>1393</v>
      </c>
      <c r="K296" s="37" t="str">
        <f>IFERROR(INDEX(Mapping!$C$2:$C$549,MATCH($A296,Mapping!$A$2:$A$549,0)),"")</f>
        <v/>
      </c>
      <c r="L296" s="37">
        <f>IF($K296="",0,COUNTIFS('JLR Materials'!$A$2:$A$20001,$K296,'JLR Materials'!$C$2:$C$20001,IF(Settings!$B$2="","&lt;&gt;",Settings!$B$2),'JLR Materials'!$D$2:$D$20001,IF(Settings!$B$4="","&lt;&gt;",Settings!$B$4)))</f>
        <v>0</v>
      </c>
      <c r="M296" s="38">
        <f>IF($L296&lt;&gt;1,0,SUMIFS('JLR Materials'!$E$2:$E$20001,'JLR Materials'!$A$2:$A$20001,$K296,'JLR Materials'!$C$2:$C$20001,IF(Settings!$B$2="","&lt;&gt;",Settings!$B$2),'JLR Materials'!$D$2:$D$20001,IF(Settings!$B$4="","&lt;&gt;",Settings!$B$4)))</f>
        <v>0</v>
      </c>
      <c r="N296" s="39">
        <f>IF($L296&lt;&gt;1,0,SUMIFS('JLR Materials'!$F$2:$F$20001,'JLR Materials'!$A$2:$A$20001,$K296,'JLR Materials'!$C$2:$C$20001,IF(Settings!$B$2="","&lt;&gt;",Settings!$B$2),'JLR Materials'!$D$2:$D$20001,IF(Settings!$B$4="","&lt;&gt;",Settings!$B$4)))</f>
        <v>0</v>
      </c>
      <c r="O296" s="38">
        <f>IF($N296=0,0,IF(Settings!$B$5="percent",$M296*$N296/100,$N296))</f>
        <v>0</v>
      </c>
      <c r="P296" s="39">
        <f>IF($L296&lt;&gt;1,0,SUMIFS('JLR Materials'!$G$2:$G$20001,'JLR Materials'!$A$2:$A$20001,$K296,'JLR Materials'!$C$2:$C$20001,IF(Settings!$B$2="","&lt;&gt;",Settings!$B$2),'JLR Materials'!$D$2:$D$20001,IF(Settings!$B$4="","&lt;&gt;",Settings!$B$4)))</f>
        <v>0</v>
      </c>
      <c r="Q296" s="40" t="s">
        <v>2024</v>
      </c>
      <c r="R296" s="40" t="s">
        <v>1382</v>
      </c>
    </row>
    <row r="297" spans="1:18" x14ac:dyDescent="0.25">
      <c r="A297" s="32" t="s">
        <v>857</v>
      </c>
      <c r="B297" s="33" t="s">
        <v>2025</v>
      </c>
      <c r="C297" s="33" t="s">
        <v>2017</v>
      </c>
      <c r="D297" s="34">
        <f>IF($M297&gt;0,$M297,1.84)</f>
        <v>1.84</v>
      </c>
      <c r="E297" s="34">
        <f>IF($O297&gt;0,$O297,0.05)</f>
        <v>0.05</v>
      </c>
      <c r="F297" s="35">
        <v>920</v>
      </c>
      <c r="G297" s="33" t="s">
        <v>1379</v>
      </c>
      <c r="H297" s="36" t="str">
        <f>IF($M297&gt;0,IF($L297&lt;&gt;1,$R297,IFERROR(INDEX('JLR Materials'!$D$2:$D$20001,MATCH($K297,'JLR Materials'!$A$2:$A$20001,0)),$R297)),$R297)</f>
        <v>2026-09</v>
      </c>
      <c r="I297" s="36" t="str">
        <f>IF($M297&gt;0,"JLR rate card — material code "&amp;$K297,$Q297)</f>
        <v>UK rubber importer Jun 2026. Natural rubber SMR20 grade — tyre compounds, anti-vibration mounts. Index-anchored 2026-07 refresh. | Refresh 2026-09: +£0.119/kg from 0.5kg nr £1.697→£1.935/kg, 0.25kg carbonblack £1.000→£1.000/kg; premiums held</v>
      </c>
      <c r="J297" s="33" t="s">
        <v>1393</v>
      </c>
      <c r="K297" s="37" t="str">
        <f>IFERROR(INDEX(Mapping!$C$2:$C$549,MATCH($A297,Mapping!$A$2:$A$549,0)),"")</f>
        <v/>
      </c>
      <c r="L297" s="37">
        <f>IF($K297="",0,COUNTIFS('JLR Materials'!$A$2:$A$20001,$K297,'JLR Materials'!$C$2:$C$20001,IF(Settings!$B$2="","&lt;&gt;",Settings!$B$2),'JLR Materials'!$D$2:$D$20001,IF(Settings!$B$4="","&lt;&gt;",Settings!$B$4)))</f>
        <v>0</v>
      </c>
      <c r="M297" s="38">
        <f>IF($L297&lt;&gt;1,0,SUMIFS('JLR Materials'!$E$2:$E$20001,'JLR Materials'!$A$2:$A$20001,$K297,'JLR Materials'!$C$2:$C$20001,IF(Settings!$B$2="","&lt;&gt;",Settings!$B$2),'JLR Materials'!$D$2:$D$20001,IF(Settings!$B$4="","&lt;&gt;",Settings!$B$4)))</f>
        <v>0</v>
      </c>
      <c r="N297" s="39">
        <f>IF($L297&lt;&gt;1,0,SUMIFS('JLR Materials'!$F$2:$F$20001,'JLR Materials'!$A$2:$A$20001,$K297,'JLR Materials'!$C$2:$C$20001,IF(Settings!$B$2="","&lt;&gt;",Settings!$B$2),'JLR Materials'!$D$2:$D$20001,IF(Settings!$B$4="","&lt;&gt;",Settings!$B$4)))</f>
        <v>0</v>
      </c>
      <c r="O297" s="38">
        <f>IF($N297=0,0,IF(Settings!$B$5="percent",$M297*$N297/100,$N297))</f>
        <v>0</v>
      </c>
      <c r="P297" s="39">
        <f>IF($L297&lt;&gt;1,0,SUMIFS('JLR Materials'!$G$2:$G$20001,'JLR Materials'!$A$2:$A$20001,$K297,'JLR Materials'!$C$2:$C$20001,IF(Settings!$B$2="","&lt;&gt;",Settings!$B$2),'JLR Materials'!$D$2:$D$20001,IF(Settings!$B$4="","&lt;&gt;",Settings!$B$4)))</f>
        <v>0</v>
      </c>
      <c r="Q297" s="40" t="s">
        <v>2026</v>
      </c>
      <c r="R297" s="40" t="s">
        <v>1382</v>
      </c>
    </row>
    <row r="298" spans="1:18" x14ac:dyDescent="0.25">
      <c r="A298" s="32" t="s">
        <v>859</v>
      </c>
      <c r="B298" s="33" t="s">
        <v>2027</v>
      </c>
      <c r="C298" s="33" t="s">
        <v>2017</v>
      </c>
      <c r="D298" s="34">
        <f>IF($M298&gt;0,$M298,23.1)</f>
        <v>23.1</v>
      </c>
      <c r="E298" s="34">
        <f>IF($O298&gt;0,$O298,0.2)</f>
        <v>0.2</v>
      </c>
      <c r="F298" s="35">
        <v>1850</v>
      </c>
      <c r="G298" s="33" t="s">
        <v>1379</v>
      </c>
      <c r="H298" s="36" t="str">
        <f>IF($M298&gt;0,IF($L298&lt;&gt;1,$R298,IFERROR(INDEX('JLR Materials'!$D$2:$D$20001,MATCH($K298,'JLR Materials'!$A$2:$A$20001,0)),$R298)),$R298)</f>
        <v>2026-09</v>
      </c>
      <c r="I298" s="36" t="str">
        <f>IF($M298&gt;0,"JLR rate card — material code "&amp;$K298,$Q298)</f>
        <v>UK fluoroelastomer supplier Jun 2026. FKM Viton — high-temp/chemical seals (&gt;200°C). Shore 75A. Index-anchored 2026-07 refresh. | Refresh 2026-09: SPECIALTY — no public market index for this grade; held at the June 2026 price — refresh by supplier quote</v>
      </c>
      <c r="J298" s="33" t="s">
        <v>1393</v>
      </c>
      <c r="K298" s="37" t="str">
        <f>IFERROR(INDEX(Mapping!$C$2:$C$549,MATCH($A298,Mapping!$A$2:$A$549,0)),"")</f>
        <v/>
      </c>
      <c r="L298" s="37">
        <f>IF($K298="",0,COUNTIFS('JLR Materials'!$A$2:$A$20001,$K298,'JLR Materials'!$C$2:$C$20001,IF(Settings!$B$2="","&lt;&gt;",Settings!$B$2),'JLR Materials'!$D$2:$D$20001,IF(Settings!$B$4="","&lt;&gt;",Settings!$B$4)))</f>
        <v>0</v>
      </c>
      <c r="M298" s="38">
        <f>IF($L298&lt;&gt;1,0,SUMIFS('JLR Materials'!$E$2:$E$20001,'JLR Materials'!$A$2:$A$20001,$K298,'JLR Materials'!$C$2:$C$20001,IF(Settings!$B$2="","&lt;&gt;",Settings!$B$2),'JLR Materials'!$D$2:$D$20001,IF(Settings!$B$4="","&lt;&gt;",Settings!$B$4)))</f>
        <v>0</v>
      </c>
      <c r="N298" s="39">
        <f>IF($L298&lt;&gt;1,0,SUMIFS('JLR Materials'!$F$2:$F$20001,'JLR Materials'!$A$2:$A$20001,$K298,'JLR Materials'!$C$2:$C$20001,IF(Settings!$B$2="","&lt;&gt;",Settings!$B$2),'JLR Materials'!$D$2:$D$20001,IF(Settings!$B$4="","&lt;&gt;",Settings!$B$4)))</f>
        <v>0</v>
      </c>
      <c r="O298" s="38">
        <f>IF($N298=0,0,IF(Settings!$B$5="percent",$M298*$N298/100,$N298))</f>
        <v>0</v>
      </c>
      <c r="P298" s="39">
        <f>IF($L298&lt;&gt;1,0,SUMIFS('JLR Materials'!$G$2:$G$20001,'JLR Materials'!$A$2:$A$20001,$K298,'JLR Materials'!$C$2:$C$20001,IF(Settings!$B$2="","&lt;&gt;",Settings!$B$2),'JLR Materials'!$D$2:$D$20001,IF(Settings!$B$4="","&lt;&gt;",Settings!$B$4)))</f>
        <v>0</v>
      </c>
      <c r="Q298" s="40" t="s">
        <v>2028</v>
      </c>
      <c r="R298" s="40" t="s">
        <v>1382</v>
      </c>
    </row>
    <row r="299" spans="1:18" x14ac:dyDescent="0.25">
      <c r="A299" s="32" t="s">
        <v>861</v>
      </c>
      <c r="B299" s="33" t="s">
        <v>2029</v>
      </c>
      <c r="C299" s="33" t="s">
        <v>2017</v>
      </c>
      <c r="D299" s="34">
        <f>IF($M299&gt;0,$M299,1.45)</f>
        <v>1.45</v>
      </c>
      <c r="E299" s="34">
        <f>IF($O299&gt;0,$O299,0.03)</f>
        <v>0.03</v>
      </c>
      <c r="F299" s="35">
        <v>1100</v>
      </c>
      <c r="G299" s="33" t="s">
        <v>1379</v>
      </c>
      <c r="H299" s="36" t="str">
        <f>IF($M299&gt;0,IF($L299&lt;&gt;1,$R299,IFERROR(INDEX('JLR Materials'!$D$2:$D$20001,MATCH($K299,'JLR Materials'!$A$2:$A$20001,0)),$R299)),$R299)</f>
        <v>2026-09</v>
      </c>
      <c r="I299" s="36" t="str">
        <f>IF($M299&gt;0,"JLR rate card — material code "&amp;$K299,$Q299)</f>
        <v>UK rubber compounder Jun 2026. Styrene Butadiene Rubber — general-purpose seals, gaskets, belts, anti-vibration pads. Shore 65A. Index-anchored 2026-07 refresh. | Refresh 2026-09: NOT SOURCED — sbr, carbonblack: Not sourced this period: synthetic rubber moves were weekly and mixed (ERJ, w/e 23 Sep 2026: SBR −2.3%, EPDM −1%, NBR +1%); no June→Sep level. Held at the June 2026 price.</v>
      </c>
      <c r="J299" s="33" t="s">
        <v>1380</v>
      </c>
      <c r="K299" s="37" t="str">
        <f>IFERROR(INDEX(Mapping!$C$2:$C$549,MATCH($A299,Mapping!$A$2:$A$549,0)),"")</f>
        <v/>
      </c>
      <c r="L299" s="37">
        <f>IF($K299="",0,COUNTIFS('JLR Materials'!$A$2:$A$20001,$K299,'JLR Materials'!$C$2:$C$20001,IF(Settings!$B$2="","&lt;&gt;",Settings!$B$2),'JLR Materials'!$D$2:$D$20001,IF(Settings!$B$4="","&lt;&gt;",Settings!$B$4)))</f>
        <v>0</v>
      </c>
      <c r="M299" s="38">
        <f>IF($L299&lt;&gt;1,0,SUMIFS('JLR Materials'!$E$2:$E$20001,'JLR Materials'!$A$2:$A$20001,$K299,'JLR Materials'!$C$2:$C$20001,IF(Settings!$B$2="","&lt;&gt;",Settings!$B$2),'JLR Materials'!$D$2:$D$20001,IF(Settings!$B$4="","&lt;&gt;",Settings!$B$4)))</f>
        <v>0</v>
      </c>
      <c r="N299" s="39">
        <f>IF($L299&lt;&gt;1,0,SUMIFS('JLR Materials'!$F$2:$F$20001,'JLR Materials'!$A$2:$A$20001,$K299,'JLR Materials'!$C$2:$C$20001,IF(Settings!$B$2="","&lt;&gt;",Settings!$B$2),'JLR Materials'!$D$2:$D$20001,IF(Settings!$B$4="","&lt;&gt;",Settings!$B$4)))</f>
        <v>0</v>
      </c>
      <c r="O299" s="38">
        <f>IF($N299=0,0,IF(Settings!$B$5="percent",$M299*$N299/100,$N299))</f>
        <v>0</v>
      </c>
      <c r="P299" s="39">
        <f>IF($L299&lt;&gt;1,0,SUMIFS('JLR Materials'!$G$2:$G$20001,'JLR Materials'!$A$2:$A$20001,$K299,'JLR Materials'!$C$2:$C$20001,IF(Settings!$B$2="","&lt;&gt;",Settings!$B$2),'JLR Materials'!$D$2:$D$20001,IF(Settings!$B$4="","&lt;&gt;",Settings!$B$4)))</f>
        <v>0</v>
      </c>
      <c r="Q299" s="40" t="s">
        <v>2030</v>
      </c>
      <c r="R299" s="40" t="s">
        <v>1382</v>
      </c>
    </row>
    <row r="300" spans="1:18" x14ac:dyDescent="0.25">
      <c r="A300" s="32" t="s">
        <v>863</v>
      </c>
      <c r="B300" s="33" t="s">
        <v>2031</v>
      </c>
      <c r="C300" s="33" t="s">
        <v>2017</v>
      </c>
      <c r="D300" s="34">
        <f>IF($M300&gt;0,$M300,3.87)</f>
        <v>3.87</v>
      </c>
      <c r="E300" s="34">
        <f>IF($O300&gt;0,$O300,0.05)</f>
        <v>0.05</v>
      </c>
      <c r="F300" s="35">
        <v>1230</v>
      </c>
      <c r="G300" s="33" t="s">
        <v>1379</v>
      </c>
      <c r="H300" s="36" t="str">
        <f>IF($M300&gt;0,IF($L300&lt;&gt;1,$R300,IFERROR(INDEX('JLR Materials'!$D$2:$D$20001,MATCH($K300,'JLR Materials'!$A$2:$A$20001,0)),$R300)),$R300)</f>
        <v>2026-09</v>
      </c>
      <c r="I300" s="36" t="str">
        <f>IF($M300&gt;0,"JLR rate card — material code "&amp;$K300,$Q300)</f>
        <v>UK rubber compounder Jun 2026. Chloroprene/Neoprene — oil/weather-resistant seals, CV boots, hoses, cable sheaths. Shore 60A. Index-anchored 2026-07 refresh. | Refresh 2026-09: +£0.049/kg from 1kg crc £0.668→£0.717/kg; premiums held</v>
      </c>
      <c r="J300" s="33" t="s">
        <v>1380</v>
      </c>
      <c r="K300" s="37" t="str">
        <f>IFERROR(INDEX(Mapping!$C$2:$C$549,MATCH($A300,Mapping!$A$2:$A$549,0)),"")</f>
        <v/>
      </c>
      <c r="L300" s="37">
        <f>IF($K300="",0,COUNTIFS('JLR Materials'!$A$2:$A$20001,$K300,'JLR Materials'!$C$2:$C$20001,IF(Settings!$B$2="","&lt;&gt;",Settings!$B$2),'JLR Materials'!$D$2:$D$20001,IF(Settings!$B$4="","&lt;&gt;",Settings!$B$4)))</f>
        <v>0</v>
      </c>
      <c r="M300" s="38">
        <f>IF($L300&lt;&gt;1,0,SUMIFS('JLR Materials'!$E$2:$E$20001,'JLR Materials'!$A$2:$A$20001,$K300,'JLR Materials'!$C$2:$C$20001,IF(Settings!$B$2="","&lt;&gt;",Settings!$B$2),'JLR Materials'!$D$2:$D$20001,IF(Settings!$B$4="","&lt;&gt;",Settings!$B$4)))</f>
        <v>0</v>
      </c>
      <c r="N300" s="39">
        <f>IF($L300&lt;&gt;1,0,SUMIFS('JLR Materials'!$F$2:$F$20001,'JLR Materials'!$A$2:$A$20001,$K300,'JLR Materials'!$C$2:$C$20001,IF(Settings!$B$2="","&lt;&gt;",Settings!$B$2),'JLR Materials'!$D$2:$D$20001,IF(Settings!$B$4="","&lt;&gt;",Settings!$B$4)))</f>
        <v>0</v>
      </c>
      <c r="O300" s="38">
        <f>IF($N300=0,0,IF(Settings!$B$5="percent",$M300*$N300/100,$N300))</f>
        <v>0</v>
      </c>
      <c r="P300" s="39">
        <f>IF($L300&lt;&gt;1,0,SUMIFS('JLR Materials'!$G$2:$G$20001,'JLR Materials'!$A$2:$A$20001,$K300,'JLR Materials'!$C$2:$C$20001,IF(Settings!$B$2="","&lt;&gt;",Settings!$B$2),'JLR Materials'!$D$2:$D$20001,IF(Settings!$B$4="","&lt;&gt;",Settings!$B$4)))</f>
        <v>0</v>
      </c>
      <c r="Q300" s="40" t="s">
        <v>2032</v>
      </c>
      <c r="R300" s="40" t="s">
        <v>1382</v>
      </c>
    </row>
    <row r="301" spans="1:18" x14ac:dyDescent="0.25">
      <c r="A301" s="32" t="s">
        <v>865</v>
      </c>
      <c r="B301" s="33" t="s">
        <v>2033</v>
      </c>
      <c r="C301" s="33" t="s">
        <v>2017</v>
      </c>
      <c r="D301" s="34">
        <f>IF($M301&gt;0,$M301,5.65)</f>
        <v>5.65</v>
      </c>
      <c r="E301" s="34">
        <f>IF($O301&gt;0,$O301,0.08)</f>
        <v>0.08</v>
      </c>
      <c r="F301" s="35">
        <v>1200</v>
      </c>
      <c r="G301" s="33" t="s">
        <v>1379</v>
      </c>
      <c r="H301" s="36" t="str">
        <f>IF($M301&gt;0,IF($L301&lt;&gt;1,$R301,IFERROR(INDEX('JLR Materials'!$D$2:$D$20001,MATCH($K301,'JLR Materials'!$A$2:$A$20001,0)),$R301)),$R301)</f>
        <v>2026-09</v>
      </c>
      <c r="I301" s="36" t="str">
        <f>IF($M301&gt;0,"JLR rate card — material code "&amp;$K301,$Q301)</f>
        <v>UK rubber compounder Jun 2026. Hydrogenated Nitrile — high-temp oil seals to 150°C+, cam cover gaskets, power steering. Shore 70A. Index-anchored 2026-07 refresh. | Refresh 2026-09: SPECIALTY — no public market index for this grade; held at the June 2026 price — refresh by supplier quote</v>
      </c>
      <c r="J301" s="33" t="s">
        <v>1393</v>
      </c>
      <c r="K301" s="37" t="str">
        <f>IFERROR(INDEX(Mapping!$C$2:$C$549,MATCH($A301,Mapping!$A$2:$A$549,0)),"")</f>
        <v/>
      </c>
      <c r="L301" s="37">
        <f>IF($K301="",0,COUNTIFS('JLR Materials'!$A$2:$A$20001,$K301,'JLR Materials'!$C$2:$C$20001,IF(Settings!$B$2="","&lt;&gt;",Settings!$B$2),'JLR Materials'!$D$2:$D$20001,IF(Settings!$B$4="","&lt;&gt;",Settings!$B$4)))</f>
        <v>0</v>
      </c>
      <c r="M301" s="38">
        <f>IF($L301&lt;&gt;1,0,SUMIFS('JLR Materials'!$E$2:$E$20001,'JLR Materials'!$A$2:$A$20001,$K301,'JLR Materials'!$C$2:$C$20001,IF(Settings!$B$2="","&lt;&gt;",Settings!$B$2),'JLR Materials'!$D$2:$D$20001,IF(Settings!$B$4="","&lt;&gt;",Settings!$B$4)))</f>
        <v>0</v>
      </c>
      <c r="N301" s="39">
        <f>IF($L301&lt;&gt;1,0,SUMIFS('JLR Materials'!$F$2:$F$20001,'JLR Materials'!$A$2:$A$20001,$K301,'JLR Materials'!$C$2:$C$20001,IF(Settings!$B$2="","&lt;&gt;",Settings!$B$2),'JLR Materials'!$D$2:$D$20001,IF(Settings!$B$4="","&lt;&gt;",Settings!$B$4)))</f>
        <v>0</v>
      </c>
      <c r="O301" s="38">
        <f>IF($N301=0,0,IF(Settings!$B$5="percent",$M301*$N301/100,$N301))</f>
        <v>0</v>
      </c>
      <c r="P301" s="39">
        <f>IF($L301&lt;&gt;1,0,SUMIFS('JLR Materials'!$G$2:$G$20001,'JLR Materials'!$A$2:$A$20001,$K301,'JLR Materials'!$C$2:$C$20001,IF(Settings!$B$2="","&lt;&gt;",Settings!$B$2),'JLR Materials'!$D$2:$D$20001,IF(Settings!$B$4="","&lt;&gt;",Settings!$B$4)))</f>
        <v>0</v>
      </c>
      <c r="Q301" s="40" t="s">
        <v>2034</v>
      </c>
      <c r="R301" s="40" t="s">
        <v>1382</v>
      </c>
    </row>
    <row r="302" spans="1:18" x14ac:dyDescent="0.25">
      <c r="A302" s="32" t="s">
        <v>867</v>
      </c>
      <c r="B302" s="33" t="s">
        <v>2035</v>
      </c>
      <c r="C302" s="33" t="s">
        <v>2017</v>
      </c>
      <c r="D302" s="34">
        <f>IF($M302&gt;0,$M302,2.18)</f>
        <v>2.18</v>
      </c>
      <c r="E302" s="34">
        <f>IF($O302&gt;0,$O302,0.03)</f>
        <v>0.03</v>
      </c>
      <c r="F302" s="35">
        <v>920</v>
      </c>
      <c r="G302" s="33" t="s">
        <v>1379</v>
      </c>
      <c r="H302" s="36" t="str">
        <f>IF($M302&gt;0,IF($L302&lt;&gt;1,$R302,IFERROR(INDEX('JLR Materials'!$D$2:$D$20001,MATCH($K302,'JLR Materials'!$A$2:$A$20001,0)),$R302)),$R302)</f>
        <v>2026-09</v>
      </c>
      <c r="I302" s="36" t="str">
        <f>IF($M302&gt;0,"JLR rate card — material code "&amp;$K302,$Q302)</f>
        <v>UK rubber importer Jun 2026. Butyl rubber — excellent gas impermeability, tire inner liners, vibration dampers, membrane seals. Shore 55A. Index-anchored 2026-07 refresh. | Refresh 2026-09: SPECIALTY — no public market index for this grade; held at the June 2026 price — refresh by supplier quote</v>
      </c>
      <c r="J302" s="33" t="s">
        <v>1393</v>
      </c>
      <c r="K302" s="37" t="str">
        <f>IFERROR(INDEX(Mapping!$C$2:$C$549,MATCH($A302,Mapping!$A$2:$A$549,0)),"")</f>
        <v/>
      </c>
      <c r="L302" s="37">
        <f>IF($K302="",0,COUNTIFS('JLR Materials'!$A$2:$A$20001,$K302,'JLR Materials'!$C$2:$C$20001,IF(Settings!$B$2="","&lt;&gt;",Settings!$B$2),'JLR Materials'!$D$2:$D$20001,IF(Settings!$B$4="","&lt;&gt;",Settings!$B$4)))</f>
        <v>0</v>
      </c>
      <c r="M302" s="38">
        <f>IF($L302&lt;&gt;1,0,SUMIFS('JLR Materials'!$E$2:$E$20001,'JLR Materials'!$A$2:$A$20001,$K302,'JLR Materials'!$C$2:$C$20001,IF(Settings!$B$2="","&lt;&gt;",Settings!$B$2),'JLR Materials'!$D$2:$D$20001,IF(Settings!$B$4="","&lt;&gt;",Settings!$B$4)))</f>
        <v>0</v>
      </c>
      <c r="N302" s="39">
        <f>IF($L302&lt;&gt;1,0,SUMIFS('JLR Materials'!$F$2:$F$20001,'JLR Materials'!$A$2:$A$20001,$K302,'JLR Materials'!$C$2:$C$20001,IF(Settings!$B$2="","&lt;&gt;",Settings!$B$2),'JLR Materials'!$D$2:$D$20001,IF(Settings!$B$4="","&lt;&gt;",Settings!$B$4)))</f>
        <v>0</v>
      </c>
      <c r="O302" s="38">
        <f>IF($N302=0,0,IF(Settings!$B$5="percent",$M302*$N302/100,$N302))</f>
        <v>0</v>
      </c>
      <c r="P302" s="39">
        <f>IF($L302&lt;&gt;1,0,SUMIFS('JLR Materials'!$G$2:$G$20001,'JLR Materials'!$A$2:$A$20001,$K302,'JLR Materials'!$C$2:$C$20001,IF(Settings!$B$2="","&lt;&gt;",Settings!$B$2),'JLR Materials'!$D$2:$D$20001,IF(Settings!$B$4="","&lt;&gt;",Settings!$B$4)))</f>
        <v>0</v>
      </c>
      <c r="Q302" s="40" t="s">
        <v>2036</v>
      </c>
      <c r="R302" s="40" t="s">
        <v>1382</v>
      </c>
    </row>
    <row r="303" spans="1:18" x14ac:dyDescent="0.25">
      <c r="A303" s="32" t="s">
        <v>869</v>
      </c>
      <c r="B303" s="33" t="s">
        <v>2037</v>
      </c>
      <c r="C303" s="33" t="s">
        <v>2017</v>
      </c>
      <c r="D303" s="34">
        <f>IF($M303&gt;0,$M303,4.25)</f>
        <v>4.25</v>
      </c>
      <c r="E303" s="34">
        <f>IF($O303&gt;0,$O303,0.1)</f>
        <v>0.1</v>
      </c>
      <c r="F303" s="35">
        <v>1200</v>
      </c>
      <c r="G303" s="33" t="s">
        <v>1379</v>
      </c>
      <c r="H303" s="36" t="str">
        <f>IF($M303&gt;0,IF($L303&lt;&gt;1,$R303,IFERROR(INDEX('JLR Materials'!$D$2:$D$20001,MATCH($K303,'JLR Materials'!$A$2:$A$20001,0)),$R303)),$R303)</f>
        <v>2026-09</v>
      </c>
      <c r="I303" s="36" t="str">
        <f>IF($M303&gt;0,"JLR rate card — material code "&amp;$K303,$Q303)</f>
        <v>UK PU elastomer supplier Jun 2026. Cast/moulded polyurethane — wear-resistant seals, guide bushes, rollers, suspension bump stops. Shore 70A. Index-anchored 2026-07 refresh. | Refresh 2026-09: SPECIALTY — no public market index for this grade; held at the June 2026 price — refresh by supplier quote</v>
      </c>
      <c r="J303" s="33" t="s">
        <v>1380</v>
      </c>
      <c r="K303" s="37" t="str">
        <f>IFERROR(INDEX(Mapping!$C$2:$C$549,MATCH($A303,Mapping!$A$2:$A$549,0)),"")</f>
        <v/>
      </c>
      <c r="L303" s="37">
        <f>IF($K303="",0,COUNTIFS('JLR Materials'!$A$2:$A$20001,$K303,'JLR Materials'!$C$2:$C$20001,IF(Settings!$B$2="","&lt;&gt;",Settings!$B$2),'JLR Materials'!$D$2:$D$20001,IF(Settings!$B$4="","&lt;&gt;",Settings!$B$4)))</f>
        <v>0</v>
      </c>
      <c r="M303" s="38">
        <f>IF($L303&lt;&gt;1,0,SUMIFS('JLR Materials'!$E$2:$E$20001,'JLR Materials'!$A$2:$A$20001,$K303,'JLR Materials'!$C$2:$C$20001,IF(Settings!$B$2="","&lt;&gt;",Settings!$B$2),'JLR Materials'!$D$2:$D$20001,IF(Settings!$B$4="","&lt;&gt;",Settings!$B$4)))</f>
        <v>0</v>
      </c>
      <c r="N303" s="39">
        <f>IF($L303&lt;&gt;1,0,SUMIFS('JLR Materials'!$F$2:$F$20001,'JLR Materials'!$A$2:$A$20001,$K303,'JLR Materials'!$C$2:$C$20001,IF(Settings!$B$2="","&lt;&gt;",Settings!$B$2),'JLR Materials'!$D$2:$D$20001,IF(Settings!$B$4="","&lt;&gt;",Settings!$B$4)))</f>
        <v>0</v>
      </c>
      <c r="O303" s="38">
        <f>IF($N303=0,0,IF(Settings!$B$5="percent",$M303*$N303/100,$N303))</f>
        <v>0</v>
      </c>
      <c r="P303" s="39">
        <f>IF($L303&lt;&gt;1,0,SUMIFS('JLR Materials'!$G$2:$G$20001,'JLR Materials'!$A$2:$A$20001,$K303,'JLR Materials'!$C$2:$C$20001,IF(Settings!$B$2="","&lt;&gt;",Settings!$B$2),'JLR Materials'!$D$2:$D$20001,IF(Settings!$B$4="","&lt;&gt;",Settings!$B$4)))</f>
        <v>0</v>
      </c>
      <c r="Q303" s="40" t="s">
        <v>2038</v>
      </c>
      <c r="R303" s="40" t="s">
        <v>1382</v>
      </c>
    </row>
    <row r="304" spans="1:18" x14ac:dyDescent="0.25">
      <c r="A304" s="32" t="s">
        <v>871</v>
      </c>
      <c r="B304" s="33" t="s">
        <v>2039</v>
      </c>
      <c r="C304" s="33" t="s">
        <v>2017</v>
      </c>
      <c r="D304" s="34">
        <f>IF($M304&gt;0,$M304,34)</f>
        <v>34</v>
      </c>
      <c r="E304" s="34">
        <f>IF($O304&gt;0,$O304,0.15)</f>
        <v>0.15</v>
      </c>
      <c r="F304" s="35">
        <v>1400</v>
      </c>
      <c r="G304" s="33" t="s">
        <v>1379</v>
      </c>
      <c r="H304" s="36" t="str">
        <f>IF($M304&gt;0,IF($L304&lt;&gt;1,$R304,IFERROR(INDEX('JLR Materials'!$D$2:$D$20001,MATCH($K304,'JLR Materials'!$A$2:$A$20001,0)),$R304)),$R304)</f>
        <v>2026-09</v>
      </c>
      <c r="I304" s="36" t="str">
        <f>IF($M304&gt;0,"JLR rate card — material code "&amp;$K304,$Q304)</f>
        <v>Index-anchored 2026-07. Fluorosilicone — fuel/oil resistance with silicone low-temp flexibility; aerospace/fuel-system seals. Shore 60A. | Refresh 2026-09: SPECIALTY — no public market index for this grade; held at the June 2026 price — refresh by supplier quote</v>
      </c>
      <c r="J304" s="33" t="s">
        <v>1393</v>
      </c>
      <c r="K304" s="37" t="str">
        <f>IFERROR(INDEX(Mapping!$C$2:$C$549,MATCH($A304,Mapping!$A$2:$A$549,0)),"")</f>
        <v/>
      </c>
      <c r="L304" s="37">
        <f>IF($K304="",0,COUNTIFS('JLR Materials'!$A$2:$A$20001,$K304,'JLR Materials'!$C$2:$C$20001,IF(Settings!$B$2="","&lt;&gt;",Settings!$B$2),'JLR Materials'!$D$2:$D$20001,IF(Settings!$B$4="","&lt;&gt;",Settings!$B$4)))</f>
        <v>0</v>
      </c>
      <c r="M304" s="38">
        <f>IF($L304&lt;&gt;1,0,SUMIFS('JLR Materials'!$E$2:$E$20001,'JLR Materials'!$A$2:$A$20001,$K304,'JLR Materials'!$C$2:$C$20001,IF(Settings!$B$2="","&lt;&gt;",Settings!$B$2),'JLR Materials'!$D$2:$D$20001,IF(Settings!$B$4="","&lt;&gt;",Settings!$B$4)))</f>
        <v>0</v>
      </c>
      <c r="N304" s="39">
        <f>IF($L304&lt;&gt;1,0,SUMIFS('JLR Materials'!$F$2:$F$20001,'JLR Materials'!$A$2:$A$20001,$K304,'JLR Materials'!$C$2:$C$20001,IF(Settings!$B$2="","&lt;&gt;",Settings!$B$2),'JLR Materials'!$D$2:$D$20001,IF(Settings!$B$4="","&lt;&gt;",Settings!$B$4)))</f>
        <v>0</v>
      </c>
      <c r="O304" s="38">
        <f>IF($N304=0,0,IF(Settings!$B$5="percent",$M304*$N304/100,$N304))</f>
        <v>0</v>
      </c>
      <c r="P304" s="39">
        <f>IF($L304&lt;&gt;1,0,SUMIFS('JLR Materials'!$G$2:$G$20001,'JLR Materials'!$A$2:$A$20001,$K304,'JLR Materials'!$C$2:$C$20001,IF(Settings!$B$2="","&lt;&gt;",Settings!$B$2),'JLR Materials'!$D$2:$D$20001,IF(Settings!$B$4="","&lt;&gt;",Settings!$B$4)))</f>
        <v>0</v>
      </c>
      <c r="Q304" s="40" t="s">
        <v>2040</v>
      </c>
      <c r="R304" s="40" t="s">
        <v>1382</v>
      </c>
    </row>
    <row r="305" spans="1:18" x14ac:dyDescent="0.25">
      <c r="A305" s="32" t="s">
        <v>873</v>
      </c>
      <c r="B305" s="33" t="s">
        <v>2041</v>
      </c>
      <c r="C305" s="33" t="s">
        <v>2017</v>
      </c>
      <c r="D305" s="34">
        <f>IF($M305&gt;0,$M305,6.8)</f>
        <v>6.8</v>
      </c>
      <c r="E305" s="34">
        <f>IF($O305&gt;0,$O305,0.08)</f>
        <v>0.08</v>
      </c>
      <c r="F305" s="35">
        <v>1250</v>
      </c>
      <c r="G305" s="33" t="s">
        <v>1379</v>
      </c>
      <c r="H305" s="36" t="str">
        <f>IF($M305&gt;0,IF($L305&lt;&gt;1,$R305,IFERROR(INDEX('JLR Materials'!$D$2:$D$20001,MATCH($K305,'JLR Materials'!$A$2:$A$20001,0)),$R305)),$R305)</f>
        <v>2026-09</v>
      </c>
      <c r="I305" s="36" t="str">
        <f>IF($M305&gt;0,"JLR rate card — material code "&amp;$K305,$Q305)</f>
        <v>Index-anchored 2026-07. Polyacrylate — hot-oil transmission/engine seals to ~150°C, better than NBR. Shore 70A. | Refresh 2026-09: SPECIALTY — no public market index for this grade; held at the June 2026 price — refresh by supplier quote</v>
      </c>
      <c r="J305" s="33" t="s">
        <v>1393</v>
      </c>
      <c r="K305" s="37" t="str">
        <f>IFERROR(INDEX(Mapping!$C$2:$C$549,MATCH($A305,Mapping!$A$2:$A$549,0)),"")</f>
        <v/>
      </c>
      <c r="L305" s="37">
        <f>IF($K305="",0,COUNTIFS('JLR Materials'!$A$2:$A$20001,$K305,'JLR Materials'!$C$2:$C$20001,IF(Settings!$B$2="","&lt;&gt;",Settings!$B$2),'JLR Materials'!$D$2:$D$20001,IF(Settings!$B$4="","&lt;&gt;",Settings!$B$4)))</f>
        <v>0</v>
      </c>
      <c r="M305" s="38">
        <f>IF($L305&lt;&gt;1,0,SUMIFS('JLR Materials'!$E$2:$E$20001,'JLR Materials'!$A$2:$A$20001,$K305,'JLR Materials'!$C$2:$C$20001,IF(Settings!$B$2="","&lt;&gt;",Settings!$B$2),'JLR Materials'!$D$2:$D$20001,IF(Settings!$B$4="","&lt;&gt;",Settings!$B$4)))</f>
        <v>0</v>
      </c>
      <c r="N305" s="39">
        <f>IF($L305&lt;&gt;1,0,SUMIFS('JLR Materials'!$F$2:$F$20001,'JLR Materials'!$A$2:$A$20001,$K305,'JLR Materials'!$C$2:$C$20001,IF(Settings!$B$2="","&lt;&gt;",Settings!$B$2),'JLR Materials'!$D$2:$D$20001,IF(Settings!$B$4="","&lt;&gt;",Settings!$B$4)))</f>
        <v>0</v>
      </c>
      <c r="O305" s="38">
        <f>IF($N305=0,0,IF(Settings!$B$5="percent",$M305*$N305/100,$N305))</f>
        <v>0</v>
      </c>
      <c r="P305" s="39">
        <f>IF($L305&lt;&gt;1,0,SUMIFS('JLR Materials'!$G$2:$G$20001,'JLR Materials'!$A$2:$A$20001,$K305,'JLR Materials'!$C$2:$C$20001,IF(Settings!$B$2="","&lt;&gt;",Settings!$B$2),'JLR Materials'!$D$2:$D$20001,IF(Settings!$B$4="","&lt;&gt;",Settings!$B$4)))</f>
        <v>0</v>
      </c>
      <c r="Q305" s="40" t="s">
        <v>2042</v>
      </c>
      <c r="R305" s="40" t="s">
        <v>1382</v>
      </c>
    </row>
    <row r="306" spans="1:18" x14ac:dyDescent="0.25">
      <c r="A306" s="32" t="s">
        <v>875</v>
      </c>
      <c r="B306" s="33" t="s">
        <v>2043</v>
      </c>
      <c r="C306" s="33" t="s">
        <v>2017</v>
      </c>
      <c r="D306" s="34">
        <f>IF($M306&gt;0,$M306,9.5)</f>
        <v>9.5</v>
      </c>
      <c r="E306" s="34">
        <f>IF($O306&gt;0,$O306,0.1)</f>
        <v>0.1</v>
      </c>
      <c r="F306" s="35">
        <v>1300</v>
      </c>
      <c r="G306" s="33" t="s">
        <v>1379</v>
      </c>
      <c r="H306" s="36" t="str">
        <f>IF($M306&gt;0,IF($L306&lt;&gt;1,$R306,IFERROR(INDEX('JLR Materials'!$D$2:$D$20001,MATCH($K306,'JLR Materials'!$A$2:$A$20001,0)),$R306)),$R306)</f>
        <v>2026-09</v>
      </c>
      <c r="I306" s="36" t="str">
        <f>IF($M306&gt;0,"JLR rate card — material code "&amp;$K306,$Q306)</f>
        <v>Index-anchored 2026-07. Ethylene-acrylic — automotive hoses, boots, seals; heat + oil + weather resistance. Shore 60A. | Refresh 2026-09: SPECIALTY — no public market index for this grade; held at the June 2026 price — refresh by supplier quote</v>
      </c>
      <c r="J306" s="33" t="s">
        <v>1393</v>
      </c>
      <c r="K306" s="37" t="str">
        <f>IFERROR(INDEX(Mapping!$C$2:$C$549,MATCH($A306,Mapping!$A$2:$A$549,0)),"")</f>
        <v/>
      </c>
      <c r="L306" s="37">
        <f>IF($K306="",0,COUNTIFS('JLR Materials'!$A$2:$A$20001,$K306,'JLR Materials'!$C$2:$C$20001,IF(Settings!$B$2="","&lt;&gt;",Settings!$B$2),'JLR Materials'!$D$2:$D$20001,IF(Settings!$B$4="","&lt;&gt;",Settings!$B$4)))</f>
        <v>0</v>
      </c>
      <c r="M306" s="38">
        <f>IF($L306&lt;&gt;1,0,SUMIFS('JLR Materials'!$E$2:$E$20001,'JLR Materials'!$A$2:$A$20001,$K306,'JLR Materials'!$C$2:$C$20001,IF(Settings!$B$2="","&lt;&gt;",Settings!$B$2),'JLR Materials'!$D$2:$D$20001,IF(Settings!$B$4="","&lt;&gt;",Settings!$B$4)))</f>
        <v>0</v>
      </c>
      <c r="N306" s="39">
        <f>IF($L306&lt;&gt;1,0,SUMIFS('JLR Materials'!$F$2:$F$20001,'JLR Materials'!$A$2:$A$20001,$K306,'JLR Materials'!$C$2:$C$20001,IF(Settings!$B$2="","&lt;&gt;",Settings!$B$2),'JLR Materials'!$D$2:$D$20001,IF(Settings!$B$4="","&lt;&gt;",Settings!$B$4)))</f>
        <v>0</v>
      </c>
      <c r="O306" s="38">
        <f>IF($N306=0,0,IF(Settings!$B$5="percent",$M306*$N306/100,$N306))</f>
        <v>0</v>
      </c>
      <c r="P306" s="39">
        <f>IF($L306&lt;&gt;1,0,SUMIFS('JLR Materials'!$G$2:$G$20001,'JLR Materials'!$A$2:$A$20001,$K306,'JLR Materials'!$C$2:$C$20001,IF(Settings!$B$2="","&lt;&gt;",Settings!$B$2),'JLR Materials'!$D$2:$D$20001,IF(Settings!$B$4="","&lt;&gt;",Settings!$B$4)))</f>
        <v>0</v>
      </c>
      <c r="Q306" s="40" t="s">
        <v>2044</v>
      </c>
      <c r="R306" s="40" t="s">
        <v>1382</v>
      </c>
    </row>
    <row r="307" spans="1:18" x14ac:dyDescent="0.25">
      <c r="A307" s="32" t="s">
        <v>877</v>
      </c>
      <c r="B307" s="33" t="s">
        <v>2045</v>
      </c>
      <c r="C307" s="33" t="s">
        <v>2017</v>
      </c>
      <c r="D307" s="34">
        <f>IF($M307&gt;0,$M307,5.9)</f>
        <v>5.9</v>
      </c>
      <c r="E307" s="34">
        <f>IF($O307&gt;0,$O307,0.08)</f>
        <v>0.08</v>
      </c>
      <c r="F307" s="35">
        <v>1300</v>
      </c>
      <c r="G307" s="33" t="s">
        <v>1379</v>
      </c>
      <c r="H307" s="36" t="str">
        <f>IF($M307&gt;0,IF($L307&lt;&gt;1,$R307,IFERROR(INDEX('JLR Materials'!$D$2:$D$20001,MATCH($K307,'JLR Materials'!$A$2:$A$20001,0)),$R307)),$R307)</f>
        <v>2026-09</v>
      </c>
      <c r="I307" s="36" t="str">
        <f>IF($M307&gt;0,"JLR rate card — material code "&amp;$K307,$Q307)</f>
        <v>Index-anchored 2026-07. Epichlorohydrin — fuel hoses, diaphragms; excellent fuel/ozone resistance and low permeability. Shore 65A. | Refresh 2026-09: SPECIALTY — no public market index for this grade; held at the June 2026 price — refresh by supplier quote</v>
      </c>
      <c r="J307" s="33" t="s">
        <v>1393</v>
      </c>
      <c r="K307" s="37" t="str">
        <f>IFERROR(INDEX(Mapping!$C$2:$C$549,MATCH($A307,Mapping!$A$2:$A$549,0)),"")</f>
        <v/>
      </c>
      <c r="L307" s="37">
        <f>IF($K307="",0,COUNTIFS('JLR Materials'!$A$2:$A$20001,$K307,'JLR Materials'!$C$2:$C$20001,IF(Settings!$B$2="","&lt;&gt;",Settings!$B$2),'JLR Materials'!$D$2:$D$20001,IF(Settings!$B$4="","&lt;&gt;",Settings!$B$4)))</f>
        <v>0</v>
      </c>
      <c r="M307" s="38">
        <f>IF($L307&lt;&gt;1,0,SUMIFS('JLR Materials'!$E$2:$E$20001,'JLR Materials'!$A$2:$A$20001,$K307,'JLR Materials'!$C$2:$C$20001,IF(Settings!$B$2="","&lt;&gt;",Settings!$B$2),'JLR Materials'!$D$2:$D$20001,IF(Settings!$B$4="","&lt;&gt;",Settings!$B$4)))</f>
        <v>0</v>
      </c>
      <c r="N307" s="39">
        <f>IF($L307&lt;&gt;1,0,SUMIFS('JLR Materials'!$F$2:$F$20001,'JLR Materials'!$A$2:$A$20001,$K307,'JLR Materials'!$C$2:$C$20001,IF(Settings!$B$2="","&lt;&gt;",Settings!$B$2),'JLR Materials'!$D$2:$D$20001,IF(Settings!$B$4="","&lt;&gt;",Settings!$B$4)))</f>
        <v>0</v>
      </c>
      <c r="O307" s="38">
        <f>IF($N307=0,0,IF(Settings!$B$5="percent",$M307*$N307/100,$N307))</f>
        <v>0</v>
      </c>
      <c r="P307" s="39">
        <f>IF($L307&lt;&gt;1,0,SUMIFS('JLR Materials'!$G$2:$G$20001,'JLR Materials'!$A$2:$A$20001,$K307,'JLR Materials'!$C$2:$C$20001,IF(Settings!$B$2="","&lt;&gt;",Settings!$B$2),'JLR Materials'!$D$2:$D$20001,IF(Settings!$B$4="","&lt;&gt;",Settings!$B$4)))</f>
        <v>0</v>
      </c>
      <c r="Q307" s="40" t="s">
        <v>2046</v>
      </c>
      <c r="R307" s="40" t="s">
        <v>1382</v>
      </c>
    </row>
    <row r="308" spans="1:18" x14ac:dyDescent="0.25">
      <c r="A308" s="32" t="s">
        <v>879</v>
      </c>
      <c r="B308" s="33" t="s">
        <v>2047</v>
      </c>
      <c r="C308" s="33" t="s">
        <v>2017</v>
      </c>
      <c r="D308" s="34">
        <f>IF($M308&gt;0,$M308,6.2)</f>
        <v>6.2</v>
      </c>
      <c r="E308" s="34">
        <f>IF($O308&gt;0,$O308,0.08)</f>
        <v>0.08</v>
      </c>
      <c r="F308" s="35">
        <v>1500</v>
      </c>
      <c r="G308" s="33" t="s">
        <v>1379</v>
      </c>
      <c r="H308" s="36" t="str">
        <f>IF($M308&gt;0,IF($L308&lt;&gt;1,$R308,IFERROR(INDEX('JLR Materials'!$D$2:$D$20001,MATCH($K308,'JLR Materials'!$A$2:$A$20001,0)),$R308)),$R308)</f>
        <v>2026-09</v>
      </c>
      <c r="I308" s="36" t="str">
        <f>IF($M308&gt;0,"JLR rate card — material code "&amp;$K308,$Q308)</f>
        <v>Index-anchored 2026-07. Chlorosulphonated PE — chemical/weather/ozone-resistant seals, roofing, cable jackets. Shore 65A. | Refresh 2026-09: SPECIALTY — no public market index for this grade; held at the June 2026 price — refresh by supplier quote</v>
      </c>
      <c r="J308" s="33" t="s">
        <v>1393</v>
      </c>
      <c r="K308" s="37" t="str">
        <f>IFERROR(INDEX(Mapping!$C$2:$C$549,MATCH($A308,Mapping!$A$2:$A$549,0)),"")</f>
        <v/>
      </c>
      <c r="L308" s="37">
        <f>IF($K308="",0,COUNTIFS('JLR Materials'!$A$2:$A$20001,$K308,'JLR Materials'!$C$2:$C$20001,IF(Settings!$B$2="","&lt;&gt;",Settings!$B$2),'JLR Materials'!$D$2:$D$20001,IF(Settings!$B$4="","&lt;&gt;",Settings!$B$4)))</f>
        <v>0</v>
      </c>
      <c r="M308" s="38">
        <f>IF($L308&lt;&gt;1,0,SUMIFS('JLR Materials'!$E$2:$E$20001,'JLR Materials'!$A$2:$A$20001,$K308,'JLR Materials'!$C$2:$C$20001,IF(Settings!$B$2="","&lt;&gt;",Settings!$B$2),'JLR Materials'!$D$2:$D$20001,IF(Settings!$B$4="","&lt;&gt;",Settings!$B$4)))</f>
        <v>0</v>
      </c>
      <c r="N308" s="39">
        <f>IF($L308&lt;&gt;1,0,SUMIFS('JLR Materials'!$F$2:$F$20001,'JLR Materials'!$A$2:$A$20001,$K308,'JLR Materials'!$C$2:$C$20001,IF(Settings!$B$2="","&lt;&gt;",Settings!$B$2),'JLR Materials'!$D$2:$D$20001,IF(Settings!$B$4="","&lt;&gt;",Settings!$B$4)))</f>
        <v>0</v>
      </c>
      <c r="O308" s="38">
        <f>IF($N308=0,0,IF(Settings!$B$5="percent",$M308*$N308/100,$N308))</f>
        <v>0</v>
      </c>
      <c r="P308" s="39">
        <f>IF($L308&lt;&gt;1,0,SUMIFS('JLR Materials'!$G$2:$G$20001,'JLR Materials'!$A$2:$A$20001,$K308,'JLR Materials'!$C$2:$C$20001,IF(Settings!$B$2="","&lt;&gt;",Settings!$B$2),'JLR Materials'!$D$2:$D$20001,IF(Settings!$B$4="","&lt;&gt;",Settings!$B$4)))</f>
        <v>0</v>
      </c>
      <c r="Q308" s="40" t="s">
        <v>2048</v>
      </c>
      <c r="R308" s="40" t="s">
        <v>1382</v>
      </c>
    </row>
    <row r="309" spans="1:18" x14ac:dyDescent="0.25">
      <c r="A309" s="32" t="s">
        <v>881</v>
      </c>
      <c r="B309" s="33" t="s">
        <v>2049</v>
      </c>
      <c r="C309" s="33" t="s">
        <v>2017</v>
      </c>
      <c r="D309" s="34">
        <f>IF($M309&gt;0,$M309,1.75)</f>
        <v>1.75</v>
      </c>
      <c r="E309" s="34">
        <f>IF($O309&gt;0,$O309,0.04)</f>
        <v>0.04</v>
      </c>
      <c r="F309" s="35">
        <v>1000</v>
      </c>
      <c r="G309" s="33" t="s">
        <v>1379</v>
      </c>
      <c r="H309" s="36" t="str">
        <f>IF($M309&gt;0,IF($L309&lt;&gt;1,$R309,IFERROR(INDEX('JLR Materials'!$D$2:$D$20001,MATCH($K309,'JLR Materials'!$A$2:$A$20001,0)),$R309)),$R309)</f>
        <v>2026-09</v>
      </c>
      <c r="I309" s="36" t="str">
        <f>IF($M309&gt;0,"JLR rate card — material code "&amp;$K309,$Q309)</f>
        <v>Index-anchored 2026-07. High-cis polybutadiene — blended with NR/SBR for abrasion resistance &amp; low rolling resistance; tyres, anti-vibration, rollers. Shore 60A. | Refresh 2026-09: NOT SOURCED — butadiene, carbonblack: Not sourced this period: synthetic rubber moves were weekly and mixed (ERJ, w/e 23 Sep 2026: SBR −2.3%, EPDM −1%, NBR +1%); no June→Sep level. Held at the June 2026 price.</v>
      </c>
      <c r="J309" s="33" t="s">
        <v>1380</v>
      </c>
      <c r="K309" s="37" t="str">
        <f>IFERROR(INDEX(Mapping!$C$2:$C$549,MATCH($A309,Mapping!$A$2:$A$549,0)),"")</f>
        <v/>
      </c>
      <c r="L309" s="37">
        <f>IF($K309="",0,COUNTIFS('JLR Materials'!$A$2:$A$20001,$K309,'JLR Materials'!$C$2:$C$20001,IF(Settings!$B$2="","&lt;&gt;",Settings!$B$2),'JLR Materials'!$D$2:$D$20001,IF(Settings!$B$4="","&lt;&gt;",Settings!$B$4)))</f>
        <v>0</v>
      </c>
      <c r="M309" s="38">
        <f>IF($L309&lt;&gt;1,0,SUMIFS('JLR Materials'!$E$2:$E$20001,'JLR Materials'!$A$2:$A$20001,$K309,'JLR Materials'!$C$2:$C$20001,IF(Settings!$B$2="","&lt;&gt;",Settings!$B$2),'JLR Materials'!$D$2:$D$20001,IF(Settings!$B$4="","&lt;&gt;",Settings!$B$4)))</f>
        <v>0</v>
      </c>
      <c r="N309" s="39">
        <f>IF($L309&lt;&gt;1,0,SUMIFS('JLR Materials'!$F$2:$F$20001,'JLR Materials'!$A$2:$A$20001,$K309,'JLR Materials'!$C$2:$C$20001,IF(Settings!$B$2="","&lt;&gt;",Settings!$B$2),'JLR Materials'!$D$2:$D$20001,IF(Settings!$B$4="","&lt;&gt;",Settings!$B$4)))</f>
        <v>0</v>
      </c>
      <c r="O309" s="38">
        <f>IF($N309=0,0,IF(Settings!$B$5="percent",$M309*$N309/100,$N309))</f>
        <v>0</v>
      </c>
      <c r="P309" s="39">
        <f>IF($L309&lt;&gt;1,0,SUMIFS('JLR Materials'!$G$2:$G$20001,'JLR Materials'!$A$2:$A$20001,$K309,'JLR Materials'!$C$2:$C$20001,IF(Settings!$B$2="","&lt;&gt;",Settings!$B$2),'JLR Materials'!$D$2:$D$20001,IF(Settings!$B$4="","&lt;&gt;",Settings!$B$4)))</f>
        <v>0</v>
      </c>
      <c r="Q309" s="40" t="s">
        <v>2050</v>
      </c>
      <c r="R309" s="40" t="s">
        <v>1382</v>
      </c>
    </row>
    <row r="310" spans="1:18" x14ac:dyDescent="0.25">
      <c r="A310" s="32" t="s">
        <v>883</v>
      </c>
      <c r="B310" s="33" t="s">
        <v>2051</v>
      </c>
      <c r="C310" s="33" t="s">
        <v>2017</v>
      </c>
      <c r="D310" s="34">
        <f>IF($M310&gt;0,$M310,2.85)</f>
        <v>2.85</v>
      </c>
      <c r="E310" s="34">
        <f>IF($O310&gt;0,$O310,0.04)</f>
        <v>0.04</v>
      </c>
      <c r="F310" s="35">
        <v>930</v>
      </c>
      <c r="G310" s="33" t="s">
        <v>1379</v>
      </c>
      <c r="H310" s="36" t="str">
        <f>IF($M310&gt;0,IF($L310&lt;&gt;1,$R310,IFERROR(INDEX('JLR Materials'!$D$2:$D$20001,MATCH($K310,'JLR Materials'!$A$2:$A$20001,0)),$R310)),$R310)</f>
        <v>2026-09</v>
      </c>
      <c r="I310" s="36" t="str">
        <f>IF($M310&gt;0,"JLR rate card — material code "&amp;$K310,$Q310)</f>
        <v>Index-anchored 2026-07. Brominated butyl — tyre inner liners, pharma closures/stoppers, curing bladders; low permeability + faster cure than plain IIR. Shore 50A. | Refresh 2026-09: SPECIALTY — no public market index for this grade; held at the June 2026 price — refresh by supplier quote</v>
      </c>
      <c r="J310" s="33" t="s">
        <v>1393</v>
      </c>
      <c r="K310" s="37" t="str">
        <f>IFERROR(INDEX(Mapping!$C$2:$C$549,MATCH($A310,Mapping!$A$2:$A$549,0)),"")</f>
        <v/>
      </c>
      <c r="L310" s="37">
        <f>IF($K310="",0,COUNTIFS('JLR Materials'!$A$2:$A$20001,$K310,'JLR Materials'!$C$2:$C$20001,IF(Settings!$B$2="","&lt;&gt;",Settings!$B$2),'JLR Materials'!$D$2:$D$20001,IF(Settings!$B$4="","&lt;&gt;",Settings!$B$4)))</f>
        <v>0</v>
      </c>
      <c r="M310" s="38">
        <f>IF($L310&lt;&gt;1,0,SUMIFS('JLR Materials'!$E$2:$E$20001,'JLR Materials'!$A$2:$A$20001,$K310,'JLR Materials'!$C$2:$C$20001,IF(Settings!$B$2="","&lt;&gt;",Settings!$B$2),'JLR Materials'!$D$2:$D$20001,IF(Settings!$B$4="","&lt;&gt;",Settings!$B$4)))</f>
        <v>0</v>
      </c>
      <c r="N310" s="39">
        <f>IF($L310&lt;&gt;1,0,SUMIFS('JLR Materials'!$F$2:$F$20001,'JLR Materials'!$A$2:$A$20001,$K310,'JLR Materials'!$C$2:$C$20001,IF(Settings!$B$2="","&lt;&gt;",Settings!$B$2),'JLR Materials'!$D$2:$D$20001,IF(Settings!$B$4="","&lt;&gt;",Settings!$B$4)))</f>
        <v>0</v>
      </c>
      <c r="O310" s="38">
        <f>IF($N310=0,0,IF(Settings!$B$5="percent",$M310*$N310/100,$N310))</f>
        <v>0</v>
      </c>
      <c r="P310" s="39">
        <f>IF($L310&lt;&gt;1,0,SUMIFS('JLR Materials'!$G$2:$G$20001,'JLR Materials'!$A$2:$A$20001,$K310,'JLR Materials'!$C$2:$C$20001,IF(Settings!$B$2="","&lt;&gt;",Settings!$B$2),'JLR Materials'!$D$2:$D$20001,IF(Settings!$B$4="","&lt;&gt;",Settings!$B$4)))</f>
        <v>0</v>
      </c>
      <c r="Q310" s="40" t="s">
        <v>2052</v>
      </c>
      <c r="R310" s="40" t="s">
        <v>1382</v>
      </c>
    </row>
    <row r="311" spans="1:18" x14ac:dyDescent="0.25">
      <c r="A311" s="32" t="s">
        <v>885</v>
      </c>
      <c r="B311" s="33" t="s">
        <v>2053</v>
      </c>
      <c r="C311" s="33" t="s">
        <v>2017</v>
      </c>
      <c r="D311" s="34">
        <f>IF($M311&gt;0,$M311,2.75)</f>
        <v>2.75</v>
      </c>
      <c r="E311" s="34">
        <f>IF($O311&gt;0,$O311,0.04)</f>
        <v>0.04</v>
      </c>
      <c r="F311" s="35">
        <v>930</v>
      </c>
      <c r="G311" s="33" t="s">
        <v>1379</v>
      </c>
      <c r="H311" s="36" t="str">
        <f>IF($M311&gt;0,IF($L311&lt;&gt;1,$R311,IFERROR(INDEX('JLR Materials'!$D$2:$D$20001,MATCH($K311,'JLR Materials'!$A$2:$A$20001,0)),$R311)),$R311)</f>
        <v>2026-09</v>
      </c>
      <c r="I311" s="36" t="str">
        <f>IF($M311&gt;0,"JLR rate card — material code "&amp;$K311,$Q311)</f>
        <v>Index-anchored 2026-07. Chlorinated butyl — tyre inner liners, pharma stoppers, heat-resistant seals; co-vulcanisable with diene rubbers. Shore 55A. | Refresh 2026-09: SPECIALTY — no public market index for this grade; held at the June 2026 price — refresh by supplier quote</v>
      </c>
      <c r="J311" s="33" t="s">
        <v>1393</v>
      </c>
      <c r="K311" s="37" t="str">
        <f>IFERROR(INDEX(Mapping!$C$2:$C$549,MATCH($A311,Mapping!$A$2:$A$549,0)),"")</f>
        <v/>
      </c>
      <c r="L311" s="37">
        <f>IF($K311="",0,COUNTIFS('JLR Materials'!$A$2:$A$20001,$K311,'JLR Materials'!$C$2:$C$20001,IF(Settings!$B$2="","&lt;&gt;",Settings!$B$2),'JLR Materials'!$D$2:$D$20001,IF(Settings!$B$4="","&lt;&gt;",Settings!$B$4)))</f>
        <v>0</v>
      </c>
      <c r="M311" s="38">
        <f>IF($L311&lt;&gt;1,0,SUMIFS('JLR Materials'!$E$2:$E$20001,'JLR Materials'!$A$2:$A$20001,$K311,'JLR Materials'!$C$2:$C$20001,IF(Settings!$B$2="","&lt;&gt;",Settings!$B$2),'JLR Materials'!$D$2:$D$20001,IF(Settings!$B$4="","&lt;&gt;",Settings!$B$4)))</f>
        <v>0</v>
      </c>
      <c r="N311" s="39">
        <f>IF($L311&lt;&gt;1,0,SUMIFS('JLR Materials'!$F$2:$F$20001,'JLR Materials'!$A$2:$A$20001,$K311,'JLR Materials'!$C$2:$C$20001,IF(Settings!$B$2="","&lt;&gt;",Settings!$B$2),'JLR Materials'!$D$2:$D$20001,IF(Settings!$B$4="","&lt;&gt;",Settings!$B$4)))</f>
        <v>0</v>
      </c>
      <c r="O311" s="38">
        <f>IF($N311=0,0,IF(Settings!$B$5="percent",$M311*$N311/100,$N311))</f>
        <v>0</v>
      </c>
      <c r="P311" s="39">
        <f>IF($L311&lt;&gt;1,0,SUMIFS('JLR Materials'!$G$2:$G$20001,'JLR Materials'!$A$2:$A$20001,$K311,'JLR Materials'!$C$2:$C$20001,IF(Settings!$B$2="","&lt;&gt;",Settings!$B$2),'JLR Materials'!$D$2:$D$20001,IF(Settings!$B$4="","&lt;&gt;",Settings!$B$4)))</f>
        <v>0</v>
      </c>
      <c r="Q311" s="40" t="s">
        <v>2054</v>
      </c>
      <c r="R311" s="40" t="s">
        <v>1382</v>
      </c>
    </row>
    <row r="312" spans="1:18" x14ac:dyDescent="0.25">
      <c r="A312" s="32" t="s">
        <v>887</v>
      </c>
      <c r="B312" s="33" t="s">
        <v>2055</v>
      </c>
      <c r="C312" s="33" t="s">
        <v>2017</v>
      </c>
      <c r="D312" s="34">
        <f>IF($M312&gt;0,$M312,320)</f>
        <v>320</v>
      </c>
      <c r="E312" s="34">
        <f>IF($O312&gt;0,$O312,0)</f>
        <v>0</v>
      </c>
      <c r="F312" s="35">
        <v>2010</v>
      </c>
      <c r="G312" s="33" t="s">
        <v>1379</v>
      </c>
      <c r="H312" s="36" t="str">
        <f>IF($M312&gt;0,IF($L312&lt;&gt;1,$R312,IFERROR(INDEX('JLR Materials'!$D$2:$D$20001,MATCH($K312,'JLR Materials'!$A$2:$A$20001,0)),$R312)),$R312)</f>
        <v>2026-09</v>
      </c>
      <c r="I312" s="36" t="str">
        <f>IF($M312&gt;0,"JLR rate card — material code "&amp;$K312,$Q312)</f>
        <v>Index-anchored 2026-07. Perfluoroelastomer — extreme chemical + &gt;300°C seals for semicon, aerospace, oil&amp;gas; the highest-cost elastomer, tiny O-rings. Shore 75A. | Refresh 2026-09: SPECIALTY — no public market index for this grade; held at the June 2026 price — refresh by supplier quote</v>
      </c>
      <c r="J312" s="33" t="s">
        <v>1393</v>
      </c>
      <c r="K312" s="37" t="str">
        <f>IFERROR(INDEX(Mapping!$C$2:$C$549,MATCH($A312,Mapping!$A$2:$A$549,0)),"")</f>
        <v/>
      </c>
      <c r="L312" s="37">
        <f>IF($K312="",0,COUNTIFS('JLR Materials'!$A$2:$A$20001,$K312,'JLR Materials'!$C$2:$C$20001,IF(Settings!$B$2="","&lt;&gt;",Settings!$B$2),'JLR Materials'!$D$2:$D$20001,IF(Settings!$B$4="","&lt;&gt;",Settings!$B$4)))</f>
        <v>0</v>
      </c>
      <c r="M312" s="38">
        <f>IF($L312&lt;&gt;1,0,SUMIFS('JLR Materials'!$E$2:$E$20001,'JLR Materials'!$A$2:$A$20001,$K312,'JLR Materials'!$C$2:$C$20001,IF(Settings!$B$2="","&lt;&gt;",Settings!$B$2),'JLR Materials'!$D$2:$D$20001,IF(Settings!$B$4="","&lt;&gt;",Settings!$B$4)))</f>
        <v>0</v>
      </c>
      <c r="N312" s="39">
        <f>IF($L312&lt;&gt;1,0,SUMIFS('JLR Materials'!$F$2:$F$20001,'JLR Materials'!$A$2:$A$20001,$K312,'JLR Materials'!$C$2:$C$20001,IF(Settings!$B$2="","&lt;&gt;",Settings!$B$2),'JLR Materials'!$D$2:$D$20001,IF(Settings!$B$4="","&lt;&gt;",Settings!$B$4)))</f>
        <v>0</v>
      </c>
      <c r="O312" s="38">
        <f>IF($N312=0,0,IF(Settings!$B$5="percent",$M312*$N312/100,$N312))</f>
        <v>0</v>
      </c>
      <c r="P312" s="39">
        <f>IF($L312&lt;&gt;1,0,SUMIFS('JLR Materials'!$G$2:$G$20001,'JLR Materials'!$A$2:$A$20001,$K312,'JLR Materials'!$C$2:$C$20001,IF(Settings!$B$2="","&lt;&gt;",Settings!$B$2),'JLR Materials'!$D$2:$D$20001,IF(Settings!$B$4="","&lt;&gt;",Settings!$B$4)))</f>
        <v>0</v>
      </c>
      <c r="Q312" s="40" t="s">
        <v>2056</v>
      </c>
      <c r="R312" s="40" t="s">
        <v>1382</v>
      </c>
    </row>
    <row r="313" spans="1:18" x14ac:dyDescent="0.25">
      <c r="A313" s="32" t="s">
        <v>889</v>
      </c>
      <c r="B313" s="33" t="s">
        <v>2057</v>
      </c>
      <c r="C313" s="33" t="s">
        <v>2017</v>
      </c>
      <c r="D313" s="34">
        <f>IF($M313&gt;0,$M313,2.55)</f>
        <v>2.55</v>
      </c>
      <c r="E313" s="34">
        <f>IF($O313&gt;0,$O313,0.05)</f>
        <v>0.05</v>
      </c>
      <c r="F313" s="35">
        <v>1250</v>
      </c>
      <c r="G313" s="33" t="s">
        <v>1379</v>
      </c>
      <c r="H313" s="36" t="str">
        <f>IF($M313&gt;0,IF($L313&lt;&gt;1,$R313,IFERROR(INDEX('JLR Materials'!$D$2:$D$20001,MATCH($K313,'JLR Materials'!$A$2:$A$20001,0)),$R313)),$R313)</f>
        <v>2026-09</v>
      </c>
      <c r="I313" s="36" t="str">
        <f>IF($M313&gt;0,"JLR rate card — material code "&amp;$K313,$Q313)</f>
        <v>Index-anchored 2026-07. High-acrylonitrile nitrile — maximum fuel/oil resistance for fuel hoses, gaskets; stiffer, worse low-temp than standard NBR. Shore 75A. | Refresh 2026-09: NOT SOURCED — nbr, carbonblack: Not sourced this period: synthetic rubber moves were weekly and mixed (ERJ, w/e 23 Sep 2026: SBR −2.3%, EPDM −1%, NBR +1%); no June→Sep level. Held at the June 2026 price.</v>
      </c>
      <c r="J313" s="33" t="s">
        <v>1393</v>
      </c>
      <c r="K313" s="37" t="str">
        <f>IFERROR(INDEX(Mapping!$C$2:$C$549,MATCH($A313,Mapping!$A$2:$A$549,0)),"")</f>
        <v/>
      </c>
      <c r="L313" s="37">
        <f>IF($K313="",0,COUNTIFS('JLR Materials'!$A$2:$A$20001,$K313,'JLR Materials'!$C$2:$C$20001,IF(Settings!$B$2="","&lt;&gt;",Settings!$B$2),'JLR Materials'!$D$2:$D$20001,IF(Settings!$B$4="","&lt;&gt;",Settings!$B$4)))</f>
        <v>0</v>
      </c>
      <c r="M313" s="38">
        <f>IF($L313&lt;&gt;1,0,SUMIFS('JLR Materials'!$E$2:$E$20001,'JLR Materials'!$A$2:$A$20001,$K313,'JLR Materials'!$C$2:$C$20001,IF(Settings!$B$2="","&lt;&gt;",Settings!$B$2),'JLR Materials'!$D$2:$D$20001,IF(Settings!$B$4="","&lt;&gt;",Settings!$B$4)))</f>
        <v>0</v>
      </c>
      <c r="N313" s="39">
        <f>IF($L313&lt;&gt;1,0,SUMIFS('JLR Materials'!$F$2:$F$20001,'JLR Materials'!$A$2:$A$20001,$K313,'JLR Materials'!$C$2:$C$20001,IF(Settings!$B$2="","&lt;&gt;",Settings!$B$2),'JLR Materials'!$D$2:$D$20001,IF(Settings!$B$4="","&lt;&gt;",Settings!$B$4)))</f>
        <v>0</v>
      </c>
      <c r="O313" s="38">
        <f>IF($N313=0,0,IF(Settings!$B$5="percent",$M313*$N313/100,$N313))</f>
        <v>0</v>
      </c>
      <c r="P313" s="39">
        <f>IF($L313&lt;&gt;1,0,SUMIFS('JLR Materials'!$G$2:$G$20001,'JLR Materials'!$A$2:$A$20001,$K313,'JLR Materials'!$C$2:$C$20001,IF(Settings!$B$2="","&lt;&gt;",Settings!$B$2),'JLR Materials'!$D$2:$D$20001,IF(Settings!$B$4="","&lt;&gt;",Settings!$B$4)))</f>
        <v>0</v>
      </c>
      <c r="Q313" s="40" t="s">
        <v>2058</v>
      </c>
      <c r="R313" s="40" t="s">
        <v>1382</v>
      </c>
    </row>
    <row r="314" spans="1:18" x14ac:dyDescent="0.25">
      <c r="A314" s="32" t="s">
        <v>891</v>
      </c>
      <c r="B314" s="33" t="s">
        <v>2059</v>
      </c>
      <c r="C314" s="33" t="s">
        <v>2017</v>
      </c>
      <c r="D314" s="34">
        <f>IF($M314&gt;0,$M314,2.15)</f>
        <v>2.15</v>
      </c>
      <c r="E314" s="34">
        <f>IF($O314&gt;0,$O314,0.05)</f>
        <v>0.05</v>
      </c>
      <c r="F314" s="35">
        <v>1150</v>
      </c>
      <c r="G314" s="33" t="s">
        <v>1379</v>
      </c>
      <c r="H314" s="36" t="str">
        <f>IF($M314&gt;0,IF($L314&lt;&gt;1,$R314,IFERROR(INDEX('JLR Materials'!$D$2:$D$20001,MATCH($K314,'JLR Materials'!$A$2:$A$20001,0)),$R314)),$R314)</f>
        <v>2026-09</v>
      </c>
      <c r="I314" s="36" t="str">
        <f>IF($M314&gt;0,"JLR rate card — material code "&amp;$K314,$Q314)</f>
        <v>Index-anchored 2026-07. Peroxide-cured EPDM — better heat-ageing &amp; compression set than sulphur-cured; coolant/steam seals, under-bonnet. Shore 70A. | Refresh 2026-09: NOT SOURCED — epdm, carbonblack: Not sourced this period: synthetic rubber moves were weekly and mixed (ERJ, w/e 23 Sep 2026: SBR −2.3%, EPDM −1%, NBR +1%); no June→Sep level. Held at the June 2026 price.</v>
      </c>
      <c r="J314" s="33" t="s">
        <v>1393</v>
      </c>
      <c r="K314" s="37" t="str">
        <f>IFERROR(INDEX(Mapping!$C$2:$C$549,MATCH($A314,Mapping!$A$2:$A$549,0)),"")</f>
        <v/>
      </c>
      <c r="L314" s="37">
        <f>IF($K314="",0,COUNTIFS('JLR Materials'!$A$2:$A$20001,$K314,'JLR Materials'!$C$2:$C$20001,IF(Settings!$B$2="","&lt;&gt;",Settings!$B$2),'JLR Materials'!$D$2:$D$20001,IF(Settings!$B$4="","&lt;&gt;",Settings!$B$4)))</f>
        <v>0</v>
      </c>
      <c r="M314" s="38">
        <f>IF($L314&lt;&gt;1,0,SUMIFS('JLR Materials'!$E$2:$E$20001,'JLR Materials'!$A$2:$A$20001,$K314,'JLR Materials'!$C$2:$C$20001,IF(Settings!$B$2="","&lt;&gt;",Settings!$B$2),'JLR Materials'!$D$2:$D$20001,IF(Settings!$B$4="","&lt;&gt;",Settings!$B$4)))</f>
        <v>0</v>
      </c>
      <c r="N314" s="39">
        <f>IF($L314&lt;&gt;1,0,SUMIFS('JLR Materials'!$F$2:$F$20001,'JLR Materials'!$A$2:$A$20001,$K314,'JLR Materials'!$C$2:$C$20001,IF(Settings!$B$2="","&lt;&gt;",Settings!$B$2),'JLR Materials'!$D$2:$D$20001,IF(Settings!$B$4="","&lt;&gt;",Settings!$B$4)))</f>
        <v>0</v>
      </c>
      <c r="O314" s="38">
        <f>IF($N314=0,0,IF(Settings!$B$5="percent",$M314*$N314/100,$N314))</f>
        <v>0</v>
      </c>
      <c r="P314" s="39">
        <f>IF($L314&lt;&gt;1,0,SUMIFS('JLR Materials'!$G$2:$G$20001,'JLR Materials'!$A$2:$A$20001,$K314,'JLR Materials'!$C$2:$C$20001,IF(Settings!$B$2="","&lt;&gt;",Settings!$B$2),'JLR Materials'!$D$2:$D$20001,IF(Settings!$B$4="","&lt;&gt;",Settings!$B$4)))</f>
        <v>0</v>
      </c>
      <c r="Q314" s="40" t="s">
        <v>2060</v>
      </c>
      <c r="R314" s="40" t="s">
        <v>1382</v>
      </c>
    </row>
    <row r="315" spans="1:18" x14ac:dyDescent="0.25">
      <c r="A315" s="32" t="s">
        <v>893</v>
      </c>
      <c r="B315" s="33" t="s">
        <v>2061</v>
      </c>
      <c r="C315" s="33" t="s">
        <v>2017</v>
      </c>
      <c r="D315" s="34">
        <f>IF($M315&gt;0,$M315,16.5)</f>
        <v>16.5</v>
      </c>
      <c r="E315" s="34">
        <f>IF($O315&gt;0,$O315,0)</f>
        <v>0</v>
      </c>
      <c r="F315" s="35">
        <v>1120</v>
      </c>
      <c r="G315" s="33" t="s">
        <v>1379</v>
      </c>
      <c r="H315" s="36" t="str">
        <f>IF($M315&gt;0,IF($L315&lt;&gt;1,$R315,IFERROR(INDEX('JLR Materials'!$D$2:$D$20001,MATCH($K315,'JLR Materials'!$A$2:$A$20001,0)),$R315)),$R315)</f>
        <v>2026-09</v>
      </c>
      <c r="I315" s="36" t="str">
        <f>IF($M315&gt;0,"JLR rate card — material code "&amp;$K315,$Q315)</f>
        <v>Index-anchored 2026-07. USP Class VI / ISO 10993 liquid silicone — medical seals, valves, baby/health products; biocompatible, premium over industrial LSR. Shore 30A. | Refresh 2026-09: NOT SOURCED — silicone: Not sourced this period: synthetic rubber moves were weekly and mixed (ERJ, w/e 23 Sep 2026: SBR −2.3%, EPDM −1%, NBR +1%); no June→Sep level. Held at the June 2026 price.</v>
      </c>
      <c r="J315" s="33" t="s">
        <v>1393</v>
      </c>
      <c r="K315" s="37" t="str">
        <f>IFERROR(INDEX(Mapping!$C$2:$C$549,MATCH($A315,Mapping!$A$2:$A$549,0)),"")</f>
        <v/>
      </c>
      <c r="L315" s="37">
        <f>IF($K315="",0,COUNTIFS('JLR Materials'!$A$2:$A$20001,$K315,'JLR Materials'!$C$2:$C$20001,IF(Settings!$B$2="","&lt;&gt;",Settings!$B$2),'JLR Materials'!$D$2:$D$20001,IF(Settings!$B$4="","&lt;&gt;",Settings!$B$4)))</f>
        <v>0</v>
      </c>
      <c r="M315" s="38">
        <f>IF($L315&lt;&gt;1,0,SUMIFS('JLR Materials'!$E$2:$E$20001,'JLR Materials'!$A$2:$A$20001,$K315,'JLR Materials'!$C$2:$C$20001,IF(Settings!$B$2="","&lt;&gt;",Settings!$B$2),'JLR Materials'!$D$2:$D$20001,IF(Settings!$B$4="","&lt;&gt;",Settings!$B$4)))</f>
        <v>0</v>
      </c>
      <c r="N315" s="39">
        <f>IF($L315&lt;&gt;1,0,SUMIFS('JLR Materials'!$F$2:$F$20001,'JLR Materials'!$A$2:$A$20001,$K315,'JLR Materials'!$C$2:$C$20001,IF(Settings!$B$2="","&lt;&gt;",Settings!$B$2),'JLR Materials'!$D$2:$D$20001,IF(Settings!$B$4="","&lt;&gt;",Settings!$B$4)))</f>
        <v>0</v>
      </c>
      <c r="O315" s="38">
        <f>IF($N315=0,0,IF(Settings!$B$5="percent",$M315*$N315/100,$N315))</f>
        <v>0</v>
      </c>
      <c r="P315" s="39">
        <f>IF($L315&lt;&gt;1,0,SUMIFS('JLR Materials'!$G$2:$G$20001,'JLR Materials'!$A$2:$A$20001,$K315,'JLR Materials'!$C$2:$C$20001,IF(Settings!$B$2="","&lt;&gt;",Settings!$B$2),'JLR Materials'!$D$2:$D$20001,IF(Settings!$B$4="","&lt;&gt;",Settings!$B$4)))</f>
        <v>0</v>
      </c>
      <c r="Q315" s="40" t="s">
        <v>2062</v>
      </c>
      <c r="R315" s="40" t="s">
        <v>1382</v>
      </c>
    </row>
    <row r="316" spans="1:18" x14ac:dyDescent="0.25">
      <c r="A316" s="32" t="s">
        <v>895</v>
      </c>
      <c r="B316" s="33" t="s">
        <v>2063</v>
      </c>
      <c r="C316" s="33" t="s">
        <v>2064</v>
      </c>
      <c r="D316" s="34">
        <f>IF($M316&gt;0,$M316,33.6)</f>
        <v>33.6</v>
      </c>
      <c r="E316" s="34">
        <f>IF($O316&gt;0,$O316,0.5)</f>
        <v>0.5</v>
      </c>
      <c r="F316" s="35">
        <v>1560</v>
      </c>
      <c r="G316" s="33" t="s">
        <v>1379</v>
      </c>
      <c r="H316" s="36" t="str">
        <f>IF($M316&gt;0,IF($L316&lt;&gt;1,$R316,IFERROR(INDEX('JLR Materials'!$D$2:$D$20001,MATCH($K316,'JLR Materials'!$A$2:$A$20001,0)),$R316)),$R316)</f>
        <v>2026-09</v>
      </c>
      <c r="I316" s="36" t="str">
        <f>IF($M316&gt;0,"JLR rate card — material code "&amp;$K316,$Q316)</f>
        <v>UK composite supplier Jun 2026. T700/250F prepreg — structural automotive/aerospace hand layup. Vf~0.60. Index-anchored 2026-07 refresh. | Refresh 2026-09: NOT SOURCED — cf, epoxy: Not sourced this period: composites inputs (epoxy China 12,500–12,900 CNY/t Sep 2026; glass fibre ’mild downward pressure’) have no June level on the same basis. Held at the June 2026 price.</v>
      </c>
      <c r="J316" s="33" t="s">
        <v>1393</v>
      </c>
      <c r="K316" s="37" t="str">
        <f>IFERROR(INDEX(Mapping!$C$2:$C$549,MATCH($A316,Mapping!$A$2:$A$549,0)),"")</f>
        <v/>
      </c>
      <c r="L316" s="37">
        <f>IF($K316="",0,COUNTIFS('JLR Materials'!$A$2:$A$20001,$K316,'JLR Materials'!$C$2:$C$20001,IF(Settings!$B$2="","&lt;&gt;",Settings!$B$2),'JLR Materials'!$D$2:$D$20001,IF(Settings!$B$4="","&lt;&gt;",Settings!$B$4)))</f>
        <v>0</v>
      </c>
      <c r="M316" s="38">
        <f>IF($L316&lt;&gt;1,0,SUMIFS('JLR Materials'!$E$2:$E$20001,'JLR Materials'!$A$2:$A$20001,$K316,'JLR Materials'!$C$2:$C$20001,IF(Settings!$B$2="","&lt;&gt;",Settings!$B$2),'JLR Materials'!$D$2:$D$20001,IF(Settings!$B$4="","&lt;&gt;",Settings!$B$4)))</f>
        <v>0</v>
      </c>
      <c r="N316" s="39">
        <f>IF($L316&lt;&gt;1,0,SUMIFS('JLR Materials'!$F$2:$F$20001,'JLR Materials'!$A$2:$A$20001,$K316,'JLR Materials'!$C$2:$C$20001,IF(Settings!$B$2="","&lt;&gt;",Settings!$B$2),'JLR Materials'!$D$2:$D$20001,IF(Settings!$B$4="","&lt;&gt;",Settings!$B$4)))</f>
        <v>0</v>
      </c>
      <c r="O316" s="38">
        <f>IF($N316=0,0,IF(Settings!$B$5="percent",$M316*$N316/100,$N316))</f>
        <v>0</v>
      </c>
      <c r="P316" s="39">
        <f>IF($L316&lt;&gt;1,0,SUMIFS('JLR Materials'!$G$2:$G$20001,'JLR Materials'!$A$2:$A$20001,$K316,'JLR Materials'!$C$2:$C$20001,IF(Settings!$B$2="","&lt;&gt;",Settings!$B$2),'JLR Materials'!$D$2:$D$20001,IF(Settings!$B$4="","&lt;&gt;",Settings!$B$4)))</f>
        <v>0</v>
      </c>
      <c r="Q316" s="40" t="s">
        <v>2065</v>
      </c>
      <c r="R316" s="40" t="s">
        <v>1382</v>
      </c>
    </row>
    <row r="317" spans="1:18" x14ac:dyDescent="0.25">
      <c r="A317" s="32" t="s">
        <v>897</v>
      </c>
      <c r="B317" s="33" t="s">
        <v>2066</v>
      </c>
      <c r="C317" s="33" t="s">
        <v>2064</v>
      </c>
      <c r="D317" s="34">
        <f>IF($M317&gt;0,$M317,7.88)</f>
        <v>7.88</v>
      </c>
      <c r="E317" s="34">
        <f>IF($O317&gt;0,$O317,0.1)</f>
        <v>0.1</v>
      </c>
      <c r="F317" s="35">
        <v>1800</v>
      </c>
      <c r="G317" s="33" t="s">
        <v>1379</v>
      </c>
      <c r="H317" s="36" t="str">
        <f>IF($M317&gt;0,IF($L317&lt;&gt;1,$R317,IFERROR(INDEX('JLR Materials'!$D$2:$D$20001,MATCH($K317,'JLR Materials'!$A$2:$A$20001,0)),$R317)),$R317)</f>
        <v>2026-09</v>
      </c>
      <c r="I317" s="36" t="str">
        <f>IF($M317&gt;0,"JLR rate card — material code "&amp;$K317,$Q317)</f>
        <v>UK composite supplier Jun 2026. E-glass/epoxy prepreg — semi-structural panels, marine. Vf~0.55. Index-anchored 2026-07 refresh. | Refresh 2026-09: NOT SOURCED — gf, epoxy: Not sourced this period: composites inputs (epoxy China 12,500–12,900 CNY/t Sep 2026; glass fibre ’mild downward pressure’) have no June level on the same basis. Held at the June 2026 price.</v>
      </c>
      <c r="J317" s="33" t="s">
        <v>1393</v>
      </c>
      <c r="K317" s="37" t="str">
        <f>IFERROR(INDEX(Mapping!$C$2:$C$549,MATCH($A317,Mapping!$A$2:$A$549,0)),"")</f>
        <v/>
      </c>
      <c r="L317" s="37">
        <f>IF($K317="",0,COUNTIFS('JLR Materials'!$A$2:$A$20001,$K317,'JLR Materials'!$C$2:$C$20001,IF(Settings!$B$2="","&lt;&gt;",Settings!$B$2),'JLR Materials'!$D$2:$D$20001,IF(Settings!$B$4="","&lt;&gt;",Settings!$B$4)))</f>
        <v>0</v>
      </c>
      <c r="M317" s="38">
        <f>IF($L317&lt;&gt;1,0,SUMIFS('JLR Materials'!$E$2:$E$20001,'JLR Materials'!$A$2:$A$20001,$K317,'JLR Materials'!$C$2:$C$20001,IF(Settings!$B$2="","&lt;&gt;",Settings!$B$2),'JLR Materials'!$D$2:$D$20001,IF(Settings!$B$4="","&lt;&gt;",Settings!$B$4)))</f>
        <v>0</v>
      </c>
      <c r="N317" s="39">
        <f>IF($L317&lt;&gt;1,0,SUMIFS('JLR Materials'!$F$2:$F$20001,'JLR Materials'!$A$2:$A$20001,$K317,'JLR Materials'!$C$2:$C$20001,IF(Settings!$B$2="","&lt;&gt;",Settings!$B$2),'JLR Materials'!$D$2:$D$20001,IF(Settings!$B$4="","&lt;&gt;",Settings!$B$4)))</f>
        <v>0</v>
      </c>
      <c r="O317" s="38">
        <f>IF($N317=0,0,IF(Settings!$B$5="percent",$M317*$N317/100,$N317))</f>
        <v>0</v>
      </c>
      <c r="P317" s="39">
        <f>IF($L317&lt;&gt;1,0,SUMIFS('JLR Materials'!$G$2:$G$20001,'JLR Materials'!$A$2:$A$20001,$K317,'JLR Materials'!$C$2:$C$20001,IF(Settings!$B$2="","&lt;&gt;",Settings!$B$2),'JLR Materials'!$D$2:$D$20001,IF(Settings!$B$4="","&lt;&gt;",Settings!$B$4)))</f>
        <v>0</v>
      </c>
      <c r="Q317" s="40" t="s">
        <v>2067</v>
      </c>
      <c r="R317" s="40" t="s">
        <v>1382</v>
      </c>
    </row>
    <row r="318" spans="1:18" x14ac:dyDescent="0.25">
      <c r="A318" s="32" t="s">
        <v>899</v>
      </c>
      <c r="B318" s="33" t="s">
        <v>2068</v>
      </c>
      <c r="C318" s="33" t="s">
        <v>2064</v>
      </c>
      <c r="D318" s="34">
        <f>IF($M318&gt;0,$M318,25.2)</f>
        <v>25.2</v>
      </c>
      <c r="E318" s="34">
        <f>IF($O318&gt;0,$O318,0.5)</f>
        <v>0.5</v>
      </c>
      <c r="F318" s="35">
        <v>1750</v>
      </c>
      <c r="G318" s="33" t="s">
        <v>1379</v>
      </c>
      <c r="H318" s="36" t="str">
        <f>IF($M318&gt;0,IF($L318&lt;&gt;1,$R318,IFERROR(INDEX('JLR Materials'!$D$2:$D$20001,MATCH($K318,'JLR Materials'!$A$2:$A$20001,0)),$R318)),$R318)</f>
        <v>2026-09</v>
      </c>
      <c r="I318" s="36" t="str">
        <f>IF($M318&gt;0,"JLR rate card — material code "&amp;$K318,$Q318)</f>
        <v>UK composite supplier Jun 2026. 3K 2×2 twill dry CF — RTM, VARTM, filament winding. Pair with infusion resin. Index-anchored 2026-07 refresh. | Refresh 2026-09: NOT SOURCED — cf: Not sourced this period: composites inputs (epoxy China 12,500–12,900 CNY/t Sep 2026; glass fibre ’mild downward pressure’) have no June level on the same basis. Held at the June 2026 price.</v>
      </c>
      <c r="J318" s="33" t="s">
        <v>1393</v>
      </c>
      <c r="K318" s="37" t="str">
        <f>IFERROR(INDEX(Mapping!$C$2:$C$549,MATCH($A318,Mapping!$A$2:$A$549,0)),"")</f>
        <v/>
      </c>
      <c r="L318" s="37">
        <f>IF($K318="",0,COUNTIFS('JLR Materials'!$A$2:$A$20001,$K318,'JLR Materials'!$C$2:$C$20001,IF(Settings!$B$2="","&lt;&gt;",Settings!$B$2),'JLR Materials'!$D$2:$D$20001,IF(Settings!$B$4="","&lt;&gt;",Settings!$B$4)))</f>
        <v>0</v>
      </c>
      <c r="M318" s="38">
        <f>IF($L318&lt;&gt;1,0,SUMIFS('JLR Materials'!$E$2:$E$20001,'JLR Materials'!$A$2:$A$20001,$K318,'JLR Materials'!$C$2:$C$20001,IF(Settings!$B$2="","&lt;&gt;",Settings!$B$2),'JLR Materials'!$D$2:$D$20001,IF(Settings!$B$4="","&lt;&gt;",Settings!$B$4)))</f>
        <v>0</v>
      </c>
      <c r="N318" s="39">
        <f>IF($L318&lt;&gt;1,0,SUMIFS('JLR Materials'!$F$2:$F$20001,'JLR Materials'!$A$2:$A$20001,$K318,'JLR Materials'!$C$2:$C$20001,IF(Settings!$B$2="","&lt;&gt;",Settings!$B$2),'JLR Materials'!$D$2:$D$20001,IF(Settings!$B$4="","&lt;&gt;",Settings!$B$4)))</f>
        <v>0</v>
      </c>
      <c r="O318" s="38">
        <f>IF($N318=0,0,IF(Settings!$B$5="percent",$M318*$N318/100,$N318))</f>
        <v>0</v>
      </c>
      <c r="P318" s="39">
        <f>IF($L318&lt;&gt;1,0,SUMIFS('JLR Materials'!$G$2:$G$20001,'JLR Materials'!$A$2:$A$20001,$K318,'JLR Materials'!$C$2:$C$20001,IF(Settings!$B$2="","&lt;&gt;",Settings!$B$2),'JLR Materials'!$D$2:$D$20001,IF(Settings!$B$4="","&lt;&gt;",Settings!$B$4)))</f>
        <v>0</v>
      </c>
      <c r="Q318" s="40" t="s">
        <v>2069</v>
      </c>
      <c r="R318" s="40" t="s">
        <v>1382</v>
      </c>
    </row>
    <row r="319" spans="1:18" x14ac:dyDescent="0.25">
      <c r="A319" s="32" t="s">
        <v>901</v>
      </c>
      <c r="B319" s="33" t="s">
        <v>2070</v>
      </c>
      <c r="C319" s="33" t="s">
        <v>2064</v>
      </c>
      <c r="D319" s="34">
        <f>IF($M319&gt;0,$M319,3.99)</f>
        <v>3.99</v>
      </c>
      <c r="E319" s="34">
        <f>IF($O319&gt;0,$O319,0.05)</f>
        <v>0.05</v>
      </c>
      <c r="F319" s="35">
        <v>1800</v>
      </c>
      <c r="G319" s="33" t="s">
        <v>1379</v>
      </c>
      <c r="H319" s="36" t="str">
        <f>IF($M319&gt;0,IF($L319&lt;&gt;1,$R319,IFERROR(INDEX('JLR Materials'!$D$2:$D$20001,MATCH($K319,'JLR Materials'!$A$2:$A$20001,0)),$R319)),$R319)</f>
        <v>2026-09</v>
      </c>
      <c r="I319" s="36" t="str">
        <f>IF($M319&gt;0,"JLR rate card — material code "&amp;$K319,$Q319)</f>
        <v>UK composite supplier Jun 2026. Woven E-glass 600 g/m² — marine, wind, automotive GFRP. Index-anchored 2026-07 refresh. | Refresh 2026-09: NOT SOURCED — gf: Not sourced this period: composites inputs (epoxy China 12,500–12,900 CNY/t Sep 2026; glass fibre ’mild downward pressure’) have no June level on the same basis. Held at the June 2026 price.</v>
      </c>
      <c r="J319" s="33" t="s">
        <v>1380</v>
      </c>
      <c r="K319" s="37" t="str">
        <f>IFERROR(INDEX(Mapping!$C$2:$C$549,MATCH($A319,Mapping!$A$2:$A$549,0)),"")</f>
        <v/>
      </c>
      <c r="L319" s="37">
        <f>IF($K319="",0,COUNTIFS('JLR Materials'!$A$2:$A$20001,$K319,'JLR Materials'!$C$2:$C$20001,IF(Settings!$B$2="","&lt;&gt;",Settings!$B$2),'JLR Materials'!$D$2:$D$20001,IF(Settings!$B$4="","&lt;&gt;",Settings!$B$4)))</f>
        <v>0</v>
      </c>
      <c r="M319" s="38">
        <f>IF($L319&lt;&gt;1,0,SUMIFS('JLR Materials'!$E$2:$E$20001,'JLR Materials'!$A$2:$A$20001,$K319,'JLR Materials'!$C$2:$C$20001,IF(Settings!$B$2="","&lt;&gt;",Settings!$B$2),'JLR Materials'!$D$2:$D$20001,IF(Settings!$B$4="","&lt;&gt;",Settings!$B$4)))</f>
        <v>0</v>
      </c>
      <c r="N319" s="39">
        <f>IF($L319&lt;&gt;1,0,SUMIFS('JLR Materials'!$F$2:$F$20001,'JLR Materials'!$A$2:$A$20001,$K319,'JLR Materials'!$C$2:$C$20001,IF(Settings!$B$2="","&lt;&gt;",Settings!$B$2),'JLR Materials'!$D$2:$D$20001,IF(Settings!$B$4="","&lt;&gt;",Settings!$B$4)))</f>
        <v>0</v>
      </c>
      <c r="O319" s="38">
        <f>IF($N319=0,0,IF(Settings!$B$5="percent",$M319*$N319/100,$N319))</f>
        <v>0</v>
      </c>
      <c r="P319" s="39">
        <f>IF($L319&lt;&gt;1,0,SUMIFS('JLR Materials'!$G$2:$G$20001,'JLR Materials'!$A$2:$A$20001,$K319,'JLR Materials'!$C$2:$C$20001,IF(Settings!$B$2="","&lt;&gt;",Settings!$B$2),'JLR Materials'!$D$2:$D$20001,IF(Settings!$B$4="","&lt;&gt;",Settings!$B$4)))</f>
        <v>0</v>
      </c>
      <c r="Q319" s="40" t="s">
        <v>2071</v>
      </c>
      <c r="R319" s="40" t="s">
        <v>1382</v>
      </c>
    </row>
    <row r="320" spans="1:18" x14ac:dyDescent="0.25">
      <c r="A320" s="32" t="s">
        <v>903</v>
      </c>
      <c r="B320" s="33" t="s">
        <v>2072</v>
      </c>
      <c r="C320" s="33" t="s">
        <v>2064</v>
      </c>
      <c r="D320" s="34">
        <f>IF($M320&gt;0,$M320,13.65)</f>
        <v>13.65</v>
      </c>
      <c r="E320" s="34">
        <f>IF($O320&gt;0,$O320,0)</f>
        <v>0</v>
      </c>
      <c r="F320" s="35">
        <v>1200</v>
      </c>
      <c r="G320" s="33" t="s">
        <v>1379</v>
      </c>
      <c r="H320" s="36" t="str">
        <f>IF($M320&gt;0,IF($L320&lt;&gt;1,$R320,IFERROR(INDEX('JLR Materials'!$D$2:$D$20001,MATCH($K320,'JLR Materials'!$A$2:$A$20001,0)),$R320)),$R320)</f>
        <v>2026-09</v>
      </c>
      <c r="I320" s="36" t="str">
        <f>IF($M320&gt;0,"JLR rate card — material code "&amp;$K320,$Q320)</f>
        <v>UK composite supplier Jun 2026. Low-temp infusion epoxy (Gurit / Hexion). RTM/VARTM. Vf 0.50–0.60. Index-anchored 2026-07 refresh. | Refresh 2026-09: NOT SOURCED — epoxy: Not sourced this period: composites inputs (epoxy China 12,500–12,900 CNY/t Sep 2026; glass fibre ’mild downward pressure’) have no June level on the same basis. Held at the June 2026 price.</v>
      </c>
      <c r="J320" s="33" t="s">
        <v>1393</v>
      </c>
      <c r="K320" s="37" t="str">
        <f>IFERROR(INDEX(Mapping!$C$2:$C$549,MATCH($A320,Mapping!$A$2:$A$549,0)),"")</f>
        <v/>
      </c>
      <c r="L320" s="37">
        <f>IF($K320="",0,COUNTIFS('JLR Materials'!$A$2:$A$20001,$K320,'JLR Materials'!$C$2:$C$20001,IF(Settings!$B$2="","&lt;&gt;",Settings!$B$2),'JLR Materials'!$D$2:$D$20001,IF(Settings!$B$4="","&lt;&gt;",Settings!$B$4)))</f>
        <v>0</v>
      </c>
      <c r="M320" s="38">
        <f>IF($L320&lt;&gt;1,0,SUMIFS('JLR Materials'!$E$2:$E$20001,'JLR Materials'!$A$2:$A$20001,$K320,'JLR Materials'!$C$2:$C$20001,IF(Settings!$B$2="","&lt;&gt;",Settings!$B$2),'JLR Materials'!$D$2:$D$20001,IF(Settings!$B$4="","&lt;&gt;",Settings!$B$4)))</f>
        <v>0</v>
      </c>
      <c r="N320" s="39">
        <f>IF($L320&lt;&gt;1,0,SUMIFS('JLR Materials'!$F$2:$F$20001,'JLR Materials'!$A$2:$A$20001,$K320,'JLR Materials'!$C$2:$C$20001,IF(Settings!$B$2="","&lt;&gt;",Settings!$B$2),'JLR Materials'!$D$2:$D$20001,IF(Settings!$B$4="","&lt;&gt;",Settings!$B$4)))</f>
        <v>0</v>
      </c>
      <c r="O320" s="38">
        <f>IF($N320=0,0,IF(Settings!$B$5="percent",$M320*$N320/100,$N320))</f>
        <v>0</v>
      </c>
      <c r="P320" s="39">
        <f>IF($L320&lt;&gt;1,0,SUMIFS('JLR Materials'!$G$2:$G$20001,'JLR Materials'!$A$2:$A$20001,$K320,'JLR Materials'!$C$2:$C$20001,IF(Settings!$B$2="","&lt;&gt;",Settings!$B$2),'JLR Materials'!$D$2:$D$20001,IF(Settings!$B$4="","&lt;&gt;",Settings!$B$4)))</f>
        <v>0</v>
      </c>
      <c r="Q320" s="40" t="s">
        <v>2073</v>
      </c>
      <c r="R320" s="40" t="s">
        <v>1382</v>
      </c>
    </row>
    <row r="321" spans="1:18" x14ac:dyDescent="0.25">
      <c r="A321" s="32" t="s">
        <v>905</v>
      </c>
      <c r="B321" s="33" t="s">
        <v>2074</v>
      </c>
      <c r="C321" s="33" t="s">
        <v>2064</v>
      </c>
      <c r="D321" s="34">
        <f>IF($M321&gt;0,$M321,5.46)</f>
        <v>5.46</v>
      </c>
      <c r="E321" s="34">
        <f>IF($O321&gt;0,$O321,0)</f>
        <v>0</v>
      </c>
      <c r="F321" s="35">
        <v>1140</v>
      </c>
      <c r="G321" s="33" t="s">
        <v>1379</v>
      </c>
      <c r="H321" s="36" t="str">
        <f>IF($M321&gt;0,IF($L321&lt;&gt;1,$R321,IFERROR(INDEX('JLR Materials'!$D$2:$D$20001,MATCH($K321,'JLR Materials'!$A$2:$A$20001,0)),$R321)),$R321)</f>
        <v>2026-09</v>
      </c>
      <c r="I321" s="36" t="str">
        <f>IF($M321&gt;0,"JLR rate card — material code "&amp;$K321,$Q321)</f>
        <v>UK composite supplier Jun 2026. Vinyl ester RTM resin — marine, pipes, corrosion-resistant structures. Index-anchored 2026-07 refresh. | Refresh 2026-09: NOT SOURCED — upr: Not sourced this period: composites inputs (epoxy China 12,500–12,900 CNY/t Sep 2026; glass fibre ’mild downward pressure’) have no June level on the same basis. Held at the June 2026 price.</v>
      </c>
      <c r="J321" s="33" t="s">
        <v>1380</v>
      </c>
      <c r="K321" s="37" t="str">
        <f>IFERROR(INDEX(Mapping!$C$2:$C$549,MATCH($A321,Mapping!$A$2:$A$549,0)),"")</f>
        <v/>
      </c>
      <c r="L321" s="37">
        <f>IF($K321="",0,COUNTIFS('JLR Materials'!$A$2:$A$20001,$K321,'JLR Materials'!$C$2:$C$20001,IF(Settings!$B$2="","&lt;&gt;",Settings!$B$2),'JLR Materials'!$D$2:$D$20001,IF(Settings!$B$4="","&lt;&gt;",Settings!$B$4)))</f>
        <v>0</v>
      </c>
      <c r="M321" s="38">
        <f>IF($L321&lt;&gt;1,0,SUMIFS('JLR Materials'!$E$2:$E$20001,'JLR Materials'!$A$2:$A$20001,$K321,'JLR Materials'!$C$2:$C$20001,IF(Settings!$B$2="","&lt;&gt;",Settings!$B$2),'JLR Materials'!$D$2:$D$20001,IF(Settings!$B$4="","&lt;&gt;",Settings!$B$4)))</f>
        <v>0</v>
      </c>
      <c r="N321" s="39">
        <f>IF($L321&lt;&gt;1,0,SUMIFS('JLR Materials'!$F$2:$F$20001,'JLR Materials'!$A$2:$A$20001,$K321,'JLR Materials'!$C$2:$C$20001,IF(Settings!$B$2="","&lt;&gt;",Settings!$B$2),'JLR Materials'!$D$2:$D$20001,IF(Settings!$B$4="","&lt;&gt;",Settings!$B$4)))</f>
        <v>0</v>
      </c>
      <c r="O321" s="38">
        <f>IF($N321=0,0,IF(Settings!$B$5="percent",$M321*$N321/100,$N321))</f>
        <v>0</v>
      </c>
      <c r="P321" s="39">
        <f>IF($L321&lt;&gt;1,0,SUMIFS('JLR Materials'!$G$2:$G$20001,'JLR Materials'!$A$2:$A$20001,$K321,'JLR Materials'!$C$2:$C$20001,IF(Settings!$B$2="","&lt;&gt;",Settings!$B$2),'JLR Materials'!$D$2:$D$20001,IF(Settings!$B$4="","&lt;&gt;",Settings!$B$4)))</f>
        <v>0</v>
      </c>
      <c r="Q321" s="40" t="s">
        <v>2075</v>
      </c>
      <c r="R321" s="40" t="s">
        <v>1382</v>
      </c>
    </row>
    <row r="322" spans="1:18" x14ac:dyDescent="0.25">
      <c r="A322" s="32" t="s">
        <v>907</v>
      </c>
      <c r="B322" s="33" t="s">
        <v>2076</v>
      </c>
      <c r="C322" s="33" t="s">
        <v>2064</v>
      </c>
      <c r="D322" s="34">
        <f>IF($M322&gt;0,$M322,31.5)</f>
        <v>31.5</v>
      </c>
      <c r="E322" s="34">
        <f>IF($O322&gt;0,$O322,0.5)</f>
        <v>0.5</v>
      </c>
      <c r="F322" s="35">
        <v>1440</v>
      </c>
      <c r="G322" s="33" t="s">
        <v>1379</v>
      </c>
      <c r="H322" s="36" t="str">
        <f>IF($M322&gt;0,IF($L322&lt;&gt;1,$R322,IFERROR(INDEX('JLR Materials'!$D$2:$D$20001,MATCH($K322,'JLR Materials'!$A$2:$A$20001,0)),$R322)),$R322)</f>
        <v>2026-09</v>
      </c>
      <c r="I322" s="36" t="str">
        <f>IF($M322&gt;0,"JLR rate card — material code "&amp;$K322,$Q322)</f>
        <v>UK composite supplier Jun 2026. Kevlar 49 — ballistic protection, aircraft flooring, helmets. Index-anchored 2026-07 refresh. | Refresh 2026-09: SPECIALTY — no public market index for this grade; held at the June 2026 price — refresh by supplier quote</v>
      </c>
      <c r="J322" s="33" t="s">
        <v>1393</v>
      </c>
      <c r="K322" s="37" t="str">
        <f>IFERROR(INDEX(Mapping!$C$2:$C$549,MATCH($A322,Mapping!$A$2:$A$549,0)),"")</f>
        <v/>
      </c>
      <c r="L322" s="37">
        <f>IF($K322="",0,COUNTIFS('JLR Materials'!$A$2:$A$20001,$K322,'JLR Materials'!$C$2:$C$20001,IF(Settings!$B$2="","&lt;&gt;",Settings!$B$2),'JLR Materials'!$D$2:$D$20001,IF(Settings!$B$4="","&lt;&gt;",Settings!$B$4)))</f>
        <v>0</v>
      </c>
      <c r="M322" s="38">
        <f>IF($L322&lt;&gt;1,0,SUMIFS('JLR Materials'!$E$2:$E$20001,'JLR Materials'!$A$2:$A$20001,$K322,'JLR Materials'!$C$2:$C$20001,IF(Settings!$B$2="","&lt;&gt;",Settings!$B$2),'JLR Materials'!$D$2:$D$20001,IF(Settings!$B$4="","&lt;&gt;",Settings!$B$4)))</f>
        <v>0</v>
      </c>
      <c r="N322" s="39">
        <f>IF($L322&lt;&gt;1,0,SUMIFS('JLR Materials'!$F$2:$F$20001,'JLR Materials'!$A$2:$A$20001,$K322,'JLR Materials'!$C$2:$C$20001,IF(Settings!$B$2="","&lt;&gt;",Settings!$B$2),'JLR Materials'!$D$2:$D$20001,IF(Settings!$B$4="","&lt;&gt;",Settings!$B$4)))</f>
        <v>0</v>
      </c>
      <c r="O322" s="38">
        <f>IF($N322=0,0,IF(Settings!$B$5="percent",$M322*$N322/100,$N322))</f>
        <v>0</v>
      </c>
      <c r="P322" s="39">
        <f>IF($L322&lt;&gt;1,0,SUMIFS('JLR Materials'!$G$2:$G$20001,'JLR Materials'!$A$2:$A$20001,$K322,'JLR Materials'!$C$2:$C$20001,IF(Settings!$B$2="","&lt;&gt;",Settings!$B$2),'JLR Materials'!$D$2:$D$20001,IF(Settings!$B$4="","&lt;&gt;",Settings!$B$4)))</f>
        <v>0</v>
      </c>
      <c r="Q322" s="40" t="s">
        <v>2077</v>
      </c>
      <c r="R322" s="40" t="s">
        <v>1382</v>
      </c>
    </row>
    <row r="323" spans="1:18" x14ac:dyDescent="0.25">
      <c r="A323" s="32" t="s">
        <v>909</v>
      </c>
      <c r="B323" s="33" t="s">
        <v>2078</v>
      </c>
      <c r="C323" s="33" t="s">
        <v>2064</v>
      </c>
      <c r="D323" s="34">
        <f>IF($M323&gt;0,$M323,46)</f>
        <v>46</v>
      </c>
      <c r="E323" s="34">
        <f>IF($O323&gt;0,$O323,0.5)</f>
        <v>0.5</v>
      </c>
      <c r="F323" s="35">
        <v>1580</v>
      </c>
      <c r="G323" s="33" t="s">
        <v>1379</v>
      </c>
      <c r="H323" s="36" t="str">
        <f>IF($M323&gt;0,IF($L323&lt;&gt;1,$R323,IFERROR(INDEX('JLR Materials'!$D$2:$D$20001,MATCH($K323,'JLR Materials'!$A$2:$A$20001,0)),$R323)),$R323)</f>
        <v>2026-09</v>
      </c>
      <c r="I323" s="36" t="str">
        <f>IF($M323&gt;0,"JLR rate card — material code "&amp;$K323,$Q323)</f>
        <v>Index-anchored 2026-07. Intermediate-modulus UD prepreg — primary aerospace/motorsport structures, autoclave cure. Vf~0.60. | Refresh 2026-09: NOT SOURCED — cf, epoxy: Not sourced this period: composites inputs (epoxy China 12,500–12,900 CNY/t Sep 2026; glass fibre ’mild downward pressure’) have no June level on the same basis. Held at the June 2026 price.</v>
      </c>
      <c r="J323" s="33" t="s">
        <v>1393</v>
      </c>
      <c r="K323" s="37" t="str">
        <f>IFERROR(INDEX(Mapping!$C$2:$C$549,MATCH($A323,Mapping!$A$2:$A$549,0)),"")</f>
        <v/>
      </c>
      <c r="L323" s="37">
        <f>IF($K323="",0,COUNTIFS('JLR Materials'!$A$2:$A$20001,$K323,'JLR Materials'!$C$2:$C$20001,IF(Settings!$B$2="","&lt;&gt;",Settings!$B$2),'JLR Materials'!$D$2:$D$20001,IF(Settings!$B$4="","&lt;&gt;",Settings!$B$4)))</f>
        <v>0</v>
      </c>
      <c r="M323" s="38">
        <f>IF($L323&lt;&gt;1,0,SUMIFS('JLR Materials'!$E$2:$E$20001,'JLR Materials'!$A$2:$A$20001,$K323,'JLR Materials'!$C$2:$C$20001,IF(Settings!$B$2="","&lt;&gt;",Settings!$B$2),'JLR Materials'!$D$2:$D$20001,IF(Settings!$B$4="","&lt;&gt;",Settings!$B$4)))</f>
        <v>0</v>
      </c>
      <c r="N323" s="39">
        <f>IF($L323&lt;&gt;1,0,SUMIFS('JLR Materials'!$F$2:$F$20001,'JLR Materials'!$A$2:$A$20001,$K323,'JLR Materials'!$C$2:$C$20001,IF(Settings!$B$2="","&lt;&gt;",Settings!$B$2),'JLR Materials'!$D$2:$D$20001,IF(Settings!$B$4="","&lt;&gt;",Settings!$B$4)))</f>
        <v>0</v>
      </c>
      <c r="O323" s="38">
        <f>IF($N323=0,0,IF(Settings!$B$5="percent",$M323*$N323/100,$N323))</f>
        <v>0</v>
      </c>
      <c r="P323" s="39">
        <f>IF($L323&lt;&gt;1,0,SUMIFS('JLR Materials'!$G$2:$G$20001,'JLR Materials'!$A$2:$A$20001,$K323,'JLR Materials'!$C$2:$C$20001,IF(Settings!$B$2="","&lt;&gt;",Settings!$B$2),'JLR Materials'!$D$2:$D$20001,IF(Settings!$B$4="","&lt;&gt;",Settings!$B$4)))</f>
        <v>0</v>
      </c>
      <c r="Q323" s="40" t="s">
        <v>2079</v>
      </c>
      <c r="R323" s="40" t="s">
        <v>1382</v>
      </c>
    </row>
    <row r="324" spans="1:18" x14ac:dyDescent="0.25">
      <c r="A324" s="32" t="s">
        <v>911</v>
      </c>
      <c r="B324" s="33" t="s">
        <v>2080</v>
      </c>
      <c r="C324" s="33" t="s">
        <v>2064</v>
      </c>
      <c r="D324" s="34">
        <f>IF($M324&gt;0,$M324,2.85)</f>
        <v>2.85</v>
      </c>
      <c r="E324" s="34">
        <f>IF($O324&gt;0,$O324,0.1)</f>
        <v>0.1</v>
      </c>
      <c r="F324" s="35">
        <v>1900</v>
      </c>
      <c r="G324" s="33" t="s">
        <v>1379</v>
      </c>
      <c r="H324" s="36" t="str">
        <f>IF($M324&gt;0,IF($L324&lt;&gt;1,$R324,IFERROR(INDEX('JLR Materials'!$D$2:$D$20001,MATCH($K324,'JLR Materials'!$A$2:$A$20001,0)),$R324)),$R324)</f>
        <v>2026-09</v>
      </c>
      <c r="I324" s="36" t="str">
        <f>IF($M324&gt;0,"JLR rate card — material code "&amp;$K324,$Q324)</f>
        <v>Index-anchored 2026-07. Glass/polyester SMC — compression-moulded body panels, structural covers, EV battery lids. | Refresh 2026-09: NOT SOURCED — upr, gf: Not sourced this period: composites inputs (epoxy China 12,500–12,900 CNY/t Sep 2026; glass fibre ’mild downward pressure’) have no June level on the same basis. Held at the June 2026 price.</v>
      </c>
      <c r="J324" s="33" t="s">
        <v>1380</v>
      </c>
      <c r="K324" s="37" t="str">
        <f>IFERROR(INDEX(Mapping!$C$2:$C$549,MATCH($A324,Mapping!$A$2:$A$549,0)),"")</f>
        <v/>
      </c>
      <c r="L324" s="37">
        <f>IF($K324="",0,COUNTIFS('JLR Materials'!$A$2:$A$20001,$K324,'JLR Materials'!$C$2:$C$20001,IF(Settings!$B$2="","&lt;&gt;",Settings!$B$2),'JLR Materials'!$D$2:$D$20001,IF(Settings!$B$4="","&lt;&gt;",Settings!$B$4)))</f>
        <v>0</v>
      </c>
      <c r="M324" s="38">
        <f>IF($L324&lt;&gt;1,0,SUMIFS('JLR Materials'!$E$2:$E$20001,'JLR Materials'!$A$2:$A$20001,$K324,'JLR Materials'!$C$2:$C$20001,IF(Settings!$B$2="","&lt;&gt;",Settings!$B$2),'JLR Materials'!$D$2:$D$20001,IF(Settings!$B$4="","&lt;&gt;",Settings!$B$4)))</f>
        <v>0</v>
      </c>
      <c r="N324" s="39">
        <f>IF($L324&lt;&gt;1,0,SUMIFS('JLR Materials'!$F$2:$F$20001,'JLR Materials'!$A$2:$A$20001,$K324,'JLR Materials'!$C$2:$C$20001,IF(Settings!$B$2="","&lt;&gt;",Settings!$B$2),'JLR Materials'!$D$2:$D$20001,IF(Settings!$B$4="","&lt;&gt;",Settings!$B$4)))</f>
        <v>0</v>
      </c>
      <c r="O324" s="38">
        <f>IF($N324=0,0,IF(Settings!$B$5="percent",$M324*$N324/100,$N324))</f>
        <v>0</v>
      </c>
      <c r="P324" s="39">
        <f>IF($L324&lt;&gt;1,0,SUMIFS('JLR Materials'!$G$2:$G$20001,'JLR Materials'!$A$2:$A$20001,$K324,'JLR Materials'!$C$2:$C$20001,IF(Settings!$B$2="","&lt;&gt;",Settings!$B$2),'JLR Materials'!$D$2:$D$20001,IF(Settings!$B$4="","&lt;&gt;",Settings!$B$4)))</f>
        <v>0</v>
      </c>
      <c r="Q324" s="40" t="s">
        <v>2081</v>
      </c>
      <c r="R324" s="40" t="s">
        <v>1382</v>
      </c>
    </row>
    <row r="325" spans="1:18" x14ac:dyDescent="0.25">
      <c r="A325" s="32" t="s">
        <v>913</v>
      </c>
      <c r="B325" s="33" t="s">
        <v>2082</v>
      </c>
      <c r="C325" s="33" t="s">
        <v>2064</v>
      </c>
      <c r="D325" s="34">
        <f>IF($M325&gt;0,$M325,3.1)</f>
        <v>3.1</v>
      </c>
      <c r="E325" s="34">
        <f>IF($O325&gt;0,$O325,0.1)</f>
        <v>0.1</v>
      </c>
      <c r="F325" s="35">
        <v>1950</v>
      </c>
      <c r="G325" s="33" t="s">
        <v>1379</v>
      </c>
      <c r="H325" s="36" t="str">
        <f>IF($M325&gt;0,IF($L325&lt;&gt;1,$R325,IFERROR(INDEX('JLR Materials'!$D$2:$D$20001,MATCH($K325,'JLR Materials'!$A$2:$A$20001,0)),$R325)),$R325)</f>
        <v>2026-09</v>
      </c>
      <c r="I325" s="36" t="str">
        <f>IF($M325&gt;0,"JLR rate card — material code "&amp;$K325,$Q325)</f>
        <v>Index-anchored 2026-07. Glass/polyester BMC — electrical housings, headlamp reflectors, motor components; injection/compression moulded. | Refresh 2026-09: NOT SOURCED — upr, gf: Not sourced this period: composites inputs (epoxy China 12,500–12,900 CNY/t Sep 2026; glass fibre ’mild downward pressure’) have no June level on the same basis. Held at the June 2026 price.</v>
      </c>
      <c r="J325" s="33" t="s">
        <v>1380</v>
      </c>
      <c r="K325" s="37" t="str">
        <f>IFERROR(INDEX(Mapping!$C$2:$C$549,MATCH($A325,Mapping!$A$2:$A$549,0)),"")</f>
        <v/>
      </c>
      <c r="L325" s="37">
        <f>IF($K325="",0,COUNTIFS('JLR Materials'!$A$2:$A$20001,$K325,'JLR Materials'!$C$2:$C$20001,IF(Settings!$B$2="","&lt;&gt;",Settings!$B$2),'JLR Materials'!$D$2:$D$20001,IF(Settings!$B$4="","&lt;&gt;",Settings!$B$4)))</f>
        <v>0</v>
      </c>
      <c r="M325" s="38">
        <f>IF($L325&lt;&gt;1,0,SUMIFS('JLR Materials'!$E$2:$E$20001,'JLR Materials'!$A$2:$A$20001,$K325,'JLR Materials'!$C$2:$C$20001,IF(Settings!$B$2="","&lt;&gt;",Settings!$B$2),'JLR Materials'!$D$2:$D$20001,IF(Settings!$B$4="","&lt;&gt;",Settings!$B$4)))</f>
        <v>0</v>
      </c>
      <c r="N325" s="39">
        <f>IF($L325&lt;&gt;1,0,SUMIFS('JLR Materials'!$F$2:$F$20001,'JLR Materials'!$A$2:$A$20001,$K325,'JLR Materials'!$C$2:$C$20001,IF(Settings!$B$2="","&lt;&gt;",Settings!$B$2),'JLR Materials'!$D$2:$D$20001,IF(Settings!$B$4="","&lt;&gt;",Settings!$B$4)))</f>
        <v>0</v>
      </c>
      <c r="O325" s="38">
        <f>IF($N325=0,0,IF(Settings!$B$5="percent",$M325*$N325/100,$N325))</f>
        <v>0</v>
      </c>
      <c r="P325" s="39">
        <f>IF($L325&lt;&gt;1,0,SUMIFS('JLR Materials'!$G$2:$G$20001,'JLR Materials'!$A$2:$A$20001,$K325,'JLR Materials'!$C$2:$C$20001,IF(Settings!$B$2="","&lt;&gt;",Settings!$B$2),'JLR Materials'!$D$2:$D$20001,IF(Settings!$B$4="","&lt;&gt;",Settings!$B$4)))</f>
        <v>0</v>
      </c>
      <c r="Q325" s="40" t="s">
        <v>2083</v>
      </c>
      <c r="R325" s="40" t="s">
        <v>1382</v>
      </c>
    </row>
    <row r="326" spans="1:18" x14ac:dyDescent="0.25">
      <c r="A326" s="32" t="s">
        <v>915</v>
      </c>
      <c r="B326" s="33" t="s">
        <v>2084</v>
      </c>
      <c r="C326" s="33" t="s">
        <v>2064</v>
      </c>
      <c r="D326" s="34">
        <f>IF($M326&gt;0,$M326,3.2)</f>
        <v>3.2</v>
      </c>
      <c r="E326" s="34">
        <f>IF($O326&gt;0,$O326,0.05)</f>
        <v>0.05</v>
      </c>
      <c r="F326" s="35">
        <v>1550</v>
      </c>
      <c r="G326" s="33" t="s">
        <v>1379</v>
      </c>
      <c r="H326" s="36" t="str">
        <f>IF($M326&gt;0,IF($L326&lt;&gt;1,$R326,IFERROR(INDEX('JLR Materials'!$D$2:$D$20001,MATCH($K326,'JLR Materials'!$A$2:$A$20001,0)),$R326)),$R326)</f>
        <v>2026-09</v>
      </c>
      <c r="I326" s="36" t="str">
        <f>IF($M326&gt;0,"JLR rate card — material code "&amp;$K326,$Q326)</f>
        <v>Index-anchored 2026-07. Chopped strand mat — hand-layup/spray-up GFRP, marine hulls, tanks, enclosures. | Refresh 2026-09: NOT SOURCED — gf: Not sourced this period: composites inputs (epoxy China 12,500–12,900 CNY/t Sep 2026; glass fibre ’mild downward pressure’) have no June level on the same basis. Held at the June 2026 price.</v>
      </c>
      <c r="J326" s="33" t="s">
        <v>1380</v>
      </c>
      <c r="K326" s="37" t="str">
        <f>IFERROR(INDEX(Mapping!$C$2:$C$549,MATCH($A326,Mapping!$A$2:$A$549,0)),"")</f>
        <v/>
      </c>
      <c r="L326" s="37">
        <f>IF($K326="",0,COUNTIFS('JLR Materials'!$A$2:$A$20001,$K326,'JLR Materials'!$C$2:$C$20001,IF(Settings!$B$2="","&lt;&gt;",Settings!$B$2),'JLR Materials'!$D$2:$D$20001,IF(Settings!$B$4="","&lt;&gt;",Settings!$B$4)))</f>
        <v>0</v>
      </c>
      <c r="M326" s="38">
        <f>IF($L326&lt;&gt;1,0,SUMIFS('JLR Materials'!$E$2:$E$20001,'JLR Materials'!$A$2:$A$20001,$K326,'JLR Materials'!$C$2:$C$20001,IF(Settings!$B$2="","&lt;&gt;",Settings!$B$2),'JLR Materials'!$D$2:$D$20001,IF(Settings!$B$4="","&lt;&gt;",Settings!$B$4)))</f>
        <v>0</v>
      </c>
      <c r="N326" s="39">
        <f>IF($L326&lt;&gt;1,0,SUMIFS('JLR Materials'!$F$2:$F$20001,'JLR Materials'!$A$2:$A$20001,$K326,'JLR Materials'!$C$2:$C$20001,IF(Settings!$B$2="","&lt;&gt;",Settings!$B$2),'JLR Materials'!$D$2:$D$20001,IF(Settings!$B$4="","&lt;&gt;",Settings!$B$4)))</f>
        <v>0</v>
      </c>
      <c r="O326" s="38">
        <f>IF($N326=0,0,IF(Settings!$B$5="percent",$M326*$N326/100,$N326))</f>
        <v>0</v>
      </c>
      <c r="P326" s="39">
        <f>IF($L326&lt;&gt;1,0,SUMIFS('JLR Materials'!$G$2:$G$20001,'JLR Materials'!$A$2:$A$20001,$K326,'JLR Materials'!$C$2:$C$20001,IF(Settings!$B$2="","&lt;&gt;",Settings!$B$2),'JLR Materials'!$D$2:$D$20001,IF(Settings!$B$4="","&lt;&gt;",Settings!$B$4)))</f>
        <v>0</v>
      </c>
      <c r="Q326" s="40" t="s">
        <v>2085</v>
      </c>
      <c r="R326" s="40" t="s">
        <v>1382</v>
      </c>
    </row>
    <row r="327" spans="1:18" x14ac:dyDescent="0.25">
      <c r="A327" s="32" t="s">
        <v>917</v>
      </c>
      <c r="B327" s="33" t="s">
        <v>2086</v>
      </c>
      <c r="C327" s="33" t="s">
        <v>2064</v>
      </c>
      <c r="D327" s="34">
        <f>IF($M327&gt;0,$M327,62)</f>
        <v>62</v>
      </c>
      <c r="E327" s="34">
        <f>IF($O327&gt;0,$O327,1)</f>
        <v>1</v>
      </c>
      <c r="F327" s="35">
        <v>1550</v>
      </c>
      <c r="G327" s="33" t="s">
        <v>1379</v>
      </c>
      <c r="H327" s="36" t="str">
        <f>IF($M327&gt;0,IF($L327&lt;&gt;1,$R327,IFERROR(INDEX('JLR Materials'!$D$2:$D$20001,MATCH($K327,'JLR Materials'!$A$2:$A$20001,0)),$R327)),$R327)</f>
        <v>2026-09</v>
      </c>
      <c r="I327" s="36" t="str">
        <f>IF($M327&gt;0,"JLR rate card — material code "&amp;$K327,$Q327)</f>
        <v>Index-anchored 2026-07. Continuous CF-reinforced PEEK laminate — stamp-formable aerospace brackets/clips, recyclable, weldable. | Refresh 2026-09: SPECIALTY — no public market index for this grade; held at the June 2026 price — refresh by supplier quote</v>
      </c>
      <c r="J327" s="33" t="s">
        <v>1393</v>
      </c>
      <c r="K327" s="37" t="str">
        <f>IFERROR(INDEX(Mapping!$C$2:$C$549,MATCH($A327,Mapping!$A$2:$A$549,0)),"")</f>
        <v/>
      </c>
      <c r="L327" s="37">
        <f>IF($K327="",0,COUNTIFS('JLR Materials'!$A$2:$A$20001,$K327,'JLR Materials'!$C$2:$C$20001,IF(Settings!$B$2="","&lt;&gt;",Settings!$B$2),'JLR Materials'!$D$2:$D$20001,IF(Settings!$B$4="","&lt;&gt;",Settings!$B$4)))</f>
        <v>0</v>
      </c>
      <c r="M327" s="38">
        <f>IF($L327&lt;&gt;1,0,SUMIFS('JLR Materials'!$E$2:$E$20001,'JLR Materials'!$A$2:$A$20001,$K327,'JLR Materials'!$C$2:$C$20001,IF(Settings!$B$2="","&lt;&gt;",Settings!$B$2),'JLR Materials'!$D$2:$D$20001,IF(Settings!$B$4="","&lt;&gt;",Settings!$B$4)))</f>
        <v>0</v>
      </c>
      <c r="N327" s="39">
        <f>IF($L327&lt;&gt;1,0,SUMIFS('JLR Materials'!$F$2:$F$20001,'JLR Materials'!$A$2:$A$20001,$K327,'JLR Materials'!$C$2:$C$20001,IF(Settings!$B$2="","&lt;&gt;",Settings!$B$2),'JLR Materials'!$D$2:$D$20001,IF(Settings!$B$4="","&lt;&gt;",Settings!$B$4)))</f>
        <v>0</v>
      </c>
      <c r="O327" s="38">
        <f>IF($N327=0,0,IF(Settings!$B$5="percent",$M327*$N327/100,$N327))</f>
        <v>0</v>
      </c>
      <c r="P327" s="39">
        <f>IF($L327&lt;&gt;1,0,SUMIFS('JLR Materials'!$G$2:$G$20001,'JLR Materials'!$A$2:$A$20001,$K327,'JLR Materials'!$C$2:$C$20001,IF(Settings!$B$2="","&lt;&gt;",Settings!$B$2),'JLR Materials'!$D$2:$D$20001,IF(Settings!$B$4="","&lt;&gt;",Settings!$B$4)))</f>
        <v>0</v>
      </c>
      <c r="Q327" s="40" t="s">
        <v>2087</v>
      </c>
      <c r="R327" s="40" t="s">
        <v>1382</v>
      </c>
    </row>
    <row r="328" spans="1:18" x14ac:dyDescent="0.25">
      <c r="A328" s="32" t="s">
        <v>919</v>
      </c>
      <c r="B328" s="33" t="s">
        <v>2088</v>
      </c>
      <c r="C328" s="33" t="s">
        <v>2064</v>
      </c>
      <c r="D328" s="34">
        <f>IF($M328&gt;0,$M328,42)</f>
        <v>42</v>
      </c>
      <c r="E328" s="34">
        <f>IF($O328&gt;0,$O328,0)</f>
        <v>0</v>
      </c>
      <c r="F328" s="35">
        <v>48</v>
      </c>
      <c r="G328" s="33" t="s">
        <v>1379</v>
      </c>
      <c r="H328" s="36" t="str">
        <f>IF($M328&gt;0,IF($L328&lt;&gt;1,$R328,IFERROR(INDEX('JLR Materials'!$D$2:$D$20001,MATCH($K328,'JLR Materials'!$A$2:$A$20001,0)),$R328)),$R328)</f>
        <v>2026-09</v>
      </c>
      <c r="I328" s="36" t="str">
        <f>IF($M328&gt;0,"JLR rate card — material code "&amp;$K328,$Q328)</f>
        <v>Index-anchored 2026-07. Aramid-paper honeycomb — sandwich-panel core for aircraft floors/interiors; density is core bulk (~48 kg/m³). | Refresh 2026-09: SPECIALTY — no public market index for this grade; held at the June 2026 price — refresh by supplier quote</v>
      </c>
      <c r="J328" s="33" t="s">
        <v>1393</v>
      </c>
      <c r="K328" s="37" t="str">
        <f>IFERROR(INDEX(Mapping!$C$2:$C$549,MATCH($A328,Mapping!$A$2:$A$549,0)),"")</f>
        <v/>
      </c>
      <c r="L328" s="37">
        <f>IF($K328="",0,COUNTIFS('JLR Materials'!$A$2:$A$20001,$K328,'JLR Materials'!$C$2:$C$20001,IF(Settings!$B$2="","&lt;&gt;",Settings!$B$2),'JLR Materials'!$D$2:$D$20001,IF(Settings!$B$4="","&lt;&gt;",Settings!$B$4)))</f>
        <v>0</v>
      </c>
      <c r="M328" s="38">
        <f>IF($L328&lt;&gt;1,0,SUMIFS('JLR Materials'!$E$2:$E$20001,'JLR Materials'!$A$2:$A$20001,$K328,'JLR Materials'!$C$2:$C$20001,IF(Settings!$B$2="","&lt;&gt;",Settings!$B$2),'JLR Materials'!$D$2:$D$20001,IF(Settings!$B$4="","&lt;&gt;",Settings!$B$4)))</f>
        <v>0</v>
      </c>
      <c r="N328" s="39">
        <f>IF($L328&lt;&gt;1,0,SUMIFS('JLR Materials'!$F$2:$F$20001,'JLR Materials'!$A$2:$A$20001,$K328,'JLR Materials'!$C$2:$C$20001,IF(Settings!$B$2="","&lt;&gt;",Settings!$B$2),'JLR Materials'!$D$2:$D$20001,IF(Settings!$B$4="","&lt;&gt;",Settings!$B$4)))</f>
        <v>0</v>
      </c>
      <c r="O328" s="38">
        <f>IF($N328=0,0,IF(Settings!$B$5="percent",$M328*$N328/100,$N328))</f>
        <v>0</v>
      </c>
      <c r="P328" s="39">
        <f>IF($L328&lt;&gt;1,0,SUMIFS('JLR Materials'!$G$2:$G$20001,'JLR Materials'!$A$2:$A$20001,$K328,'JLR Materials'!$C$2:$C$20001,IF(Settings!$B$2="","&lt;&gt;",Settings!$B$2),'JLR Materials'!$D$2:$D$20001,IF(Settings!$B$4="","&lt;&gt;",Settings!$B$4)))</f>
        <v>0</v>
      </c>
      <c r="Q328" s="40" t="s">
        <v>2089</v>
      </c>
      <c r="R328" s="40" t="s">
        <v>1382</v>
      </c>
    </row>
    <row r="329" spans="1:18" x14ac:dyDescent="0.25">
      <c r="A329" s="32" t="s">
        <v>921</v>
      </c>
      <c r="B329" s="33" t="s">
        <v>2090</v>
      </c>
      <c r="C329" s="33" t="s">
        <v>2064</v>
      </c>
      <c r="D329" s="34">
        <f>IF($M329&gt;0,$M329,9.5)</f>
        <v>9.5</v>
      </c>
      <c r="E329" s="34">
        <f>IF($O329&gt;0,$O329,0)</f>
        <v>0</v>
      </c>
      <c r="F329" s="35">
        <v>100</v>
      </c>
      <c r="G329" s="33" t="s">
        <v>1379</v>
      </c>
      <c r="H329" s="36" t="str">
        <f>IF($M329&gt;0,IF($L329&lt;&gt;1,$R329,IFERROR(INDEX('JLR Materials'!$D$2:$D$20001,MATCH($K329,'JLR Materials'!$A$2:$A$20001,0)),$R329)),$R329)</f>
        <v>2026-09</v>
      </c>
      <c r="I329" s="36" t="str">
        <f>IF($M329&gt;0,"JLR rate card — material code "&amp;$K329,$Q329)</f>
        <v>Index-anchored 2026-07. Recyclable PET foam core — wind blades, marine, transport sandwich panels; density is core bulk (~100 kg/m³). | Refresh 2026-09: SPECIALTY — no public market index for this grade; held at the June 2026 price — refresh by supplier quote</v>
      </c>
      <c r="J329" s="33" t="s">
        <v>1393</v>
      </c>
      <c r="K329" s="37" t="str">
        <f>IFERROR(INDEX(Mapping!$C$2:$C$549,MATCH($A329,Mapping!$A$2:$A$549,0)),"")</f>
        <v/>
      </c>
      <c r="L329" s="37">
        <f>IF($K329="",0,COUNTIFS('JLR Materials'!$A$2:$A$20001,$K329,'JLR Materials'!$C$2:$C$20001,IF(Settings!$B$2="","&lt;&gt;",Settings!$B$2),'JLR Materials'!$D$2:$D$20001,IF(Settings!$B$4="","&lt;&gt;",Settings!$B$4)))</f>
        <v>0</v>
      </c>
      <c r="M329" s="38">
        <f>IF($L329&lt;&gt;1,0,SUMIFS('JLR Materials'!$E$2:$E$20001,'JLR Materials'!$A$2:$A$20001,$K329,'JLR Materials'!$C$2:$C$20001,IF(Settings!$B$2="","&lt;&gt;",Settings!$B$2),'JLR Materials'!$D$2:$D$20001,IF(Settings!$B$4="","&lt;&gt;",Settings!$B$4)))</f>
        <v>0</v>
      </c>
      <c r="N329" s="39">
        <f>IF($L329&lt;&gt;1,0,SUMIFS('JLR Materials'!$F$2:$F$20001,'JLR Materials'!$A$2:$A$20001,$K329,'JLR Materials'!$C$2:$C$20001,IF(Settings!$B$2="","&lt;&gt;",Settings!$B$2),'JLR Materials'!$D$2:$D$20001,IF(Settings!$B$4="","&lt;&gt;",Settings!$B$4)))</f>
        <v>0</v>
      </c>
      <c r="O329" s="38">
        <f>IF($N329=0,0,IF(Settings!$B$5="percent",$M329*$N329/100,$N329))</f>
        <v>0</v>
      </c>
      <c r="P329" s="39">
        <f>IF($L329&lt;&gt;1,0,SUMIFS('JLR Materials'!$G$2:$G$20001,'JLR Materials'!$A$2:$A$20001,$K329,'JLR Materials'!$C$2:$C$20001,IF(Settings!$B$2="","&lt;&gt;",Settings!$B$2),'JLR Materials'!$D$2:$D$20001,IF(Settings!$B$4="","&lt;&gt;",Settings!$B$4)))</f>
        <v>0</v>
      </c>
      <c r="Q329" s="40" t="s">
        <v>2091</v>
      </c>
      <c r="R329" s="40" t="s">
        <v>1382</v>
      </c>
    </row>
  </sheetData>
  <autoFilter ref="A1:R1"/>
  <pageMargins left="0.4" right="0.4" top="0.5" bottom="0.5" header="0.3" footer="0.3"/>
  <pageSetup orientation="portrait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94A6"/>
    <pageSetUpPr fitToPage="1"/>
  </sheetPr>
  <dimension ref="A1:AB17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 defaultColWidth="12"/>
  <cols>
    <col min="1" max="1" width="24" customWidth="1"/>
    <col min="2" max="2" width="30" customWidth="1"/>
    <col min="3" max="3" width="10" customWidth="1"/>
    <col min="4" max="4" width="18" customWidth="1"/>
    <col min="5" max="5" width="15" customWidth="1"/>
    <col min="6" max="7" width="13" customWidth="1"/>
    <col min="8" max="8" width="17" customWidth="1"/>
    <col min="9" max="9" width="15" customWidth="1"/>
    <col min="10" max="10" width="20" customWidth="1"/>
    <col min="11" max="11" width="18" customWidth="1"/>
    <col min="12" max="12" width="14" customWidth="1"/>
    <col min="13" max="13" width="52" customWidth="1"/>
    <col min="14" max="14" width="12" customWidth="1"/>
    <col min="15" max="16" width="13" customWidth="1"/>
    <col min="17" max="17" width="14" customWidth="1"/>
    <col min="18" max="18" width="13" customWidth="1"/>
    <col min="19" max="19" width="11" customWidth="1"/>
    <col min="20" max="20" width="12" customWidth="1"/>
    <col min="21" max="21" width="11" customWidth="1"/>
    <col min="22" max="22" width="12" customWidth="1"/>
    <col min="23" max="23" width="14" customWidth="1"/>
    <col min="24" max="24" width="18" customWidth="1"/>
    <col min="25" max="25" width="15" customWidth="1"/>
    <col min="26" max="26" width="18" customWidth="1"/>
    <col min="27" max="27" width="44" customWidth="1"/>
    <col min="28" max="28" width="14" customWidth="1"/>
  </cols>
  <sheetData>
    <row r="1" ht="30" customHeight="1" spans="1:28" x14ac:dyDescent="0.25">
      <c r="A1" s="20" t="s">
        <v>1365</v>
      </c>
      <c r="B1" s="20" t="s">
        <v>2092</v>
      </c>
      <c r="C1" s="20" t="s">
        <v>1368</v>
      </c>
      <c r="D1" s="20" t="s">
        <v>152</v>
      </c>
      <c r="E1" s="20" t="s">
        <v>156</v>
      </c>
      <c r="F1" s="20" t="s">
        <v>160</v>
      </c>
      <c r="G1" s="20" t="s">
        <v>164</v>
      </c>
      <c r="H1" s="20" t="s">
        <v>168</v>
      </c>
      <c r="I1" s="20" t="s">
        <v>172</v>
      </c>
      <c r="J1" s="20" t="s">
        <v>2093</v>
      </c>
      <c r="K1" s="20" t="s">
        <v>2094</v>
      </c>
      <c r="L1" s="20" t="s">
        <v>1369</v>
      </c>
      <c r="M1" s="20" t="s">
        <v>1370</v>
      </c>
      <c r="N1" s="20" t="s">
        <v>1371</v>
      </c>
      <c r="O1" s="31" t="s">
        <v>263</v>
      </c>
      <c r="P1" s="31" t="s">
        <v>1372</v>
      </c>
      <c r="Q1" s="31" t="s">
        <v>151</v>
      </c>
      <c r="R1" s="31" t="s">
        <v>163</v>
      </c>
      <c r="S1" s="31" t="s">
        <v>155</v>
      </c>
      <c r="T1" s="31" t="s">
        <v>246</v>
      </c>
      <c r="U1" s="31" t="s">
        <v>171</v>
      </c>
      <c r="V1" s="31" t="s">
        <v>159</v>
      </c>
      <c r="W1" s="31" t="s">
        <v>247</v>
      </c>
      <c r="X1" s="31" t="s">
        <v>175</v>
      </c>
      <c r="Y1" s="31" t="s">
        <v>2095</v>
      </c>
      <c r="Z1" s="31" t="s">
        <v>2096</v>
      </c>
      <c r="AA1" s="31" t="s">
        <v>1375</v>
      </c>
      <c r="AB1" s="31" t="s">
        <v>1376</v>
      </c>
    </row>
    <row r="2" spans="1:28" x14ac:dyDescent="0.25">
      <c r="A2" s="32" t="s">
        <v>923</v>
      </c>
      <c r="B2" s="33" t="s">
        <v>2097</v>
      </c>
      <c r="C2" s="33" t="s">
        <v>1379</v>
      </c>
      <c r="D2" s="41">
        <f>IF($X2&gt;0,IF($Y2&gt;0,MAX(0,$Q2+$X2-$Y2)*3200,$X2*3200),40480)</f>
        <v>40480</v>
      </c>
      <c r="E2" s="41">
        <f>IF($X2&gt;0,IF($Y2&gt;0,$S2*3200,0),22211)</f>
        <v>22211</v>
      </c>
      <c r="F2" s="41">
        <f>IF($X2&gt;0,IF($Y2&gt;0,$V2*3200,0),23304)</f>
        <v>23304</v>
      </c>
      <c r="G2" s="41">
        <f>IF($X2&gt;0,IF($Y2&gt;0,$R2*3200,0),8077)</f>
        <v>8077</v>
      </c>
      <c r="H2" s="41">
        <f>IF($X2&gt;0,IF($Y2&gt;0,($T2+$W2)*3200,0),22158)</f>
        <v>22158</v>
      </c>
      <c r="I2" s="41">
        <f>IF($X2&gt;0,IF($Y2&gt;0,$U2*3200,0),16000)</f>
        <v>16000</v>
      </c>
      <c r="J2" s="35">
        <v>4000</v>
      </c>
      <c r="K2" s="42">
        <v>0.8</v>
      </c>
      <c r="L2" s="36" t="str">
        <f>IF($X2&gt;0,IF($P2&lt;&gt;1,$AB2,IFERROR(INDEX('JLR Machines'!$D$2:$D$20001,MATCH($O2,'JLR Machines'!$A$2:$A$20001,0)),$AB2)),$AB2)</f>
        <v>2026-09-29</v>
      </c>
      <c r="M2" s="36" t="str">
        <f>IF($X2&gt;0,IF($Y2&gt;0,"JLR machine "&amp;$O2&amp;" at "&amp;TEXT($X2,"0.00")&amp;" per hr — build-up as supplied","JLR machine "&amp;$O2&amp;" at "&amp;TEXT($X2,"0.00")&amp;" per hr — build-up not supplied"),$AA2)</f>
        <v>UK Tier-2 CNC turning centre (Doosan/Hyundai class). Target £40/hr. Jun 2026</v>
      </c>
      <c r="N2" s="33" t="s">
        <v>1380</v>
      </c>
      <c r="O2" s="37" t="str">
        <f>IFERROR(INDEX(Mapping!$C$2:$C$549,MATCH($A2,Mapping!$A$2:$A$549,0)),"")</f>
        <v/>
      </c>
      <c r="P2" s="37">
        <f>IF($O2="",0,COUNTIFS('JLR Machines'!$A$2:$A$20001,$O2,'JLR Machines'!$C$2:$C$20001,IF(Settings!$B$2="","&lt;&gt;",Settings!$B$2),'JLR Machines'!$D$2:$D$20001,IF(Settings!$B$3="","&lt;&gt;",Settings!$B$3)))</f>
        <v>0</v>
      </c>
      <c r="Q2" s="39">
        <f>IF($P2&lt;&gt;1,0,SUMIFS('JLR Machines'!$G$2:$G$20001,'JLR Machines'!$A$2:$A$20001,$O2,'JLR Machines'!$C$2:$C$20001,IF(Settings!$B$2="","&lt;&gt;",Settings!$B$2),'JLR Machines'!$D$2:$D$20001,IF(Settings!$B$3="","&lt;&gt;",Settings!$B$3)))</f>
        <v>0</v>
      </c>
      <c r="R2" s="39">
        <f>IF($P2&lt;&gt;1,0,SUMIFS('JLR Machines'!$H$2:$H$20001,'JLR Machines'!$A$2:$A$20001,$O2,'JLR Machines'!$C$2:$C$20001,IF(Settings!$B$2="","&lt;&gt;",Settings!$B$2),'JLR Machines'!$D$2:$D$20001,IF(Settings!$B$3="","&lt;&gt;",Settings!$B$3)))</f>
        <v>0</v>
      </c>
      <c r="S2" s="39">
        <f>IF($P2&lt;&gt;1,0,SUMIFS('JLR Machines'!$I$2:$I$20001,'JLR Machines'!$A$2:$A$20001,$O2,'JLR Machines'!$C$2:$C$20001,IF(Settings!$B$2="","&lt;&gt;",Settings!$B$2),'JLR Machines'!$D$2:$D$20001,IF(Settings!$B$3="","&lt;&gt;",Settings!$B$3)))</f>
        <v>0</v>
      </c>
      <c r="T2" s="39">
        <f>IF($P2&lt;&gt;1,0,SUMIFS('JLR Machines'!$J$2:$J$20001,'JLR Machines'!$A$2:$A$20001,$O2,'JLR Machines'!$C$2:$C$20001,IF(Settings!$B$2="","&lt;&gt;",Settings!$B$2),'JLR Machines'!$D$2:$D$20001,IF(Settings!$B$3="","&lt;&gt;",Settings!$B$3)))</f>
        <v>0</v>
      </c>
      <c r="U2" s="39">
        <f>IF($P2&lt;&gt;1,0,SUMIFS('JLR Machines'!$K$2:$K$20001,'JLR Machines'!$A$2:$A$20001,$O2,'JLR Machines'!$C$2:$C$20001,IF(Settings!$B$2="","&lt;&gt;",Settings!$B$2),'JLR Machines'!$D$2:$D$20001,IF(Settings!$B$3="","&lt;&gt;",Settings!$B$3)))</f>
        <v>0</v>
      </c>
      <c r="V2" s="39">
        <f>IF($P2&lt;&gt;1,0,SUMIFS('JLR Machines'!$L$2:$L$20001,'JLR Machines'!$A$2:$A$20001,$O2,'JLR Machines'!$C$2:$C$20001,IF(Settings!$B$2="","&lt;&gt;",Settings!$B$2),'JLR Machines'!$D$2:$D$20001,IF(Settings!$B$3="","&lt;&gt;",Settings!$B$3)))</f>
        <v>0</v>
      </c>
      <c r="W2" s="39">
        <f>IF($P2&lt;&gt;1,0,SUMIFS('JLR Machines'!$M$2:$M$20001,'JLR Machines'!$A$2:$A$20001,$O2,'JLR Machines'!$C$2:$C$20001,IF(Settings!$B$2="","&lt;&gt;",Settings!$B$2),'JLR Machines'!$D$2:$D$20001,IF(Settings!$B$3="","&lt;&gt;",Settings!$B$3)))</f>
        <v>0</v>
      </c>
      <c r="X2" s="39">
        <f>IF($P2&lt;&gt;1,0,SUMIFS('JLR Machines'!$N$2:$N$20001,'JLR Machines'!$A$2:$A$20001,$O2,'JLR Machines'!$C$2:$C$20001,IF(Settings!$B$2="","&lt;&gt;",Settings!$B$2),'JLR Machines'!$D$2:$D$20001,IF(Settings!$B$3="","&lt;&gt;",Settings!$B$3)))</f>
        <v>0</v>
      </c>
      <c r="Y2" s="39">
        <f>$Q2+$R2+$S2+$T2+$U2+$V2+$W2</f>
        <v>0</v>
      </c>
      <c r="Z2" s="38">
        <f>IF($X2&lt;=0,0,ROUND((D2+E2+F2+G2+H2+I2)/3200-$X2,4))</f>
        <v>0</v>
      </c>
      <c r="AA2" s="40" t="s">
        <v>2098</v>
      </c>
      <c r="AB2" s="40" t="s">
        <v>2099</v>
      </c>
    </row>
    <row r="3" spans="1:28" x14ac:dyDescent="0.25">
      <c r="A3" s="32" t="s">
        <v>926</v>
      </c>
      <c r="B3" s="33" t="s">
        <v>2100</v>
      </c>
      <c r="C3" s="33" t="s">
        <v>1379</v>
      </c>
      <c r="D3" s="41">
        <f>IF($X3&gt;0,IF($Y3&gt;0,MAX(0,$Q3+$X3-$Y3)*3200,$X3*3200),55660)</f>
        <v>55660</v>
      </c>
      <c r="E3" s="41">
        <f>IF($X3&gt;0,IF($Y3&gt;0,$S3*3200,0),30288)</f>
        <v>30288</v>
      </c>
      <c r="F3" s="41">
        <f>IF($X3&gt;0,IF($Y3&gt;0,$V3*3200,0),32626)</f>
        <v>32626</v>
      </c>
      <c r="G3" s="41">
        <f>IF($X3&gt;0,IF($Y3&gt;0,$R3*3200,0),12115)</f>
        <v>12115</v>
      </c>
      <c r="H3" s="41">
        <f>IF($X3&gt;0,IF($Y3&gt;0,($T3+$W3)*3200,0),30215)</f>
        <v>30215</v>
      </c>
      <c r="I3" s="41">
        <f>IF($X3&gt;0,IF($Y3&gt;0,$U3*3200,0),21000)</f>
        <v>21000</v>
      </c>
      <c r="J3" s="35">
        <v>4000</v>
      </c>
      <c r="K3" s="42">
        <v>0.8</v>
      </c>
      <c r="L3" s="36" t="str">
        <f>IF($X3&gt;0,IF($P3&lt;&gt;1,$AB3,IFERROR(INDEX('JLR Machines'!$D$2:$D$20001,MATCH($O3,'JLR Machines'!$A$2:$A$20001,0)),$AB3)),$AB3)</f>
        <v>2026-09-29</v>
      </c>
      <c r="M3" s="36" t="str">
        <f>IF($X3&gt;0,IF($Y3&gt;0,"JLR machine "&amp;$O3&amp;" at "&amp;TEXT($X3,"0.00")&amp;" per hr — build-up as supplied","JLR machine "&amp;$O3&amp;" at "&amp;TEXT($X3,"0.00")&amp;" per hr — build-up not supplied"),$AA3)</f>
        <v>UK Tier-2 3-axis VMC (HAAS VF/VM class). Target £55/hr. Jun 2026</v>
      </c>
      <c r="N3" s="33" t="s">
        <v>1380</v>
      </c>
      <c r="O3" s="37" t="str">
        <f>IFERROR(INDEX(Mapping!$C$2:$C$549,MATCH($A3,Mapping!$A$2:$A$549,0)),"")</f>
        <v/>
      </c>
      <c r="P3" s="37">
        <f>IF($O3="",0,COUNTIFS('JLR Machines'!$A$2:$A$20001,$O3,'JLR Machines'!$C$2:$C$20001,IF(Settings!$B$2="","&lt;&gt;",Settings!$B$2),'JLR Machines'!$D$2:$D$20001,IF(Settings!$B$3="","&lt;&gt;",Settings!$B$3)))</f>
        <v>0</v>
      </c>
      <c r="Q3" s="39">
        <f>IF($P3&lt;&gt;1,0,SUMIFS('JLR Machines'!$G$2:$G$20001,'JLR Machines'!$A$2:$A$20001,$O3,'JLR Machines'!$C$2:$C$20001,IF(Settings!$B$2="","&lt;&gt;",Settings!$B$2),'JLR Machines'!$D$2:$D$20001,IF(Settings!$B$3="","&lt;&gt;",Settings!$B$3)))</f>
        <v>0</v>
      </c>
      <c r="R3" s="39">
        <f>IF($P3&lt;&gt;1,0,SUMIFS('JLR Machines'!$H$2:$H$20001,'JLR Machines'!$A$2:$A$20001,$O3,'JLR Machines'!$C$2:$C$20001,IF(Settings!$B$2="","&lt;&gt;",Settings!$B$2),'JLR Machines'!$D$2:$D$20001,IF(Settings!$B$3="","&lt;&gt;",Settings!$B$3)))</f>
        <v>0</v>
      </c>
      <c r="S3" s="39">
        <f>IF($P3&lt;&gt;1,0,SUMIFS('JLR Machines'!$I$2:$I$20001,'JLR Machines'!$A$2:$A$20001,$O3,'JLR Machines'!$C$2:$C$20001,IF(Settings!$B$2="","&lt;&gt;",Settings!$B$2),'JLR Machines'!$D$2:$D$20001,IF(Settings!$B$3="","&lt;&gt;",Settings!$B$3)))</f>
        <v>0</v>
      </c>
      <c r="T3" s="39">
        <f>IF($P3&lt;&gt;1,0,SUMIFS('JLR Machines'!$J$2:$J$20001,'JLR Machines'!$A$2:$A$20001,$O3,'JLR Machines'!$C$2:$C$20001,IF(Settings!$B$2="","&lt;&gt;",Settings!$B$2),'JLR Machines'!$D$2:$D$20001,IF(Settings!$B$3="","&lt;&gt;",Settings!$B$3)))</f>
        <v>0</v>
      </c>
      <c r="U3" s="39">
        <f>IF($P3&lt;&gt;1,0,SUMIFS('JLR Machines'!$K$2:$K$20001,'JLR Machines'!$A$2:$A$20001,$O3,'JLR Machines'!$C$2:$C$20001,IF(Settings!$B$2="","&lt;&gt;",Settings!$B$2),'JLR Machines'!$D$2:$D$20001,IF(Settings!$B$3="","&lt;&gt;",Settings!$B$3)))</f>
        <v>0</v>
      </c>
      <c r="V3" s="39">
        <f>IF($P3&lt;&gt;1,0,SUMIFS('JLR Machines'!$L$2:$L$20001,'JLR Machines'!$A$2:$A$20001,$O3,'JLR Machines'!$C$2:$C$20001,IF(Settings!$B$2="","&lt;&gt;",Settings!$B$2),'JLR Machines'!$D$2:$D$20001,IF(Settings!$B$3="","&lt;&gt;",Settings!$B$3)))</f>
        <v>0</v>
      </c>
      <c r="W3" s="39">
        <f>IF($P3&lt;&gt;1,0,SUMIFS('JLR Machines'!$M$2:$M$20001,'JLR Machines'!$A$2:$A$20001,$O3,'JLR Machines'!$C$2:$C$20001,IF(Settings!$B$2="","&lt;&gt;",Settings!$B$2),'JLR Machines'!$D$2:$D$20001,IF(Settings!$B$3="","&lt;&gt;",Settings!$B$3)))</f>
        <v>0</v>
      </c>
      <c r="X3" s="39">
        <f>IF($P3&lt;&gt;1,0,SUMIFS('JLR Machines'!$N$2:$N$20001,'JLR Machines'!$A$2:$A$20001,$O3,'JLR Machines'!$C$2:$C$20001,IF(Settings!$B$2="","&lt;&gt;",Settings!$B$2),'JLR Machines'!$D$2:$D$20001,IF(Settings!$B$3="","&lt;&gt;",Settings!$B$3)))</f>
        <v>0</v>
      </c>
      <c r="Y3" s="39">
        <f>$Q3+$R3+$S3+$T3+$U3+$V3+$W3</f>
        <v>0</v>
      </c>
      <c r="Z3" s="38">
        <f>IF($X3&lt;=0,0,ROUND((D3+E3+F3+G3+H3+I3)/3200-$X3,4))</f>
        <v>0</v>
      </c>
      <c r="AA3" s="40" t="s">
        <v>2101</v>
      </c>
      <c r="AB3" s="40" t="s">
        <v>2099</v>
      </c>
    </row>
    <row r="4" spans="1:28" x14ac:dyDescent="0.25">
      <c r="A4" s="32" t="s">
        <v>928</v>
      </c>
      <c r="B4" s="33" t="s">
        <v>2102</v>
      </c>
      <c r="C4" s="33" t="s">
        <v>1379</v>
      </c>
      <c r="D4" s="41">
        <f>IF($X4&gt;0,IF($Y4&gt;0,MAX(0,$Q4+$X4-$Y4)*3120,$X4*3120),96140)</f>
        <v>96140</v>
      </c>
      <c r="E4" s="41">
        <f>IF($X4&gt;0,IF($Y4&gt;0,$S4*3120,0),45431)</f>
        <v>45431</v>
      </c>
      <c r="F4" s="41">
        <f>IF($X4&gt;0,IF($Y4&gt;0,$V4*3120,0),40783)</f>
        <v>40783</v>
      </c>
      <c r="G4" s="41">
        <f>IF($X4&gt;0,IF($Y4&gt;0,$R4*3120,0),18173)</f>
        <v>18173</v>
      </c>
      <c r="H4" s="41">
        <f>IF($X4&gt;0,IF($Y4&gt;0,($T4+$W4)*3120,0),48344)</f>
        <v>48344</v>
      </c>
      <c r="I4" s="41">
        <f>IF($X4&gt;0,IF($Y4&gt;0,$U4*3120,0),24200)</f>
        <v>24200</v>
      </c>
      <c r="J4" s="35">
        <v>4000</v>
      </c>
      <c r="K4" s="42">
        <v>0.78</v>
      </c>
      <c r="L4" s="36" t="str">
        <f>IF($X4&gt;0,IF($P4&lt;&gt;1,$AB4,IFERROR(INDEX('JLR Machines'!$D$2:$D$20001,MATCH($O4,'JLR Machines'!$A$2:$A$20001,0)),$AB4)),$AB4)</f>
        <v>2026-09-29</v>
      </c>
      <c r="M4" s="36" t="str">
        <f>IF($X4&gt;0,IF($Y4&gt;0,"JLR machine "&amp;$O4&amp;" at "&amp;TEXT($X4,"0.00")&amp;" per hr — build-up as supplied","JLR machine "&amp;$O4&amp;" at "&amp;TEXT($X4,"0.00")&amp;" per hr — build-up not supplied"),$AA4)</f>
        <v>UK Tier-1 5-axis machining centre (DMG/Hermle class). Target £85/hr. Jun 2026</v>
      </c>
      <c r="N4" s="33" t="s">
        <v>1380</v>
      </c>
      <c r="O4" s="37" t="str">
        <f>IFERROR(INDEX(Mapping!$C$2:$C$549,MATCH($A4,Mapping!$A$2:$A$549,0)),"")</f>
        <v/>
      </c>
      <c r="P4" s="37">
        <f>IF($O4="",0,COUNTIFS('JLR Machines'!$A$2:$A$20001,$O4,'JLR Machines'!$C$2:$C$20001,IF(Settings!$B$2="","&lt;&gt;",Settings!$B$2),'JLR Machines'!$D$2:$D$20001,IF(Settings!$B$3="","&lt;&gt;",Settings!$B$3)))</f>
        <v>0</v>
      </c>
      <c r="Q4" s="39">
        <f>IF($P4&lt;&gt;1,0,SUMIFS('JLR Machines'!$G$2:$G$20001,'JLR Machines'!$A$2:$A$20001,$O4,'JLR Machines'!$C$2:$C$20001,IF(Settings!$B$2="","&lt;&gt;",Settings!$B$2),'JLR Machines'!$D$2:$D$20001,IF(Settings!$B$3="","&lt;&gt;",Settings!$B$3)))</f>
        <v>0</v>
      </c>
      <c r="R4" s="39">
        <f>IF($P4&lt;&gt;1,0,SUMIFS('JLR Machines'!$H$2:$H$20001,'JLR Machines'!$A$2:$A$20001,$O4,'JLR Machines'!$C$2:$C$20001,IF(Settings!$B$2="","&lt;&gt;",Settings!$B$2),'JLR Machines'!$D$2:$D$20001,IF(Settings!$B$3="","&lt;&gt;",Settings!$B$3)))</f>
        <v>0</v>
      </c>
      <c r="S4" s="39">
        <f>IF($P4&lt;&gt;1,0,SUMIFS('JLR Machines'!$I$2:$I$20001,'JLR Machines'!$A$2:$A$20001,$O4,'JLR Machines'!$C$2:$C$20001,IF(Settings!$B$2="","&lt;&gt;",Settings!$B$2),'JLR Machines'!$D$2:$D$20001,IF(Settings!$B$3="","&lt;&gt;",Settings!$B$3)))</f>
        <v>0</v>
      </c>
      <c r="T4" s="39">
        <f>IF($P4&lt;&gt;1,0,SUMIFS('JLR Machines'!$J$2:$J$20001,'JLR Machines'!$A$2:$A$20001,$O4,'JLR Machines'!$C$2:$C$20001,IF(Settings!$B$2="","&lt;&gt;",Settings!$B$2),'JLR Machines'!$D$2:$D$20001,IF(Settings!$B$3="","&lt;&gt;",Settings!$B$3)))</f>
        <v>0</v>
      </c>
      <c r="U4" s="39">
        <f>IF($P4&lt;&gt;1,0,SUMIFS('JLR Machines'!$K$2:$K$20001,'JLR Machines'!$A$2:$A$20001,$O4,'JLR Machines'!$C$2:$C$20001,IF(Settings!$B$2="","&lt;&gt;",Settings!$B$2),'JLR Machines'!$D$2:$D$20001,IF(Settings!$B$3="","&lt;&gt;",Settings!$B$3)))</f>
        <v>0</v>
      </c>
      <c r="V4" s="39">
        <f>IF($P4&lt;&gt;1,0,SUMIFS('JLR Machines'!$L$2:$L$20001,'JLR Machines'!$A$2:$A$20001,$O4,'JLR Machines'!$C$2:$C$20001,IF(Settings!$B$2="","&lt;&gt;",Settings!$B$2),'JLR Machines'!$D$2:$D$20001,IF(Settings!$B$3="","&lt;&gt;",Settings!$B$3)))</f>
        <v>0</v>
      </c>
      <c r="W4" s="39">
        <f>IF($P4&lt;&gt;1,0,SUMIFS('JLR Machines'!$M$2:$M$20001,'JLR Machines'!$A$2:$A$20001,$O4,'JLR Machines'!$C$2:$C$20001,IF(Settings!$B$2="","&lt;&gt;",Settings!$B$2),'JLR Machines'!$D$2:$D$20001,IF(Settings!$B$3="","&lt;&gt;",Settings!$B$3)))</f>
        <v>0</v>
      </c>
      <c r="X4" s="39">
        <f>IF($P4&lt;&gt;1,0,SUMIFS('JLR Machines'!$N$2:$N$20001,'JLR Machines'!$A$2:$A$20001,$O4,'JLR Machines'!$C$2:$C$20001,IF(Settings!$B$2="","&lt;&gt;",Settings!$B$2),'JLR Machines'!$D$2:$D$20001,IF(Settings!$B$3="","&lt;&gt;",Settings!$B$3)))</f>
        <v>0</v>
      </c>
      <c r="Y4" s="39">
        <f>$Q4+$R4+$S4+$T4+$U4+$V4+$W4</f>
        <v>0</v>
      </c>
      <c r="Z4" s="38">
        <f>IF($X4&lt;=0,0,ROUND((D4+E4+F4+G4+H4+I4)/3120-$X4,4))</f>
        <v>0</v>
      </c>
      <c r="AA4" s="40" t="s">
        <v>2103</v>
      </c>
      <c r="AB4" s="40" t="s">
        <v>2099</v>
      </c>
    </row>
    <row r="5" spans="1:28" x14ac:dyDescent="0.25">
      <c r="A5" s="32" t="s">
        <v>930</v>
      </c>
      <c r="B5" s="33" t="s">
        <v>2104</v>
      </c>
      <c r="C5" s="33" t="s">
        <v>1379</v>
      </c>
      <c r="D5" s="41">
        <f>IF($X5&gt;0,IF($Y5&gt;0,MAX(0,$Q5+$X5-$Y5)*3200,$X5*3200),28336)</f>
        <v>28336</v>
      </c>
      <c r="E5" s="41">
        <f>IF($X5&gt;0,IF($Y5&gt;0,$S5*3200,0),12115)</f>
        <v>12115</v>
      </c>
      <c r="F5" s="41">
        <f>IF($X5&gt;0,IF($Y5&gt;0,$V5*3200,0),20974)</f>
        <v>20974</v>
      </c>
      <c r="G5" s="41">
        <f>IF($X5&gt;0,IF($Y5&gt;0,$R5*3200,0),8077)</f>
        <v>8077</v>
      </c>
      <c r="H5" s="41">
        <f>IF($X5&gt;0,IF($Y5&gt;0,($T5+$W5)*3200,0),16115)</f>
        <v>16115</v>
      </c>
      <c r="I5" s="41">
        <f>IF($X5&gt;0,IF($Y5&gt;0,$U5*3200,0),14000)</f>
        <v>14000</v>
      </c>
      <c r="J5" s="35">
        <v>4000</v>
      </c>
      <c r="K5" s="42">
        <v>0.8</v>
      </c>
      <c r="L5" s="36" t="str">
        <f>IF($X5&gt;0,IF($P5&lt;&gt;1,$AB5,IFERROR(INDEX('JLR Machines'!$D$2:$D$20001,MATCH($O5,'JLR Machines'!$A$2:$A$20001,0)),$AB5)),$AB5)</f>
        <v>2026-09-29</v>
      </c>
      <c r="M5" s="36" t="str">
        <f>IF($X5&gt;0,IF($Y5&gt;0,"JLR machine "&amp;$O5&amp;" at "&amp;TEXT($X5,"0.00")&amp;" per hr — build-up as supplied","JLR machine "&amp;$O5&amp;" at "&amp;TEXT($X5,"0.00")&amp;" per hr — build-up not supplied"),$AA5)</f>
        <v>UK Tier-2 CNC drilling/tapping centre. Target £30/hr. Jun 2026</v>
      </c>
      <c r="N5" s="33" t="s">
        <v>1380</v>
      </c>
      <c r="O5" s="37" t="str">
        <f>IFERROR(INDEX(Mapping!$C$2:$C$549,MATCH($A5,Mapping!$A$2:$A$549,0)),"")</f>
        <v/>
      </c>
      <c r="P5" s="37">
        <f>IF($O5="",0,COUNTIFS('JLR Machines'!$A$2:$A$20001,$O5,'JLR Machines'!$C$2:$C$20001,IF(Settings!$B$2="","&lt;&gt;",Settings!$B$2),'JLR Machines'!$D$2:$D$20001,IF(Settings!$B$3="","&lt;&gt;",Settings!$B$3)))</f>
        <v>0</v>
      </c>
      <c r="Q5" s="39">
        <f>IF($P5&lt;&gt;1,0,SUMIFS('JLR Machines'!$G$2:$G$20001,'JLR Machines'!$A$2:$A$20001,$O5,'JLR Machines'!$C$2:$C$20001,IF(Settings!$B$2="","&lt;&gt;",Settings!$B$2),'JLR Machines'!$D$2:$D$20001,IF(Settings!$B$3="","&lt;&gt;",Settings!$B$3)))</f>
        <v>0</v>
      </c>
      <c r="R5" s="39">
        <f>IF($P5&lt;&gt;1,0,SUMIFS('JLR Machines'!$H$2:$H$20001,'JLR Machines'!$A$2:$A$20001,$O5,'JLR Machines'!$C$2:$C$20001,IF(Settings!$B$2="","&lt;&gt;",Settings!$B$2),'JLR Machines'!$D$2:$D$20001,IF(Settings!$B$3="","&lt;&gt;",Settings!$B$3)))</f>
        <v>0</v>
      </c>
      <c r="S5" s="39">
        <f>IF($P5&lt;&gt;1,0,SUMIFS('JLR Machines'!$I$2:$I$20001,'JLR Machines'!$A$2:$A$20001,$O5,'JLR Machines'!$C$2:$C$20001,IF(Settings!$B$2="","&lt;&gt;",Settings!$B$2),'JLR Machines'!$D$2:$D$20001,IF(Settings!$B$3="","&lt;&gt;",Settings!$B$3)))</f>
        <v>0</v>
      </c>
      <c r="T5" s="39">
        <f>IF($P5&lt;&gt;1,0,SUMIFS('JLR Machines'!$J$2:$J$20001,'JLR Machines'!$A$2:$A$20001,$O5,'JLR Machines'!$C$2:$C$20001,IF(Settings!$B$2="","&lt;&gt;",Settings!$B$2),'JLR Machines'!$D$2:$D$20001,IF(Settings!$B$3="","&lt;&gt;",Settings!$B$3)))</f>
        <v>0</v>
      </c>
      <c r="U5" s="39">
        <f>IF($P5&lt;&gt;1,0,SUMIFS('JLR Machines'!$K$2:$K$20001,'JLR Machines'!$A$2:$A$20001,$O5,'JLR Machines'!$C$2:$C$20001,IF(Settings!$B$2="","&lt;&gt;",Settings!$B$2),'JLR Machines'!$D$2:$D$20001,IF(Settings!$B$3="","&lt;&gt;",Settings!$B$3)))</f>
        <v>0</v>
      </c>
      <c r="V5" s="39">
        <f>IF($P5&lt;&gt;1,0,SUMIFS('JLR Machines'!$L$2:$L$20001,'JLR Machines'!$A$2:$A$20001,$O5,'JLR Machines'!$C$2:$C$20001,IF(Settings!$B$2="","&lt;&gt;",Settings!$B$2),'JLR Machines'!$D$2:$D$20001,IF(Settings!$B$3="","&lt;&gt;",Settings!$B$3)))</f>
        <v>0</v>
      </c>
      <c r="W5" s="39">
        <f>IF($P5&lt;&gt;1,0,SUMIFS('JLR Machines'!$M$2:$M$20001,'JLR Machines'!$A$2:$A$20001,$O5,'JLR Machines'!$C$2:$C$20001,IF(Settings!$B$2="","&lt;&gt;",Settings!$B$2),'JLR Machines'!$D$2:$D$20001,IF(Settings!$B$3="","&lt;&gt;",Settings!$B$3)))</f>
        <v>0</v>
      </c>
      <c r="X5" s="39">
        <f>IF($P5&lt;&gt;1,0,SUMIFS('JLR Machines'!$N$2:$N$20001,'JLR Machines'!$A$2:$A$20001,$O5,'JLR Machines'!$C$2:$C$20001,IF(Settings!$B$2="","&lt;&gt;",Settings!$B$2),'JLR Machines'!$D$2:$D$20001,IF(Settings!$B$3="","&lt;&gt;",Settings!$B$3)))</f>
        <v>0</v>
      </c>
      <c r="Y5" s="39">
        <f>$Q5+$R5+$S5+$T5+$U5+$V5+$W5</f>
        <v>0</v>
      </c>
      <c r="Z5" s="38">
        <f>IF($X5&lt;=0,0,ROUND((D5+E5+F5+G5+H5+I5)/3200-$X5,4))</f>
        <v>0</v>
      </c>
      <c r="AA5" s="40" t="s">
        <v>2105</v>
      </c>
      <c r="AB5" s="40" t="s">
        <v>2099</v>
      </c>
    </row>
    <row r="6" spans="1:28" x14ac:dyDescent="0.25">
      <c r="A6" s="32" t="s">
        <v>932</v>
      </c>
      <c r="B6" s="33" t="s">
        <v>2106</v>
      </c>
      <c r="C6" s="33" t="s">
        <v>1379</v>
      </c>
      <c r="D6" s="41">
        <f>IF($X6&gt;0,IF($Y6&gt;0,MAX(0,$Q6+$X6-$Y6)*3120,$X6*3120),55660)</f>
        <v>55660</v>
      </c>
      <c r="E6" s="41">
        <f>IF($X6&gt;0,IF($Y6&gt;0,$S6*3120,0),30288)</f>
        <v>30288</v>
      </c>
      <c r="F6" s="41">
        <f>IF($X6&gt;0,IF($Y6&gt;0,$V6*3120,0),32626)</f>
        <v>32626</v>
      </c>
      <c r="G6" s="41">
        <f>IF($X6&gt;0,IF($Y6&gt;0,$R6*3120,0),10096)</f>
        <v>10096</v>
      </c>
      <c r="H6" s="41">
        <f>IF($X6&gt;0,IF($Y6&gt;0,($T6+$W6)*3120,0),28201)</f>
        <v>28201</v>
      </c>
      <c r="I6" s="41">
        <f>IF($X6&gt;0,IF($Y6&gt;0,$U6*3120,0),20600)</f>
        <v>20600</v>
      </c>
      <c r="J6" s="35">
        <v>4000</v>
      </c>
      <c r="K6" s="42">
        <v>0.78</v>
      </c>
      <c r="L6" s="36" t="str">
        <f>IF($X6&gt;0,IF($P6&lt;&gt;1,$AB6,IFERROR(INDEX('JLR Machines'!$D$2:$D$20001,MATCH($O6,'JLR Machines'!$A$2:$A$20001,0)),$AB6)),$AB6)</f>
        <v>2026-09-29</v>
      </c>
      <c r="M6" s="36" t="str">
        <f>IF($X6&gt;0,IF($Y6&gt;0,"JLR machine "&amp;$O6&amp;" at "&amp;TEXT($X6,"0.00")&amp;" per hr — build-up as supplied","JLR machine "&amp;$O6&amp;" at "&amp;TEXT($X6,"0.00")&amp;" per hr — build-up not supplied"),$AA6)</f>
        <v>UK Tier-2 CNC cylindrical grinder. Target £55/hr (precision, high coolant cost). Jun 2026</v>
      </c>
      <c r="N6" s="33" t="s">
        <v>1380</v>
      </c>
      <c r="O6" s="37" t="str">
        <f>IFERROR(INDEX(Mapping!$C$2:$C$549,MATCH($A6,Mapping!$A$2:$A$549,0)),"")</f>
        <v/>
      </c>
      <c r="P6" s="37">
        <f>IF($O6="",0,COUNTIFS('JLR Machines'!$A$2:$A$20001,$O6,'JLR Machines'!$C$2:$C$20001,IF(Settings!$B$2="","&lt;&gt;",Settings!$B$2),'JLR Machines'!$D$2:$D$20001,IF(Settings!$B$3="","&lt;&gt;",Settings!$B$3)))</f>
        <v>0</v>
      </c>
      <c r="Q6" s="39">
        <f>IF($P6&lt;&gt;1,0,SUMIFS('JLR Machines'!$G$2:$G$20001,'JLR Machines'!$A$2:$A$20001,$O6,'JLR Machines'!$C$2:$C$20001,IF(Settings!$B$2="","&lt;&gt;",Settings!$B$2),'JLR Machines'!$D$2:$D$20001,IF(Settings!$B$3="","&lt;&gt;",Settings!$B$3)))</f>
        <v>0</v>
      </c>
      <c r="R6" s="39">
        <f>IF($P6&lt;&gt;1,0,SUMIFS('JLR Machines'!$H$2:$H$20001,'JLR Machines'!$A$2:$A$20001,$O6,'JLR Machines'!$C$2:$C$20001,IF(Settings!$B$2="","&lt;&gt;",Settings!$B$2),'JLR Machines'!$D$2:$D$20001,IF(Settings!$B$3="","&lt;&gt;",Settings!$B$3)))</f>
        <v>0</v>
      </c>
      <c r="S6" s="39">
        <f>IF($P6&lt;&gt;1,0,SUMIFS('JLR Machines'!$I$2:$I$20001,'JLR Machines'!$A$2:$A$20001,$O6,'JLR Machines'!$C$2:$C$20001,IF(Settings!$B$2="","&lt;&gt;",Settings!$B$2),'JLR Machines'!$D$2:$D$20001,IF(Settings!$B$3="","&lt;&gt;",Settings!$B$3)))</f>
        <v>0</v>
      </c>
      <c r="T6" s="39">
        <f>IF($P6&lt;&gt;1,0,SUMIFS('JLR Machines'!$J$2:$J$20001,'JLR Machines'!$A$2:$A$20001,$O6,'JLR Machines'!$C$2:$C$20001,IF(Settings!$B$2="","&lt;&gt;",Settings!$B$2),'JLR Machines'!$D$2:$D$20001,IF(Settings!$B$3="","&lt;&gt;",Settings!$B$3)))</f>
        <v>0</v>
      </c>
      <c r="U6" s="39">
        <f>IF($P6&lt;&gt;1,0,SUMIFS('JLR Machines'!$K$2:$K$20001,'JLR Machines'!$A$2:$A$20001,$O6,'JLR Machines'!$C$2:$C$20001,IF(Settings!$B$2="","&lt;&gt;",Settings!$B$2),'JLR Machines'!$D$2:$D$20001,IF(Settings!$B$3="","&lt;&gt;",Settings!$B$3)))</f>
        <v>0</v>
      </c>
      <c r="V6" s="39">
        <f>IF($P6&lt;&gt;1,0,SUMIFS('JLR Machines'!$L$2:$L$20001,'JLR Machines'!$A$2:$A$20001,$O6,'JLR Machines'!$C$2:$C$20001,IF(Settings!$B$2="","&lt;&gt;",Settings!$B$2),'JLR Machines'!$D$2:$D$20001,IF(Settings!$B$3="","&lt;&gt;",Settings!$B$3)))</f>
        <v>0</v>
      </c>
      <c r="W6" s="39">
        <f>IF($P6&lt;&gt;1,0,SUMIFS('JLR Machines'!$M$2:$M$20001,'JLR Machines'!$A$2:$A$20001,$O6,'JLR Machines'!$C$2:$C$20001,IF(Settings!$B$2="","&lt;&gt;",Settings!$B$2),'JLR Machines'!$D$2:$D$20001,IF(Settings!$B$3="","&lt;&gt;",Settings!$B$3)))</f>
        <v>0</v>
      </c>
      <c r="X6" s="39">
        <f>IF($P6&lt;&gt;1,0,SUMIFS('JLR Machines'!$N$2:$N$20001,'JLR Machines'!$A$2:$A$20001,$O6,'JLR Machines'!$C$2:$C$20001,IF(Settings!$B$2="","&lt;&gt;",Settings!$B$2),'JLR Machines'!$D$2:$D$20001,IF(Settings!$B$3="","&lt;&gt;",Settings!$B$3)))</f>
        <v>0</v>
      </c>
      <c r="Y6" s="39">
        <f>$Q6+$R6+$S6+$T6+$U6+$V6+$W6</f>
        <v>0</v>
      </c>
      <c r="Z6" s="38">
        <f>IF($X6&lt;=0,0,ROUND((D6+E6+F6+G6+H6+I6)/3120-$X6,4))</f>
        <v>0</v>
      </c>
      <c r="AA6" s="40" t="s">
        <v>2107</v>
      </c>
      <c r="AB6" s="40" t="s">
        <v>2099</v>
      </c>
    </row>
    <row r="7" spans="1:28" x14ac:dyDescent="0.25">
      <c r="A7" s="32" t="s">
        <v>934</v>
      </c>
      <c r="B7" s="33" t="s">
        <v>2108</v>
      </c>
      <c r="C7" s="33" t="s">
        <v>1379</v>
      </c>
      <c r="D7" s="41">
        <f>IF($X7&gt;0,IF($Y7&gt;0,MAX(0,$Q7+$X7-$Y7)*3200,$X7*3200),62744)</f>
        <v>62744</v>
      </c>
      <c r="E7" s="41">
        <f>IF($X7&gt;0,IF($Y7&gt;0,$S7*3200,0),32307)</f>
        <v>32307</v>
      </c>
      <c r="F7" s="41">
        <f>IF($X7&gt;0,IF($Y7&gt;0,$V7*3200,0),30296)</f>
        <v>30296</v>
      </c>
      <c r="G7" s="41">
        <f>IF($X7&gt;0,IF($Y7&gt;0,$R7*3200,0),11106)</f>
        <v>11106</v>
      </c>
      <c r="H7" s="41">
        <f>IF($X7&gt;0,IF($Y7&gt;0,($T7+$W7)*3200,0),30215)</f>
        <v>30215</v>
      </c>
      <c r="I7" s="41">
        <f>IF($X7&gt;0,IF($Y7&gt;0,$U7*3200,0),21000)</f>
        <v>21000</v>
      </c>
      <c r="J7" s="35">
        <v>4000</v>
      </c>
      <c r="K7" s="42">
        <v>0.8</v>
      </c>
      <c r="L7" s="36" t="str">
        <f>IF($X7&gt;0,IF($P7&lt;&gt;1,$AB7,IFERROR(INDEX('JLR Machines'!$D$2:$D$20001,MATCH($O7,'JLR Machines'!$A$2:$A$20001,0)),$AB7)),$AB7)</f>
        <v>2026-09-29</v>
      </c>
      <c r="M7" s="36" t="str">
        <f>IF($X7&gt;0,IF($Y7&gt;0,"JLR machine "&amp;$O7&amp;" at "&amp;TEXT($X7,"0.00")&amp;" per hr — build-up as supplied","JLR machine "&amp;$O7&amp;" at "&amp;TEXT($X7,"0.00")&amp;" per hr — build-up not supplied"),$AA7)</f>
        <v>REPRESENTATIVE — UK small CNC hobber class. Target ~£56/hr. Replace with plant data.</v>
      </c>
      <c r="N7" s="33" t="s">
        <v>1380</v>
      </c>
      <c r="O7" s="37" t="str">
        <f>IFERROR(INDEX(Mapping!$C$2:$C$549,MATCH($A7,Mapping!$A$2:$A$549,0)),"")</f>
        <v/>
      </c>
      <c r="P7" s="37">
        <f>IF($O7="",0,COUNTIFS('JLR Machines'!$A$2:$A$20001,$O7,'JLR Machines'!$C$2:$C$20001,IF(Settings!$B$2="","&lt;&gt;",Settings!$B$2),'JLR Machines'!$D$2:$D$20001,IF(Settings!$B$3="","&lt;&gt;",Settings!$B$3)))</f>
        <v>0</v>
      </c>
      <c r="Q7" s="39">
        <f>IF($P7&lt;&gt;1,0,SUMIFS('JLR Machines'!$G$2:$G$20001,'JLR Machines'!$A$2:$A$20001,$O7,'JLR Machines'!$C$2:$C$20001,IF(Settings!$B$2="","&lt;&gt;",Settings!$B$2),'JLR Machines'!$D$2:$D$20001,IF(Settings!$B$3="","&lt;&gt;",Settings!$B$3)))</f>
        <v>0</v>
      </c>
      <c r="R7" s="39">
        <f>IF($P7&lt;&gt;1,0,SUMIFS('JLR Machines'!$H$2:$H$20001,'JLR Machines'!$A$2:$A$20001,$O7,'JLR Machines'!$C$2:$C$20001,IF(Settings!$B$2="","&lt;&gt;",Settings!$B$2),'JLR Machines'!$D$2:$D$20001,IF(Settings!$B$3="","&lt;&gt;",Settings!$B$3)))</f>
        <v>0</v>
      </c>
      <c r="S7" s="39">
        <f>IF($P7&lt;&gt;1,0,SUMIFS('JLR Machines'!$I$2:$I$20001,'JLR Machines'!$A$2:$A$20001,$O7,'JLR Machines'!$C$2:$C$20001,IF(Settings!$B$2="","&lt;&gt;",Settings!$B$2),'JLR Machines'!$D$2:$D$20001,IF(Settings!$B$3="","&lt;&gt;",Settings!$B$3)))</f>
        <v>0</v>
      </c>
      <c r="T7" s="39">
        <f>IF($P7&lt;&gt;1,0,SUMIFS('JLR Machines'!$J$2:$J$20001,'JLR Machines'!$A$2:$A$20001,$O7,'JLR Machines'!$C$2:$C$20001,IF(Settings!$B$2="","&lt;&gt;",Settings!$B$2),'JLR Machines'!$D$2:$D$20001,IF(Settings!$B$3="","&lt;&gt;",Settings!$B$3)))</f>
        <v>0</v>
      </c>
      <c r="U7" s="39">
        <f>IF($P7&lt;&gt;1,0,SUMIFS('JLR Machines'!$K$2:$K$20001,'JLR Machines'!$A$2:$A$20001,$O7,'JLR Machines'!$C$2:$C$20001,IF(Settings!$B$2="","&lt;&gt;",Settings!$B$2),'JLR Machines'!$D$2:$D$20001,IF(Settings!$B$3="","&lt;&gt;",Settings!$B$3)))</f>
        <v>0</v>
      </c>
      <c r="V7" s="39">
        <f>IF($P7&lt;&gt;1,0,SUMIFS('JLR Machines'!$L$2:$L$20001,'JLR Machines'!$A$2:$A$20001,$O7,'JLR Machines'!$C$2:$C$20001,IF(Settings!$B$2="","&lt;&gt;",Settings!$B$2),'JLR Machines'!$D$2:$D$20001,IF(Settings!$B$3="","&lt;&gt;",Settings!$B$3)))</f>
        <v>0</v>
      </c>
      <c r="W7" s="39">
        <f>IF($P7&lt;&gt;1,0,SUMIFS('JLR Machines'!$M$2:$M$20001,'JLR Machines'!$A$2:$A$20001,$O7,'JLR Machines'!$C$2:$C$20001,IF(Settings!$B$2="","&lt;&gt;",Settings!$B$2),'JLR Machines'!$D$2:$D$20001,IF(Settings!$B$3="","&lt;&gt;",Settings!$B$3)))</f>
        <v>0</v>
      </c>
      <c r="X7" s="39">
        <f>IF($P7&lt;&gt;1,0,SUMIFS('JLR Machines'!$N$2:$N$20001,'JLR Machines'!$A$2:$A$20001,$O7,'JLR Machines'!$C$2:$C$20001,IF(Settings!$B$2="","&lt;&gt;",Settings!$B$2),'JLR Machines'!$D$2:$D$20001,IF(Settings!$B$3="","&lt;&gt;",Settings!$B$3)))</f>
        <v>0</v>
      </c>
      <c r="Y7" s="39">
        <f>$Q7+$R7+$S7+$T7+$U7+$V7+$W7</f>
        <v>0</v>
      </c>
      <c r="Z7" s="38">
        <f>IF($X7&lt;=0,0,ROUND((D7+E7+F7+G7+H7+I7)/3200-$X7,4))</f>
        <v>0</v>
      </c>
      <c r="AA7" s="40" t="s">
        <v>2109</v>
      </c>
      <c r="AB7" s="40" t="s">
        <v>2099</v>
      </c>
    </row>
    <row r="8" spans="1:28" x14ac:dyDescent="0.25">
      <c r="A8" s="32" t="s">
        <v>936</v>
      </c>
      <c r="B8" s="33" t="s">
        <v>2110</v>
      </c>
      <c r="C8" s="33" t="s">
        <v>1379</v>
      </c>
      <c r="D8" s="41">
        <f>IF($X8&gt;0,IF($Y8&gt;0,MAX(0,$Q8+$X8-$Y8)*3120,$X8*3120),89056)</f>
        <v>89056</v>
      </c>
      <c r="E8" s="41">
        <f>IF($X8&gt;0,IF($Y8&gt;0,$S8*3120,0),42403)</f>
        <v>42403</v>
      </c>
      <c r="F8" s="41">
        <f>IF($X8&gt;0,IF($Y8&gt;0,$V8*3120,0),39617)</f>
        <v>39617</v>
      </c>
      <c r="G8" s="41">
        <f>IF($X8&gt;0,IF($Y8&gt;0,$R8*3120,0),16154)</f>
        <v>16154</v>
      </c>
      <c r="H8" s="41">
        <f>IF($X8&gt;0,IF($Y8&gt;0,($T8+$W8)*3120,0),40287)</f>
        <v>40287</v>
      </c>
      <c r="I8" s="41">
        <f>IF($X8&gt;0,IF($Y8&gt;0,$U8*3120,0),23500)</f>
        <v>23500</v>
      </c>
      <c r="J8" s="35">
        <v>4000</v>
      </c>
      <c r="K8" s="42">
        <v>0.78</v>
      </c>
      <c r="L8" s="36" t="str">
        <f>IF($X8&gt;0,IF($P8&lt;&gt;1,$AB8,IFERROR(INDEX('JLR Machines'!$D$2:$D$20001,MATCH($O8,'JLR Machines'!$A$2:$A$20001,0)),$AB8)),$AB8)</f>
        <v>2026-09-29</v>
      </c>
      <c r="M8" s="36" t="str">
        <f>IF($X8&gt;0,IF($Y8&gt;0,"JLR machine "&amp;$O8&amp;" at "&amp;TEXT($X8,"0.00")&amp;" per hr — build-up as supplied","JLR machine "&amp;$O8&amp;" at "&amp;TEXT($X8,"0.00")&amp;" per hr — build-up not supplied"),$AA8)</f>
        <v>REPRESENTATIVE — UK medium CNC hobber class. Target ~£78/hr. Replace with plant data.</v>
      </c>
      <c r="N8" s="33" t="s">
        <v>1380</v>
      </c>
      <c r="O8" s="37" t="str">
        <f>IFERROR(INDEX(Mapping!$C$2:$C$549,MATCH($A8,Mapping!$A$2:$A$549,0)),"")</f>
        <v/>
      </c>
      <c r="P8" s="37">
        <f>IF($O8="",0,COUNTIFS('JLR Machines'!$A$2:$A$20001,$O8,'JLR Machines'!$C$2:$C$20001,IF(Settings!$B$2="","&lt;&gt;",Settings!$B$2),'JLR Machines'!$D$2:$D$20001,IF(Settings!$B$3="","&lt;&gt;",Settings!$B$3)))</f>
        <v>0</v>
      </c>
      <c r="Q8" s="39">
        <f>IF($P8&lt;&gt;1,0,SUMIFS('JLR Machines'!$G$2:$G$20001,'JLR Machines'!$A$2:$A$20001,$O8,'JLR Machines'!$C$2:$C$20001,IF(Settings!$B$2="","&lt;&gt;",Settings!$B$2),'JLR Machines'!$D$2:$D$20001,IF(Settings!$B$3="","&lt;&gt;",Settings!$B$3)))</f>
        <v>0</v>
      </c>
      <c r="R8" s="39">
        <f>IF($P8&lt;&gt;1,0,SUMIFS('JLR Machines'!$H$2:$H$20001,'JLR Machines'!$A$2:$A$20001,$O8,'JLR Machines'!$C$2:$C$20001,IF(Settings!$B$2="","&lt;&gt;",Settings!$B$2),'JLR Machines'!$D$2:$D$20001,IF(Settings!$B$3="","&lt;&gt;",Settings!$B$3)))</f>
        <v>0</v>
      </c>
      <c r="S8" s="39">
        <f>IF($P8&lt;&gt;1,0,SUMIFS('JLR Machines'!$I$2:$I$20001,'JLR Machines'!$A$2:$A$20001,$O8,'JLR Machines'!$C$2:$C$20001,IF(Settings!$B$2="","&lt;&gt;",Settings!$B$2),'JLR Machines'!$D$2:$D$20001,IF(Settings!$B$3="","&lt;&gt;",Settings!$B$3)))</f>
        <v>0</v>
      </c>
      <c r="T8" s="39">
        <f>IF($P8&lt;&gt;1,0,SUMIFS('JLR Machines'!$J$2:$J$20001,'JLR Machines'!$A$2:$A$20001,$O8,'JLR Machines'!$C$2:$C$20001,IF(Settings!$B$2="","&lt;&gt;",Settings!$B$2),'JLR Machines'!$D$2:$D$20001,IF(Settings!$B$3="","&lt;&gt;",Settings!$B$3)))</f>
        <v>0</v>
      </c>
      <c r="U8" s="39">
        <f>IF($P8&lt;&gt;1,0,SUMIFS('JLR Machines'!$K$2:$K$20001,'JLR Machines'!$A$2:$A$20001,$O8,'JLR Machines'!$C$2:$C$20001,IF(Settings!$B$2="","&lt;&gt;",Settings!$B$2),'JLR Machines'!$D$2:$D$20001,IF(Settings!$B$3="","&lt;&gt;",Settings!$B$3)))</f>
        <v>0</v>
      </c>
      <c r="V8" s="39">
        <f>IF($P8&lt;&gt;1,0,SUMIFS('JLR Machines'!$L$2:$L$20001,'JLR Machines'!$A$2:$A$20001,$O8,'JLR Machines'!$C$2:$C$20001,IF(Settings!$B$2="","&lt;&gt;",Settings!$B$2),'JLR Machines'!$D$2:$D$20001,IF(Settings!$B$3="","&lt;&gt;",Settings!$B$3)))</f>
        <v>0</v>
      </c>
      <c r="W8" s="39">
        <f>IF($P8&lt;&gt;1,0,SUMIFS('JLR Machines'!$M$2:$M$20001,'JLR Machines'!$A$2:$A$20001,$O8,'JLR Machines'!$C$2:$C$20001,IF(Settings!$B$2="","&lt;&gt;",Settings!$B$2),'JLR Machines'!$D$2:$D$20001,IF(Settings!$B$3="","&lt;&gt;",Settings!$B$3)))</f>
        <v>0</v>
      </c>
      <c r="X8" s="39">
        <f>IF($P8&lt;&gt;1,0,SUMIFS('JLR Machines'!$N$2:$N$20001,'JLR Machines'!$A$2:$A$20001,$O8,'JLR Machines'!$C$2:$C$20001,IF(Settings!$B$2="","&lt;&gt;",Settings!$B$2),'JLR Machines'!$D$2:$D$20001,IF(Settings!$B$3="","&lt;&gt;",Settings!$B$3)))</f>
        <v>0</v>
      </c>
      <c r="Y8" s="39">
        <f>$Q8+$R8+$S8+$T8+$U8+$V8+$W8</f>
        <v>0</v>
      </c>
      <c r="Z8" s="38">
        <f>IF($X8&lt;=0,0,ROUND((D8+E8+F8+G8+H8+I8)/3120-$X8,4))</f>
        <v>0</v>
      </c>
      <c r="AA8" s="40" t="s">
        <v>2111</v>
      </c>
      <c r="AB8" s="40" t="s">
        <v>2099</v>
      </c>
    </row>
    <row r="9" spans="1:28" x14ac:dyDescent="0.25">
      <c r="A9" s="32" t="s">
        <v>938</v>
      </c>
      <c r="B9" s="33" t="s">
        <v>2112</v>
      </c>
      <c r="C9" s="33" t="s">
        <v>1379</v>
      </c>
      <c r="D9" s="41">
        <f>IF($X9&gt;0,IF($Y9&gt;0,MAX(0,$Q9+$X9-$Y9)*2660,$X9*2660),151800)</f>
        <v>151800</v>
      </c>
      <c r="E9" s="41">
        <f>IF($X9&gt;0,IF($Y9&gt;0,$S9*2660,0),62594)</f>
        <v>62594</v>
      </c>
      <c r="F9" s="41">
        <f>IF($X9&gt;0,IF($Y9&gt;0,$V9*2660,0),60591)</f>
        <v>60591</v>
      </c>
      <c r="G9" s="41">
        <f>IF($X9&gt;0,IF($Y9&gt;0,$R9*2660,0),30288)</f>
        <v>30288</v>
      </c>
      <c r="H9" s="41">
        <f>IF($X9&gt;0,IF($Y9&gt;0,($T9+$W9)*2660,0),58416)</f>
        <v>58416</v>
      </c>
      <c r="I9" s="41">
        <f>IF($X9&gt;0,IF($Y9&gt;0,$U9*2660,0),32000)</f>
        <v>32000</v>
      </c>
      <c r="J9" s="35">
        <v>3800</v>
      </c>
      <c r="K9" s="42">
        <v>0.7</v>
      </c>
      <c r="L9" s="36" t="str">
        <f>IF($X9&gt;0,IF($P9&lt;&gt;1,$AB9,IFERROR(INDEX('JLR Machines'!$D$2:$D$20001,MATCH($O9,'JLR Machines'!$A$2:$A$20001,0)),$AB9)),$AB9)</f>
        <v>2026-09-29</v>
      </c>
      <c r="M9" s="36" t="str">
        <f>IF($X9&gt;0,IF($Y9&gt;0,"JLR machine "&amp;$O9&amp;" at "&amp;TEXT($X9,"0.00")&amp;" per hr — build-up as supplied","JLR machine "&amp;$O9&amp;" at "&amp;TEXT($X9,"0.00")&amp;" per hr — build-up not supplied"),$AA9)</f>
        <v>REPRESENTATIVE — UK large CNC hobber class. Target ~£140/hr. Replace with plant data.</v>
      </c>
      <c r="N9" s="33" t="s">
        <v>1380</v>
      </c>
      <c r="O9" s="37" t="str">
        <f>IFERROR(INDEX(Mapping!$C$2:$C$549,MATCH($A9,Mapping!$A$2:$A$549,0)),"")</f>
        <v/>
      </c>
      <c r="P9" s="37">
        <f>IF($O9="",0,COUNTIFS('JLR Machines'!$A$2:$A$20001,$O9,'JLR Machines'!$C$2:$C$20001,IF(Settings!$B$2="","&lt;&gt;",Settings!$B$2),'JLR Machines'!$D$2:$D$20001,IF(Settings!$B$3="","&lt;&gt;",Settings!$B$3)))</f>
        <v>0</v>
      </c>
      <c r="Q9" s="39">
        <f>IF($P9&lt;&gt;1,0,SUMIFS('JLR Machines'!$G$2:$G$20001,'JLR Machines'!$A$2:$A$20001,$O9,'JLR Machines'!$C$2:$C$20001,IF(Settings!$B$2="","&lt;&gt;",Settings!$B$2),'JLR Machines'!$D$2:$D$20001,IF(Settings!$B$3="","&lt;&gt;",Settings!$B$3)))</f>
        <v>0</v>
      </c>
      <c r="R9" s="39">
        <f>IF($P9&lt;&gt;1,0,SUMIFS('JLR Machines'!$H$2:$H$20001,'JLR Machines'!$A$2:$A$20001,$O9,'JLR Machines'!$C$2:$C$20001,IF(Settings!$B$2="","&lt;&gt;",Settings!$B$2),'JLR Machines'!$D$2:$D$20001,IF(Settings!$B$3="","&lt;&gt;",Settings!$B$3)))</f>
        <v>0</v>
      </c>
      <c r="S9" s="39">
        <f>IF($P9&lt;&gt;1,0,SUMIFS('JLR Machines'!$I$2:$I$20001,'JLR Machines'!$A$2:$A$20001,$O9,'JLR Machines'!$C$2:$C$20001,IF(Settings!$B$2="","&lt;&gt;",Settings!$B$2),'JLR Machines'!$D$2:$D$20001,IF(Settings!$B$3="","&lt;&gt;",Settings!$B$3)))</f>
        <v>0</v>
      </c>
      <c r="T9" s="39">
        <f>IF($P9&lt;&gt;1,0,SUMIFS('JLR Machines'!$J$2:$J$20001,'JLR Machines'!$A$2:$A$20001,$O9,'JLR Machines'!$C$2:$C$20001,IF(Settings!$B$2="","&lt;&gt;",Settings!$B$2),'JLR Machines'!$D$2:$D$20001,IF(Settings!$B$3="","&lt;&gt;",Settings!$B$3)))</f>
        <v>0</v>
      </c>
      <c r="U9" s="39">
        <f>IF($P9&lt;&gt;1,0,SUMIFS('JLR Machines'!$K$2:$K$20001,'JLR Machines'!$A$2:$A$20001,$O9,'JLR Machines'!$C$2:$C$20001,IF(Settings!$B$2="","&lt;&gt;",Settings!$B$2),'JLR Machines'!$D$2:$D$20001,IF(Settings!$B$3="","&lt;&gt;",Settings!$B$3)))</f>
        <v>0</v>
      </c>
      <c r="V9" s="39">
        <f>IF($P9&lt;&gt;1,0,SUMIFS('JLR Machines'!$L$2:$L$20001,'JLR Machines'!$A$2:$A$20001,$O9,'JLR Machines'!$C$2:$C$20001,IF(Settings!$B$2="","&lt;&gt;",Settings!$B$2),'JLR Machines'!$D$2:$D$20001,IF(Settings!$B$3="","&lt;&gt;",Settings!$B$3)))</f>
        <v>0</v>
      </c>
      <c r="W9" s="39">
        <f>IF($P9&lt;&gt;1,0,SUMIFS('JLR Machines'!$M$2:$M$20001,'JLR Machines'!$A$2:$A$20001,$O9,'JLR Machines'!$C$2:$C$20001,IF(Settings!$B$2="","&lt;&gt;",Settings!$B$2),'JLR Machines'!$D$2:$D$20001,IF(Settings!$B$3="","&lt;&gt;",Settings!$B$3)))</f>
        <v>0</v>
      </c>
      <c r="X9" s="39">
        <f>IF($P9&lt;&gt;1,0,SUMIFS('JLR Machines'!$N$2:$N$20001,'JLR Machines'!$A$2:$A$20001,$O9,'JLR Machines'!$C$2:$C$20001,IF(Settings!$B$2="","&lt;&gt;",Settings!$B$2),'JLR Machines'!$D$2:$D$20001,IF(Settings!$B$3="","&lt;&gt;",Settings!$B$3)))</f>
        <v>0</v>
      </c>
      <c r="Y9" s="39">
        <f>$Q9+$R9+$S9+$T9+$U9+$V9+$W9</f>
        <v>0</v>
      </c>
      <c r="Z9" s="38">
        <f>IF($X9&lt;=0,0,ROUND((D9+E9+F9+G9+H9+I9)/2660-$X9,4))</f>
        <v>0</v>
      </c>
      <c r="AA9" s="40" t="s">
        <v>2113</v>
      </c>
      <c r="AB9" s="40" t="s">
        <v>2099</v>
      </c>
    </row>
    <row r="10" spans="1:28" x14ac:dyDescent="0.25">
      <c r="A10" s="32" t="s">
        <v>940</v>
      </c>
      <c r="B10" s="33" t="s">
        <v>2114</v>
      </c>
      <c r="C10" s="33" t="s">
        <v>1379</v>
      </c>
      <c r="D10" s="41">
        <f>IF($X10&gt;0,IF($Y10&gt;0,MAX(0,$Q10+$X10-$Y10)*3120,$X10*3120),58696)</f>
        <v>58696</v>
      </c>
      <c r="E10" s="41">
        <f>IF($X10&gt;0,IF($Y10&gt;0,$S10*3120,0),34326)</f>
        <v>34326</v>
      </c>
      <c r="F10" s="41">
        <f>IF($X10&gt;0,IF($Y10&gt;0,$V10*3120,0),27965)</f>
        <v>27965</v>
      </c>
      <c r="G10" s="41">
        <f>IF($X10&gt;0,IF($Y10&gt;0,$R10*3120,0),11106)</f>
        <v>11106</v>
      </c>
      <c r="H10" s="41">
        <f>IF($X10&gt;0,IF($Y10&gt;0,($T10+$W10)*3120,0),30215)</f>
        <v>30215</v>
      </c>
      <c r="I10" s="41">
        <f>IF($X10&gt;0,IF($Y10&gt;0,$U10*3120,0),20500)</f>
        <v>20500</v>
      </c>
      <c r="J10" s="35">
        <v>4000</v>
      </c>
      <c r="K10" s="42">
        <v>0.78</v>
      </c>
      <c r="L10" s="36" t="str">
        <f>IF($X10&gt;0,IF($P10&lt;&gt;1,$AB10,IFERROR(INDEX('JLR Machines'!$D$2:$D$20001,MATCH($O10,'JLR Machines'!$A$2:$A$20001,0)),$AB10)),$AB10)</f>
        <v>2026-09-29</v>
      </c>
      <c r="M10" s="36" t="str">
        <f>IF($X10&gt;0,IF($Y10&gt;0,"JLR machine "&amp;$O10&amp;" at "&amp;TEXT($X10,"0.00")&amp;" per hr — build-up as supplied","JLR machine "&amp;$O10&amp;" at "&amp;TEXT($X10,"0.00")&amp;" per hr — build-up not supplied"),$AA10)</f>
        <v>REPRESENTATIVE — UK small CNC shaper class. Target ~£56/hr. Replace with plant data.</v>
      </c>
      <c r="N10" s="33" t="s">
        <v>1380</v>
      </c>
      <c r="O10" s="37" t="str">
        <f>IFERROR(INDEX(Mapping!$C$2:$C$549,MATCH($A10,Mapping!$A$2:$A$549,0)),"")</f>
        <v/>
      </c>
      <c r="P10" s="37">
        <f>IF($O10="",0,COUNTIFS('JLR Machines'!$A$2:$A$20001,$O10,'JLR Machines'!$C$2:$C$20001,IF(Settings!$B$2="","&lt;&gt;",Settings!$B$2),'JLR Machines'!$D$2:$D$20001,IF(Settings!$B$3="","&lt;&gt;",Settings!$B$3)))</f>
        <v>0</v>
      </c>
      <c r="Q10" s="39">
        <f>IF($P10&lt;&gt;1,0,SUMIFS('JLR Machines'!$G$2:$G$20001,'JLR Machines'!$A$2:$A$20001,$O10,'JLR Machines'!$C$2:$C$20001,IF(Settings!$B$2="","&lt;&gt;",Settings!$B$2),'JLR Machines'!$D$2:$D$20001,IF(Settings!$B$3="","&lt;&gt;",Settings!$B$3)))</f>
        <v>0</v>
      </c>
      <c r="R10" s="39">
        <f>IF($P10&lt;&gt;1,0,SUMIFS('JLR Machines'!$H$2:$H$20001,'JLR Machines'!$A$2:$A$20001,$O10,'JLR Machines'!$C$2:$C$20001,IF(Settings!$B$2="","&lt;&gt;",Settings!$B$2),'JLR Machines'!$D$2:$D$20001,IF(Settings!$B$3="","&lt;&gt;",Settings!$B$3)))</f>
        <v>0</v>
      </c>
      <c r="S10" s="39">
        <f>IF($P10&lt;&gt;1,0,SUMIFS('JLR Machines'!$I$2:$I$20001,'JLR Machines'!$A$2:$A$20001,$O10,'JLR Machines'!$C$2:$C$20001,IF(Settings!$B$2="","&lt;&gt;",Settings!$B$2),'JLR Machines'!$D$2:$D$20001,IF(Settings!$B$3="","&lt;&gt;",Settings!$B$3)))</f>
        <v>0</v>
      </c>
      <c r="T10" s="39">
        <f>IF($P10&lt;&gt;1,0,SUMIFS('JLR Machines'!$J$2:$J$20001,'JLR Machines'!$A$2:$A$20001,$O10,'JLR Machines'!$C$2:$C$20001,IF(Settings!$B$2="","&lt;&gt;",Settings!$B$2),'JLR Machines'!$D$2:$D$20001,IF(Settings!$B$3="","&lt;&gt;",Settings!$B$3)))</f>
        <v>0</v>
      </c>
      <c r="U10" s="39">
        <f>IF($P10&lt;&gt;1,0,SUMIFS('JLR Machines'!$K$2:$K$20001,'JLR Machines'!$A$2:$A$20001,$O10,'JLR Machines'!$C$2:$C$20001,IF(Settings!$B$2="","&lt;&gt;",Settings!$B$2),'JLR Machines'!$D$2:$D$20001,IF(Settings!$B$3="","&lt;&gt;",Settings!$B$3)))</f>
        <v>0</v>
      </c>
      <c r="V10" s="39">
        <f>IF($P10&lt;&gt;1,0,SUMIFS('JLR Machines'!$L$2:$L$20001,'JLR Machines'!$A$2:$A$20001,$O10,'JLR Machines'!$C$2:$C$20001,IF(Settings!$B$2="","&lt;&gt;",Settings!$B$2),'JLR Machines'!$D$2:$D$20001,IF(Settings!$B$3="","&lt;&gt;",Settings!$B$3)))</f>
        <v>0</v>
      </c>
      <c r="W10" s="39">
        <f>IF($P10&lt;&gt;1,0,SUMIFS('JLR Machines'!$M$2:$M$20001,'JLR Machines'!$A$2:$A$20001,$O10,'JLR Machines'!$C$2:$C$20001,IF(Settings!$B$2="","&lt;&gt;",Settings!$B$2),'JLR Machines'!$D$2:$D$20001,IF(Settings!$B$3="","&lt;&gt;",Settings!$B$3)))</f>
        <v>0</v>
      </c>
      <c r="X10" s="39">
        <f>IF($P10&lt;&gt;1,0,SUMIFS('JLR Machines'!$N$2:$N$20001,'JLR Machines'!$A$2:$A$20001,$O10,'JLR Machines'!$C$2:$C$20001,IF(Settings!$B$2="","&lt;&gt;",Settings!$B$2),'JLR Machines'!$D$2:$D$20001,IF(Settings!$B$3="","&lt;&gt;",Settings!$B$3)))</f>
        <v>0</v>
      </c>
      <c r="Y10" s="39">
        <f>$Q10+$R10+$S10+$T10+$U10+$V10+$W10</f>
        <v>0</v>
      </c>
      <c r="Z10" s="38">
        <f>IF($X10&lt;=0,0,ROUND((D10+E10+F10+G10+H10+I10)/3120-$X10,4))</f>
        <v>0</v>
      </c>
      <c r="AA10" s="40" t="s">
        <v>2115</v>
      </c>
      <c r="AB10" s="40" t="s">
        <v>2099</v>
      </c>
    </row>
    <row r="11" spans="1:28" x14ac:dyDescent="0.25">
      <c r="A11" s="32" t="s">
        <v>942</v>
      </c>
      <c r="B11" s="33" t="s">
        <v>2116</v>
      </c>
      <c r="C11" s="33" t="s">
        <v>1379</v>
      </c>
      <c r="D11" s="41">
        <f>IF($X11&gt;0,IF($Y11&gt;0,MAX(0,$Q11+$X11-$Y11)*2812,$X11*2812),96140)</f>
        <v>96140</v>
      </c>
      <c r="E11" s="41">
        <f>IF($X11&gt;0,IF($Y11&gt;0,$S11*2812,0),48460)</f>
        <v>48460</v>
      </c>
      <c r="F11" s="41">
        <f>IF($X11&gt;0,IF($Y11&gt;0,$V11*2812,0),41948)</f>
        <v>41948</v>
      </c>
      <c r="G11" s="41">
        <f>IF($X11&gt;0,IF($Y11&gt;0,$R11*2812,0),20192)</f>
        <v>20192</v>
      </c>
      <c r="H11" s="41">
        <f>IF($X11&gt;0,IF($Y11&gt;0,($T11+$W11)*2812,0),42301)</f>
        <v>42301</v>
      </c>
      <c r="I11" s="41">
        <f>IF($X11&gt;0,IF($Y11&gt;0,$U11*2812,0),25000)</f>
        <v>25000</v>
      </c>
      <c r="J11" s="35">
        <v>3800</v>
      </c>
      <c r="K11" s="42">
        <v>0.74</v>
      </c>
      <c r="L11" s="36" t="str">
        <f>IF($X11&gt;0,IF($P11&lt;&gt;1,$AB11,IFERROR(INDEX('JLR Machines'!$D$2:$D$20001,MATCH($O11,'JLR Machines'!$A$2:$A$20001,0)),$AB11)),$AB11)</f>
        <v>2026-09-29</v>
      </c>
      <c r="M11" s="36" t="str">
        <f>IF($X11&gt;0,IF($Y11&gt;0,"JLR machine "&amp;$O11&amp;" at "&amp;TEXT($X11,"0.00")&amp;" per hr — build-up as supplied","JLR machine "&amp;$O11&amp;" at "&amp;TEXT($X11,"0.00")&amp;" per hr — build-up not supplied"),$AA11)</f>
        <v>REPRESENTATIVE — UK large CNC shaper class. Target ~£95/hr. Replace with plant data.</v>
      </c>
      <c r="N11" s="33" t="s">
        <v>1380</v>
      </c>
      <c r="O11" s="37" t="str">
        <f>IFERROR(INDEX(Mapping!$C$2:$C$549,MATCH($A11,Mapping!$A$2:$A$549,0)),"")</f>
        <v/>
      </c>
      <c r="P11" s="37">
        <f>IF($O11="",0,COUNTIFS('JLR Machines'!$A$2:$A$20001,$O11,'JLR Machines'!$C$2:$C$20001,IF(Settings!$B$2="","&lt;&gt;",Settings!$B$2),'JLR Machines'!$D$2:$D$20001,IF(Settings!$B$3="","&lt;&gt;",Settings!$B$3)))</f>
        <v>0</v>
      </c>
      <c r="Q11" s="39">
        <f>IF($P11&lt;&gt;1,0,SUMIFS('JLR Machines'!$G$2:$G$20001,'JLR Machines'!$A$2:$A$20001,$O11,'JLR Machines'!$C$2:$C$20001,IF(Settings!$B$2="","&lt;&gt;",Settings!$B$2),'JLR Machines'!$D$2:$D$20001,IF(Settings!$B$3="","&lt;&gt;",Settings!$B$3)))</f>
        <v>0</v>
      </c>
      <c r="R11" s="39">
        <f>IF($P11&lt;&gt;1,0,SUMIFS('JLR Machines'!$H$2:$H$20001,'JLR Machines'!$A$2:$A$20001,$O11,'JLR Machines'!$C$2:$C$20001,IF(Settings!$B$2="","&lt;&gt;",Settings!$B$2),'JLR Machines'!$D$2:$D$20001,IF(Settings!$B$3="","&lt;&gt;",Settings!$B$3)))</f>
        <v>0</v>
      </c>
      <c r="S11" s="39">
        <f>IF($P11&lt;&gt;1,0,SUMIFS('JLR Machines'!$I$2:$I$20001,'JLR Machines'!$A$2:$A$20001,$O11,'JLR Machines'!$C$2:$C$20001,IF(Settings!$B$2="","&lt;&gt;",Settings!$B$2),'JLR Machines'!$D$2:$D$20001,IF(Settings!$B$3="","&lt;&gt;",Settings!$B$3)))</f>
        <v>0</v>
      </c>
      <c r="T11" s="39">
        <f>IF($P11&lt;&gt;1,0,SUMIFS('JLR Machines'!$J$2:$J$20001,'JLR Machines'!$A$2:$A$20001,$O11,'JLR Machines'!$C$2:$C$20001,IF(Settings!$B$2="","&lt;&gt;",Settings!$B$2),'JLR Machines'!$D$2:$D$20001,IF(Settings!$B$3="","&lt;&gt;",Settings!$B$3)))</f>
        <v>0</v>
      </c>
      <c r="U11" s="39">
        <f>IF($P11&lt;&gt;1,0,SUMIFS('JLR Machines'!$K$2:$K$20001,'JLR Machines'!$A$2:$A$20001,$O11,'JLR Machines'!$C$2:$C$20001,IF(Settings!$B$2="","&lt;&gt;",Settings!$B$2),'JLR Machines'!$D$2:$D$20001,IF(Settings!$B$3="","&lt;&gt;",Settings!$B$3)))</f>
        <v>0</v>
      </c>
      <c r="V11" s="39">
        <f>IF($P11&lt;&gt;1,0,SUMIFS('JLR Machines'!$L$2:$L$20001,'JLR Machines'!$A$2:$A$20001,$O11,'JLR Machines'!$C$2:$C$20001,IF(Settings!$B$2="","&lt;&gt;",Settings!$B$2),'JLR Machines'!$D$2:$D$20001,IF(Settings!$B$3="","&lt;&gt;",Settings!$B$3)))</f>
        <v>0</v>
      </c>
      <c r="W11" s="39">
        <f>IF($P11&lt;&gt;1,0,SUMIFS('JLR Machines'!$M$2:$M$20001,'JLR Machines'!$A$2:$A$20001,$O11,'JLR Machines'!$C$2:$C$20001,IF(Settings!$B$2="","&lt;&gt;",Settings!$B$2),'JLR Machines'!$D$2:$D$20001,IF(Settings!$B$3="","&lt;&gt;",Settings!$B$3)))</f>
        <v>0</v>
      </c>
      <c r="X11" s="39">
        <f>IF($P11&lt;&gt;1,0,SUMIFS('JLR Machines'!$N$2:$N$20001,'JLR Machines'!$A$2:$A$20001,$O11,'JLR Machines'!$C$2:$C$20001,IF(Settings!$B$2="","&lt;&gt;",Settings!$B$2),'JLR Machines'!$D$2:$D$20001,IF(Settings!$B$3="","&lt;&gt;",Settings!$B$3)))</f>
        <v>0</v>
      </c>
      <c r="Y11" s="39">
        <f>$Q11+$R11+$S11+$T11+$U11+$V11+$W11</f>
        <v>0</v>
      </c>
      <c r="Z11" s="38">
        <f>IF($X11&lt;=0,0,ROUND((D11+E11+F11+G11+H11+I11)/2812-$X11,4))</f>
        <v>0</v>
      </c>
      <c r="AA11" s="40" t="s">
        <v>2117</v>
      </c>
      <c r="AB11" s="40" t="s">
        <v>2099</v>
      </c>
    </row>
    <row r="12" spans="1:28" x14ac:dyDescent="0.25">
      <c r="A12" s="32" t="s">
        <v>944</v>
      </c>
      <c r="B12" s="33" t="s">
        <v>2118</v>
      </c>
      <c r="C12" s="33" t="s">
        <v>1379</v>
      </c>
      <c r="D12" s="41">
        <f>IF($X12&gt;0,IF($Y12&gt;0,MAX(0,$Q12+$X12-$Y12)*3200,$X12*3200),111320)</f>
        <v>111320</v>
      </c>
      <c r="E12" s="41">
        <f>IF($X12&gt;0,IF($Y12&gt;0,$S12*3200,0),46441)</f>
        <v>46441</v>
      </c>
      <c r="F12" s="41">
        <f>IF($X12&gt;0,IF($Y12&gt;0,$V12*3200,0),37287)</f>
        <v>37287</v>
      </c>
      <c r="G12" s="41">
        <f>IF($X12&gt;0,IF($Y12&gt;0,$R12*3200,0),14135)</f>
        <v>14135</v>
      </c>
      <c r="H12" s="41">
        <f>IF($X12&gt;0,IF($Y12&gt;0,($T12+$W12)*3200,0),42301)</f>
        <v>42301</v>
      </c>
      <c r="I12" s="41">
        <f>IF($X12&gt;0,IF($Y12&gt;0,$U12*3200,0),27000)</f>
        <v>27000</v>
      </c>
      <c r="J12" s="35">
        <v>4000</v>
      </c>
      <c r="K12" s="42">
        <v>0.8</v>
      </c>
      <c r="L12" s="36" t="str">
        <f>IF($X12&gt;0,IF($P12&lt;&gt;1,$AB12,IFERROR(INDEX('JLR Machines'!$D$2:$D$20001,MATCH($O12,'JLR Machines'!$A$2:$A$20001,0)),$AB12)),$AB12)</f>
        <v>2026-09-29</v>
      </c>
      <c r="M12" s="36" t="str">
        <f>IF($X12&gt;0,IF($Y12&gt;0,"JLR machine "&amp;$O12&amp;" at "&amp;TEXT($X12,"0.00")&amp;" per hr — build-up as supplied","JLR machine "&amp;$O12&amp;" at "&amp;TEXT($X12,"0.00")&amp;" per hr — build-up not supplied"),$AA12)</f>
        <v>REPRESENTATIVE — UK small power skiving class. Target ~£85/hr. Replace with plant data.</v>
      </c>
      <c r="N12" s="33" t="s">
        <v>1380</v>
      </c>
      <c r="O12" s="37" t="str">
        <f>IFERROR(INDEX(Mapping!$C$2:$C$549,MATCH($A12,Mapping!$A$2:$A$549,0)),"")</f>
        <v/>
      </c>
      <c r="P12" s="37">
        <f>IF($O12="",0,COUNTIFS('JLR Machines'!$A$2:$A$20001,$O12,'JLR Machines'!$C$2:$C$20001,IF(Settings!$B$2="","&lt;&gt;",Settings!$B$2),'JLR Machines'!$D$2:$D$20001,IF(Settings!$B$3="","&lt;&gt;",Settings!$B$3)))</f>
        <v>0</v>
      </c>
      <c r="Q12" s="39">
        <f>IF($P12&lt;&gt;1,0,SUMIFS('JLR Machines'!$G$2:$G$20001,'JLR Machines'!$A$2:$A$20001,$O12,'JLR Machines'!$C$2:$C$20001,IF(Settings!$B$2="","&lt;&gt;",Settings!$B$2),'JLR Machines'!$D$2:$D$20001,IF(Settings!$B$3="","&lt;&gt;",Settings!$B$3)))</f>
        <v>0</v>
      </c>
      <c r="R12" s="39">
        <f>IF($P12&lt;&gt;1,0,SUMIFS('JLR Machines'!$H$2:$H$20001,'JLR Machines'!$A$2:$A$20001,$O12,'JLR Machines'!$C$2:$C$20001,IF(Settings!$B$2="","&lt;&gt;",Settings!$B$2),'JLR Machines'!$D$2:$D$20001,IF(Settings!$B$3="","&lt;&gt;",Settings!$B$3)))</f>
        <v>0</v>
      </c>
      <c r="S12" s="39">
        <f>IF($P12&lt;&gt;1,0,SUMIFS('JLR Machines'!$I$2:$I$20001,'JLR Machines'!$A$2:$A$20001,$O12,'JLR Machines'!$C$2:$C$20001,IF(Settings!$B$2="","&lt;&gt;",Settings!$B$2),'JLR Machines'!$D$2:$D$20001,IF(Settings!$B$3="","&lt;&gt;",Settings!$B$3)))</f>
        <v>0</v>
      </c>
      <c r="T12" s="39">
        <f>IF($P12&lt;&gt;1,0,SUMIFS('JLR Machines'!$J$2:$J$20001,'JLR Machines'!$A$2:$A$20001,$O12,'JLR Machines'!$C$2:$C$20001,IF(Settings!$B$2="","&lt;&gt;",Settings!$B$2),'JLR Machines'!$D$2:$D$20001,IF(Settings!$B$3="","&lt;&gt;",Settings!$B$3)))</f>
        <v>0</v>
      </c>
      <c r="U12" s="39">
        <f>IF($P12&lt;&gt;1,0,SUMIFS('JLR Machines'!$K$2:$K$20001,'JLR Machines'!$A$2:$A$20001,$O12,'JLR Machines'!$C$2:$C$20001,IF(Settings!$B$2="","&lt;&gt;",Settings!$B$2),'JLR Machines'!$D$2:$D$20001,IF(Settings!$B$3="","&lt;&gt;",Settings!$B$3)))</f>
        <v>0</v>
      </c>
      <c r="V12" s="39">
        <f>IF($P12&lt;&gt;1,0,SUMIFS('JLR Machines'!$L$2:$L$20001,'JLR Machines'!$A$2:$A$20001,$O12,'JLR Machines'!$C$2:$C$20001,IF(Settings!$B$2="","&lt;&gt;",Settings!$B$2),'JLR Machines'!$D$2:$D$20001,IF(Settings!$B$3="","&lt;&gt;",Settings!$B$3)))</f>
        <v>0</v>
      </c>
      <c r="W12" s="39">
        <f>IF($P12&lt;&gt;1,0,SUMIFS('JLR Machines'!$M$2:$M$20001,'JLR Machines'!$A$2:$A$20001,$O12,'JLR Machines'!$C$2:$C$20001,IF(Settings!$B$2="","&lt;&gt;",Settings!$B$2),'JLR Machines'!$D$2:$D$20001,IF(Settings!$B$3="","&lt;&gt;",Settings!$B$3)))</f>
        <v>0</v>
      </c>
      <c r="X12" s="39">
        <f>IF($P12&lt;&gt;1,0,SUMIFS('JLR Machines'!$N$2:$N$20001,'JLR Machines'!$A$2:$A$20001,$O12,'JLR Machines'!$C$2:$C$20001,IF(Settings!$B$2="","&lt;&gt;",Settings!$B$2),'JLR Machines'!$D$2:$D$20001,IF(Settings!$B$3="","&lt;&gt;",Settings!$B$3)))</f>
        <v>0</v>
      </c>
      <c r="Y12" s="39">
        <f>$Q12+$R12+$S12+$T12+$U12+$V12+$W12</f>
        <v>0</v>
      </c>
      <c r="Z12" s="38">
        <f>IF($X12&lt;=0,0,ROUND((D12+E12+F12+G12+H12+I12)/3200-$X12,4))</f>
        <v>0</v>
      </c>
      <c r="AA12" s="40" t="s">
        <v>2119</v>
      </c>
      <c r="AB12" s="40" t="s">
        <v>2099</v>
      </c>
    </row>
    <row r="13" spans="1:28" x14ac:dyDescent="0.25">
      <c r="A13" s="32" t="s">
        <v>946</v>
      </c>
      <c r="B13" s="33" t="s">
        <v>2120</v>
      </c>
      <c r="C13" s="33" t="s">
        <v>1379</v>
      </c>
      <c r="D13" s="41">
        <f>IF($X13&gt;0,IF($Y13&gt;0,MAX(0,$Q13+$X13-$Y13)*3120,$X13*3120),156860)</f>
        <v>156860</v>
      </c>
      <c r="E13" s="41">
        <f>IF($X13&gt;0,IF($Y13&gt;0,$S13*3120,0),60575)</f>
        <v>60575</v>
      </c>
      <c r="F13" s="41">
        <f>IF($X13&gt;0,IF($Y13&gt;0,$V13*3120,0),51270)</f>
        <v>51270</v>
      </c>
      <c r="G13" s="41">
        <f>IF($X13&gt;0,IF($Y13&gt;0,$R13*3120,0),22211)</f>
        <v>22211</v>
      </c>
      <c r="H13" s="41">
        <f>IF($X13&gt;0,IF($Y13&gt;0,($T13+$W13)*3120,0),54387)</f>
        <v>54387</v>
      </c>
      <c r="I13" s="41">
        <f>IF($X13&gt;0,IF($Y13&gt;0,$U13*3120,0),33000)</f>
        <v>33000</v>
      </c>
      <c r="J13" s="35">
        <v>4000</v>
      </c>
      <c r="K13" s="42">
        <v>0.78</v>
      </c>
      <c r="L13" s="36" t="str">
        <f>IF($X13&gt;0,IF($P13&lt;&gt;1,$AB13,IFERROR(INDEX('JLR Machines'!$D$2:$D$20001,MATCH($O13,'JLR Machines'!$A$2:$A$20001,0)),$AB13)),$AB13)</f>
        <v>2026-09-29</v>
      </c>
      <c r="M13" s="36" t="str">
        <f>IF($X13&gt;0,IF($Y13&gt;0,"JLR machine "&amp;$O13&amp;" at "&amp;TEXT($X13,"0.00")&amp;" per hr — build-up as supplied","JLR machine "&amp;$O13&amp;" at "&amp;TEXT($X13,"0.00")&amp;" per hr — build-up not supplied"),$AA13)</f>
        <v>REPRESENTATIVE — UK medium power skiving class. Target ~£120/hr. Replace with plant data.</v>
      </c>
      <c r="N13" s="33" t="s">
        <v>1380</v>
      </c>
      <c r="O13" s="37" t="str">
        <f>IFERROR(INDEX(Mapping!$C$2:$C$549,MATCH($A13,Mapping!$A$2:$A$549,0)),"")</f>
        <v/>
      </c>
      <c r="P13" s="37">
        <f>IF($O13="",0,COUNTIFS('JLR Machines'!$A$2:$A$20001,$O13,'JLR Machines'!$C$2:$C$20001,IF(Settings!$B$2="","&lt;&gt;",Settings!$B$2),'JLR Machines'!$D$2:$D$20001,IF(Settings!$B$3="","&lt;&gt;",Settings!$B$3)))</f>
        <v>0</v>
      </c>
      <c r="Q13" s="39">
        <f>IF($P13&lt;&gt;1,0,SUMIFS('JLR Machines'!$G$2:$G$20001,'JLR Machines'!$A$2:$A$20001,$O13,'JLR Machines'!$C$2:$C$20001,IF(Settings!$B$2="","&lt;&gt;",Settings!$B$2),'JLR Machines'!$D$2:$D$20001,IF(Settings!$B$3="","&lt;&gt;",Settings!$B$3)))</f>
        <v>0</v>
      </c>
      <c r="R13" s="39">
        <f>IF($P13&lt;&gt;1,0,SUMIFS('JLR Machines'!$H$2:$H$20001,'JLR Machines'!$A$2:$A$20001,$O13,'JLR Machines'!$C$2:$C$20001,IF(Settings!$B$2="","&lt;&gt;",Settings!$B$2),'JLR Machines'!$D$2:$D$20001,IF(Settings!$B$3="","&lt;&gt;",Settings!$B$3)))</f>
        <v>0</v>
      </c>
      <c r="S13" s="39">
        <f>IF($P13&lt;&gt;1,0,SUMIFS('JLR Machines'!$I$2:$I$20001,'JLR Machines'!$A$2:$A$20001,$O13,'JLR Machines'!$C$2:$C$20001,IF(Settings!$B$2="","&lt;&gt;",Settings!$B$2),'JLR Machines'!$D$2:$D$20001,IF(Settings!$B$3="","&lt;&gt;",Settings!$B$3)))</f>
        <v>0</v>
      </c>
      <c r="T13" s="39">
        <f>IF($P13&lt;&gt;1,0,SUMIFS('JLR Machines'!$J$2:$J$20001,'JLR Machines'!$A$2:$A$20001,$O13,'JLR Machines'!$C$2:$C$20001,IF(Settings!$B$2="","&lt;&gt;",Settings!$B$2),'JLR Machines'!$D$2:$D$20001,IF(Settings!$B$3="","&lt;&gt;",Settings!$B$3)))</f>
        <v>0</v>
      </c>
      <c r="U13" s="39">
        <f>IF($P13&lt;&gt;1,0,SUMIFS('JLR Machines'!$K$2:$K$20001,'JLR Machines'!$A$2:$A$20001,$O13,'JLR Machines'!$C$2:$C$20001,IF(Settings!$B$2="","&lt;&gt;",Settings!$B$2),'JLR Machines'!$D$2:$D$20001,IF(Settings!$B$3="","&lt;&gt;",Settings!$B$3)))</f>
        <v>0</v>
      </c>
      <c r="V13" s="39">
        <f>IF($P13&lt;&gt;1,0,SUMIFS('JLR Machines'!$L$2:$L$20001,'JLR Machines'!$A$2:$A$20001,$O13,'JLR Machines'!$C$2:$C$20001,IF(Settings!$B$2="","&lt;&gt;",Settings!$B$2),'JLR Machines'!$D$2:$D$20001,IF(Settings!$B$3="","&lt;&gt;",Settings!$B$3)))</f>
        <v>0</v>
      </c>
      <c r="W13" s="39">
        <f>IF($P13&lt;&gt;1,0,SUMIFS('JLR Machines'!$M$2:$M$20001,'JLR Machines'!$A$2:$A$20001,$O13,'JLR Machines'!$C$2:$C$20001,IF(Settings!$B$2="","&lt;&gt;",Settings!$B$2),'JLR Machines'!$D$2:$D$20001,IF(Settings!$B$3="","&lt;&gt;",Settings!$B$3)))</f>
        <v>0</v>
      </c>
      <c r="X13" s="39">
        <f>IF($P13&lt;&gt;1,0,SUMIFS('JLR Machines'!$N$2:$N$20001,'JLR Machines'!$A$2:$A$20001,$O13,'JLR Machines'!$C$2:$C$20001,IF(Settings!$B$2="","&lt;&gt;",Settings!$B$2),'JLR Machines'!$D$2:$D$20001,IF(Settings!$B$3="","&lt;&gt;",Settings!$B$3)))</f>
        <v>0</v>
      </c>
      <c r="Y13" s="39">
        <f>$Q13+$R13+$S13+$T13+$U13+$V13+$W13</f>
        <v>0</v>
      </c>
      <c r="Z13" s="38">
        <f>IF($X13&lt;=0,0,ROUND((D13+E13+F13+G13+H13+I13)/3120-$X13,4))</f>
        <v>0</v>
      </c>
      <c r="AA13" s="40" t="s">
        <v>2121</v>
      </c>
      <c r="AB13" s="40" t="s">
        <v>2099</v>
      </c>
    </row>
    <row r="14" spans="1:28" x14ac:dyDescent="0.25">
      <c r="A14" s="32" t="s">
        <v>948</v>
      </c>
      <c r="B14" s="33" t="s">
        <v>2122</v>
      </c>
      <c r="C14" s="33" t="s">
        <v>1379</v>
      </c>
      <c r="D14" s="41">
        <f>IF($X14&gt;0,IF($Y14&gt;0,MAX(0,$Q14+$X14-$Y14)*3400,$X14*3400),72864)</f>
        <v>72864</v>
      </c>
      <c r="E14" s="41">
        <f>IF($X14&gt;0,IF($Y14&gt;0,$S14*3400,0),38364)</f>
        <v>38364</v>
      </c>
      <c r="F14" s="41">
        <f>IF($X14&gt;0,IF($Y14&gt;0,$V14*3400,0),34957)</f>
        <v>34957</v>
      </c>
      <c r="G14" s="41">
        <f>IF($X14&gt;0,IF($Y14&gt;0,$R14*3400,0),18173)</f>
        <v>18173</v>
      </c>
      <c r="H14" s="41">
        <f>IF($X14&gt;0,IF($Y14&gt;0,($T14+$W14)*3400,0),34244)</f>
        <v>34244</v>
      </c>
      <c r="I14" s="41">
        <f>IF($X14&gt;0,IF($Y14&gt;0,$U14*3400,0),22000)</f>
        <v>22000</v>
      </c>
      <c r="J14" s="35">
        <v>4000</v>
      </c>
      <c r="K14" s="42">
        <v>0.85</v>
      </c>
      <c r="L14" s="36" t="str">
        <f>IF($X14&gt;0,IF($P14&lt;&gt;1,$AB14,IFERROR(INDEX('JLR Machines'!$D$2:$D$20001,MATCH($O14,'JLR Machines'!$A$2:$A$20001,0)),$AB14)),$AB14)</f>
        <v>2026-09-29</v>
      </c>
      <c r="M14" s="36" t="str">
        <f>IF($X14&gt;0,IF($Y14&gt;0,"JLR machine "&amp;$O14&amp;" at "&amp;TEXT($X14,"0.00")&amp;" per hr — build-up as supplied","JLR machine "&amp;$O14&amp;" at "&amp;TEXT($X14,"0.00")&amp;" per hr — build-up not supplied"),$AA14)</f>
        <v>REPRESENTATIVE — UK internal gear/spline broach class. Target ~£63/hr. Replace with plant data.</v>
      </c>
      <c r="N14" s="33" t="s">
        <v>1380</v>
      </c>
      <c r="O14" s="37" t="str">
        <f>IFERROR(INDEX(Mapping!$C$2:$C$549,MATCH($A14,Mapping!$A$2:$A$549,0)),"")</f>
        <v/>
      </c>
      <c r="P14" s="37">
        <f>IF($O14="",0,COUNTIFS('JLR Machines'!$A$2:$A$20001,$O14,'JLR Machines'!$C$2:$C$20001,IF(Settings!$B$2="","&lt;&gt;",Settings!$B$2),'JLR Machines'!$D$2:$D$20001,IF(Settings!$B$3="","&lt;&gt;",Settings!$B$3)))</f>
        <v>0</v>
      </c>
      <c r="Q14" s="39">
        <f>IF($P14&lt;&gt;1,0,SUMIFS('JLR Machines'!$G$2:$G$20001,'JLR Machines'!$A$2:$A$20001,$O14,'JLR Machines'!$C$2:$C$20001,IF(Settings!$B$2="","&lt;&gt;",Settings!$B$2),'JLR Machines'!$D$2:$D$20001,IF(Settings!$B$3="","&lt;&gt;",Settings!$B$3)))</f>
        <v>0</v>
      </c>
      <c r="R14" s="39">
        <f>IF($P14&lt;&gt;1,0,SUMIFS('JLR Machines'!$H$2:$H$20001,'JLR Machines'!$A$2:$A$20001,$O14,'JLR Machines'!$C$2:$C$20001,IF(Settings!$B$2="","&lt;&gt;",Settings!$B$2),'JLR Machines'!$D$2:$D$20001,IF(Settings!$B$3="","&lt;&gt;",Settings!$B$3)))</f>
        <v>0</v>
      </c>
      <c r="S14" s="39">
        <f>IF($P14&lt;&gt;1,0,SUMIFS('JLR Machines'!$I$2:$I$20001,'JLR Machines'!$A$2:$A$20001,$O14,'JLR Machines'!$C$2:$C$20001,IF(Settings!$B$2="","&lt;&gt;",Settings!$B$2),'JLR Machines'!$D$2:$D$20001,IF(Settings!$B$3="","&lt;&gt;",Settings!$B$3)))</f>
        <v>0</v>
      </c>
      <c r="T14" s="39">
        <f>IF($P14&lt;&gt;1,0,SUMIFS('JLR Machines'!$J$2:$J$20001,'JLR Machines'!$A$2:$A$20001,$O14,'JLR Machines'!$C$2:$C$20001,IF(Settings!$B$2="","&lt;&gt;",Settings!$B$2),'JLR Machines'!$D$2:$D$20001,IF(Settings!$B$3="","&lt;&gt;",Settings!$B$3)))</f>
        <v>0</v>
      </c>
      <c r="U14" s="39">
        <f>IF($P14&lt;&gt;1,0,SUMIFS('JLR Machines'!$K$2:$K$20001,'JLR Machines'!$A$2:$A$20001,$O14,'JLR Machines'!$C$2:$C$20001,IF(Settings!$B$2="","&lt;&gt;",Settings!$B$2),'JLR Machines'!$D$2:$D$20001,IF(Settings!$B$3="","&lt;&gt;",Settings!$B$3)))</f>
        <v>0</v>
      </c>
      <c r="V14" s="39">
        <f>IF($P14&lt;&gt;1,0,SUMIFS('JLR Machines'!$L$2:$L$20001,'JLR Machines'!$A$2:$A$20001,$O14,'JLR Machines'!$C$2:$C$20001,IF(Settings!$B$2="","&lt;&gt;",Settings!$B$2),'JLR Machines'!$D$2:$D$20001,IF(Settings!$B$3="","&lt;&gt;",Settings!$B$3)))</f>
        <v>0</v>
      </c>
      <c r="W14" s="39">
        <f>IF($P14&lt;&gt;1,0,SUMIFS('JLR Machines'!$M$2:$M$20001,'JLR Machines'!$A$2:$A$20001,$O14,'JLR Machines'!$C$2:$C$20001,IF(Settings!$B$2="","&lt;&gt;",Settings!$B$2),'JLR Machines'!$D$2:$D$20001,IF(Settings!$B$3="","&lt;&gt;",Settings!$B$3)))</f>
        <v>0</v>
      </c>
      <c r="X14" s="39">
        <f>IF($P14&lt;&gt;1,0,SUMIFS('JLR Machines'!$N$2:$N$20001,'JLR Machines'!$A$2:$A$20001,$O14,'JLR Machines'!$C$2:$C$20001,IF(Settings!$B$2="","&lt;&gt;",Settings!$B$2),'JLR Machines'!$D$2:$D$20001,IF(Settings!$B$3="","&lt;&gt;",Settings!$B$3)))</f>
        <v>0</v>
      </c>
      <c r="Y14" s="39">
        <f>$Q14+$R14+$S14+$T14+$U14+$V14+$W14</f>
        <v>0</v>
      </c>
      <c r="Z14" s="38">
        <f>IF($X14&lt;=0,0,ROUND((D14+E14+F14+G14+H14+I14)/3400-$X14,4))</f>
        <v>0</v>
      </c>
      <c r="AA14" s="40" t="s">
        <v>2123</v>
      </c>
      <c r="AB14" s="40" t="s">
        <v>2099</v>
      </c>
    </row>
    <row r="15" spans="1:28" x14ac:dyDescent="0.25">
      <c r="A15" s="32" t="s">
        <v>950</v>
      </c>
      <c r="B15" s="33" t="s">
        <v>2124</v>
      </c>
      <c r="C15" s="33" t="s">
        <v>1379</v>
      </c>
      <c r="D15" s="41">
        <f>IF($X15&gt;0,IF($Y15&gt;0,MAX(0,$Q15+$X15-$Y15)*3120,$X15*3120),166980)</f>
        <v>166980</v>
      </c>
      <c r="E15" s="41">
        <f>IF($X15&gt;0,IF($Y15&gt;0,$S15*3120,0),68652)</f>
        <v>68652</v>
      </c>
      <c r="F15" s="41">
        <f>IF($X15&gt;0,IF($Y15&gt;0,$V15*3120,0),64087)</f>
        <v>64087</v>
      </c>
      <c r="G15" s="41">
        <f>IF($X15&gt;0,IF($Y15&gt;0,$R15*3120,0),22211)</f>
        <v>22211</v>
      </c>
      <c r="H15" s="41">
        <f>IF($X15&gt;0,IF($Y15&gt;0,($T15+$W15)*3120,0),58416)</f>
        <v>58416</v>
      </c>
      <c r="I15" s="41">
        <f>IF($X15&gt;0,IF($Y15&gt;0,$U15*3120,0),35000)</f>
        <v>35000</v>
      </c>
      <c r="J15" s="35">
        <v>4000</v>
      </c>
      <c r="K15" s="42">
        <v>0.78</v>
      </c>
      <c r="L15" s="36" t="str">
        <f>IF($X15&gt;0,IF($P15&lt;&gt;1,$AB15,IFERROR(INDEX('JLR Machines'!$D$2:$D$20001,MATCH($O15,'JLR Machines'!$A$2:$A$20001,0)),$AB15)),$AB15)</f>
        <v>2026-09-29</v>
      </c>
      <c r="M15" s="36" t="str">
        <f>IF($X15&gt;0,IF($Y15&gt;0,"JLR machine "&amp;$O15&amp;" at "&amp;TEXT($X15,"0.00")&amp;" per hr — build-up as supplied","JLR machine "&amp;$O15&amp;" at "&amp;TEXT($X15,"0.00")&amp;" per hr — build-up not supplied"),$AA15)</f>
        <v>REPRESENTATIVE — UK generating (threaded-wheel) gear grinder class. Target ~£130/hr. Replace with plant data.</v>
      </c>
      <c r="N15" s="33" t="s">
        <v>1380</v>
      </c>
      <c r="O15" s="37" t="str">
        <f>IFERROR(INDEX(Mapping!$C$2:$C$549,MATCH($A15,Mapping!$A$2:$A$549,0)),"")</f>
        <v/>
      </c>
      <c r="P15" s="37">
        <f>IF($O15="",0,COUNTIFS('JLR Machines'!$A$2:$A$20001,$O15,'JLR Machines'!$C$2:$C$20001,IF(Settings!$B$2="","&lt;&gt;",Settings!$B$2),'JLR Machines'!$D$2:$D$20001,IF(Settings!$B$3="","&lt;&gt;",Settings!$B$3)))</f>
        <v>0</v>
      </c>
      <c r="Q15" s="39">
        <f>IF($P15&lt;&gt;1,0,SUMIFS('JLR Machines'!$G$2:$G$20001,'JLR Machines'!$A$2:$A$20001,$O15,'JLR Machines'!$C$2:$C$20001,IF(Settings!$B$2="","&lt;&gt;",Settings!$B$2),'JLR Machines'!$D$2:$D$20001,IF(Settings!$B$3="","&lt;&gt;",Settings!$B$3)))</f>
        <v>0</v>
      </c>
      <c r="R15" s="39">
        <f>IF($P15&lt;&gt;1,0,SUMIFS('JLR Machines'!$H$2:$H$20001,'JLR Machines'!$A$2:$A$20001,$O15,'JLR Machines'!$C$2:$C$20001,IF(Settings!$B$2="","&lt;&gt;",Settings!$B$2),'JLR Machines'!$D$2:$D$20001,IF(Settings!$B$3="","&lt;&gt;",Settings!$B$3)))</f>
        <v>0</v>
      </c>
      <c r="S15" s="39">
        <f>IF($P15&lt;&gt;1,0,SUMIFS('JLR Machines'!$I$2:$I$20001,'JLR Machines'!$A$2:$A$20001,$O15,'JLR Machines'!$C$2:$C$20001,IF(Settings!$B$2="","&lt;&gt;",Settings!$B$2),'JLR Machines'!$D$2:$D$20001,IF(Settings!$B$3="","&lt;&gt;",Settings!$B$3)))</f>
        <v>0</v>
      </c>
      <c r="T15" s="39">
        <f>IF($P15&lt;&gt;1,0,SUMIFS('JLR Machines'!$J$2:$J$20001,'JLR Machines'!$A$2:$A$20001,$O15,'JLR Machines'!$C$2:$C$20001,IF(Settings!$B$2="","&lt;&gt;",Settings!$B$2),'JLR Machines'!$D$2:$D$20001,IF(Settings!$B$3="","&lt;&gt;",Settings!$B$3)))</f>
        <v>0</v>
      </c>
      <c r="U15" s="39">
        <f>IF($P15&lt;&gt;1,0,SUMIFS('JLR Machines'!$K$2:$K$20001,'JLR Machines'!$A$2:$A$20001,$O15,'JLR Machines'!$C$2:$C$20001,IF(Settings!$B$2="","&lt;&gt;",Settings!$B$2),'JLR Machines'!$D$2:$D$20001,IF(Settings!$B$3="","&lt;&gt;",Settings!$B$3)))</f>
        <v>0</v>
      </c>
      <c r="V15" s="39">
        <f>IF($P15&lt;&gt;1,0,SUMIFS('JLR Machines'!$L$2:$L$20001,'JLR Machines'!$A$2:$A$20001,$O15,'JLR Machines'!$C$2:$C$20001,IF(Settings!$B$2="","&lt;&gt;",Settings!$B$2),'JLR Machines'!$D$2:$D$20001,IF(Settings!$B$3="","&lt;&gt;",Settings!$B$3)))</f>
        <v>0</v>
      </c>
      <c r="W15" s="39">
        <f>IF($P15&lt;&gt;1,0,SUMIFS('JLR Machines'!$M$2:$M$20001,'JLR Machines'!$A$2:$A$20001,$O15,'JLR Machines'!$C$2:$C$20001,IF(Settings!$B$2="","&lt;&gt;",Settings!$B$2),'JLR Machines'!$D$2:$D$20001,IF(Settings!$B$3="","&lt;&gt;",Settings!$B$3)))</f>
        <v>0</v>
      </c>
      <c r="X15" s="39">
        <f>IF($P15&lt;&gt;1,0,SUMIFS('JLR Machines'!$N$2:$N$20001,'JLR Machines'!$A$2:$A$20001,$O15,'JLR Machines'!$C$2:$C$20001,IF(Settings!$B$2="","&lt;&gt;",Settings!$B$2),'JLR Machines'!$D$2:$D$20001,IF(Settings!$B$3="","&lt;&gt;",Settings!$B$3)))</f>
        <v>0</v>
      </c>
      <c r="Y15" s="39">
        <f>$Q15+$R15+$S15+$T15+$U15+$V15+$W15</f>
        <v>0</v>
      </c>
      <c r="Z15" s="38">
        <f>IF($X15&lt;=0,0,ROUND((D15+E15+F15+G15+H15+I15)/3120-$X15,4))</f>
        <v>0</v>
      </c>
      <c r="AA15" s="40" t="s">
        <v>2125</v>
      </c>
      <c r="AB15" s="40" t="s">
        <v>2099</v>
      </c>
    </row>
    <row r="16" spans="1:28" x14ac:dyDescent="0.25">
      <c r="A16" s="32" t="s">
        <v>952</v>
      </c>
      <c r="B16" s="33" t="s">
        <v>2126</v>
      </c>
      <c r="C16" s="33" t="s">
        <v>1379</v>
      </c>
      <c r="D16" s="41">
        <f>IF($X16&gt;0,IF($Y16&gt;0,MAX(0,$Q16+$X16-$Y16)*2736,$X16*2736),192280)</f>
        <v>192280</v>
      </c>
      <c r="E16" s="41">
        <f>IF($X16&gt;0,IF($Y16&gt;0,$S16*2736,0),78748)</f>
        <v>78748</v>
      </c>
      <c r="F16" s="41">
        <f>IF($X16&gt;0,IF($Y16&gt;0,$V16*2736,0),72244)</f>
        <v>72244</v>
      </c>
      <c r="G16" s="41">
        <f>IF($X16&gt;0,IF($Y16&gt;0,$R16*2736,0),28269)</f>
        <v>28269</v>
      </c>
      <c r="H16" s="41">
        <f>IF($X16&gt;0,IF($Y16&gt;0,($T16+$W16)*2736,0),66473)</f>
        <v>66473</v>
      </c>
      <c r="I16" s="41">
        <f>IF($X16&gt;0,IF($Y16&gt;0,$U16*2736,0),40000)</f>
        <v>40000</v>
      </c>
      <c r="J16" s="35">
        <v>3800</v>
      </c>
      <c r="K16" s="42">
        <v>0.72</v>
      </c>
      <c r="L16" s="36" t="str">
        <f>IF($X16&gt;0,IF($P16&lt;&gt;1,$AB16,IFERROR(INDEX('JLR Machines'!$D$2:$D$20001,MATCH($O16,'JLR Machines'!$A$2:$A$20001,0)),$AB16)),$AB16)</f>
        <v>2026-09-29</v>
      </c>
      <c r="M16" s="36" t="str">
        <f>IF($X16&gt;0,IF($Y16&gt;0,"JLR machine "&amp;$O16&amp;" at "&amp;TEXT($X16,"0.00")&amp;" per hr — build-up as supplied","JLR machine "&amp;$O16&amp;" at "&amp;TEXT($X16,"0.00")&amp;" per hr — build-up not supplied"),$AA16)</f>
        <v>REPRESENTATIVE — UK profile (form-wheel) gear grinder class. Target ~£170/hr. Replace with plant data.</v>
      </c>
      <c r="N16" s="33" t="s">
        <v>1380</v>
      </c>
      <c r="O16" s="37" t="str">
        <f>IFERROR(INDEX(Mapping!$C$2:$C$549,MATCH($A16,Mapping!$A$2:$A$549,0)),"")</f>
        <v/>
      </c>
      <c r="P16" s="37">
        <f>IF($O16="",0,COUNTIFS('JLR Machines'!$A$2:$A$20001,$O16,'JLR Machines'!$C$2:$C$20001,IF(Settings!$B$2="","&lt;&gt;",Settings!$B$2),'JLR Machines'!$D$2:$D$20001,IF(Settings!$B$3="","&lt;&gt;",Settings!$B$3)))</f>
        <v>0</v>
      </c>
      <c r="Q16" s="39">
        <f>IF($P16&lt;&gt;1,0,SUMIFS('JLR Machines'!$G$2:$G$20001,'JLR Machines'!$A$2:$A$20001,$O16,'JLR Machines'!$C$2:$C$20001,IF(Settings!$B$2="","&lt;&gt;",Settings!$B$2),'JLR Machines'!$D$2:$D$20001,IF(Settings!$B$3="","&lt;&gt;",Settings!$B$3)))</f>
        <v>0</v>
      </c>
      <c r="R16" s="39">
        <f>IF($P16&lt;&gt;1,0,SUMIFS('JLR Machines'!$H$2:$H$20001,'JLR Machines'!$A$2:$A$20001,$O16,'JLR Machines'!$C$2:$C$20001,IF(Settings!$B$2="","&lt;&gt;",Settings!$B$2),'JLR Machines'!$D$2:$D$20001,IF(Settings!$B$3="","&lt;&gt;",Settings!$B$3)))</f>
        <v>0</v>
      </c>
      <c r="S16" s="39">
        <f>IF($P16&lt;&gt;1,0,SUMIFS('JLR Machines'!$I$2:$I$20001,'JLR Machines'!$A$2:$A$20001,$O16,'JLR Machines'!$C$2:$C$20001,IF(Settings!$B$2="","&lt;&gt;",Settings!$B$2),'JLR Machines'!$D$2:$D$20001,IF(Settings!$B$3="","&lt;&gt;",Settings!$B$3)))</f>
        <v>0</v>
      </c>
      <c r="T16" s="39">
        <f>IF($P16&lt;&gt;1,0,SUMIFS('JLR Machines'!$J$2:$J$20001,'JLR Machines'!$A$2:$A$20001,$O16,'JLR Machines'!$C$2:$C$20001,IF(Settings!$B$2="","&lt;&gt;",Settings!$B$2),'JLR Machines'!$D$2:$D$20001,IF(Settings!$B$3="","&lt;&gt;",Settings!$B$3)))</f>
        <v>0</v>
      </c>
      <c r="U16" s="39">
        <f>IF($P16&lt;&gt;1,0,SUMIFS('JLR Machines'!$K$2:$K$20001,'JLR Machines'!$A$2:$A$20001,$O16,'JLR Machines'!$C$2:$C$20001,IF(Settings!$B$2="","&lt;&gt;",Settings!$B$2),'JLR Machines'!$D$2:$D$20001,IF(Settings!$B$3="","&lt;&gt;",Settings!$B$3)))</f>
        <v>0</v>
      </c>
      <c r="V16" s="39">
        <f>IF($P16&lt;&gt;1,0,SUMIFS('JLR Machines'!$L$2:$L$20001,'JLR Machines'!$A$2:$A$20001,$O16,'JLR Machines'!$C$2:$C$20001,IF(Settings!$B$2="","&lt;&gt;",Settings!$B$2),'JLR Machines'!$D$2:$D$20001,IF(Settings!$B$3="","&lt;&gt;",Settings!$B$3)))</f>
        <v>0</v>
      </c>
      <c r="W16" s="39">
        <f>IF($P16&lt;&gt;1,0,SUMIFS('JLR Machines'!$M$2:$M$20001,'JLR Machines'!$A$2:$A$20001,$O16,'JLR Machines'!$C$2:$C$20001,IF(Settings!$B$2="","&lt;&gt;",Settings!$B$2),'JLR Machines'!$D$2:$D$20001,IF(Settings!$B$3="","&lt;&gt;",Settings!$B$3)))</f>
        <v>0</v>
      </c>
      <c r="X16" s="39">
        <f>IF($P16&lt;&gt;1,0,SUMIFS('JLR Machines'!$N$2:$N$20001,'JLR Machines'!$A$2:$A$20001,$O16,'JLR Machines'!$C$2:$C$20001,IF(Settings!$B$2="","&lt;&gt;",Settings!$B$2),'JLR Machines'!$D$2:$D$20001,IF(Settings!$B$3="","&lt;&gt;",Settings!$B$3)))</f>
        <v>0</v>
      </c>
      <c r="Y16" s="39">
        <f>$Q16+$R16+$S16+$T16+$U16+$V16+$W16</f>
        <v>0</v>
      </c>
      <c r="Z16" s="38">
        <f>IF($X16&lt;=0,0,ROUND((D16+E16+F16+G16+H16+I16)/2736-$X16,4))</f>
        <v>0</v>
      </c>
      <c r="AA16" s="40" t="s">
        <v>2127</v>
      </c>
      <c r="AB16" s="40" t="s">
        <v>2099</v>
      </c>
    </row>
    <row r="17" spans="1:28" x14ac:dyDescent="0.25">
      <c r="A17" s="32" t="s">
        <v>954</v>
      </c>
      <c r="B17" s="33" t="s">
        <v>2128</v>
      </c>
      <c r="C17" s="33" t="s">
        <v>1379</v>
      </c>
      <c r="D17" s="41">
        <f>IF($X17&gt;0,IF($Y17&gt;0,MAX(0,$Q17+$X17-$Y17)*3200,$X17*3200),48576)</f>
        <v>48576</v>
      </c>
      <c r="E17" s="41">
        <f>IF($X17&gt;0,IF($Y17&gt;0,$S17*3200,0),26249)</f>
        <v>26249</v>
      </c>
      <c r="F17" s="41">
        <f>IF($X17&gt;0,IF($Y17&gt;0,$V17*3200,0),23304)</f>
        <v>23304</v>
      </c>
      <c r="G17" s="41">
        <f>IF($X17&gt;0,IF($Y17&gt;0,$R17*3200,0),10096)</f>
        <v>10096</v>
      </c>
      <c r="H17" s="41">
        <f>IF($X17&gt;0,IF($Y17&gt;0,($T17+$W17)*3200,0),26186)</f>
        <v>26186</v>
      </c>
      <c r="I17" s="41">
        <f>IF($X17&gt;0,IF($Y17&gt;0,$U17*3200,0),18000)</f>
        <v>18000</v>
      </c>
      <c r="J17" s="35">
        <v>4000</v>
      </c>
      <c r="K17" s="42">
        <v>0.8</v>
      </c>
      <c r="L17" s="36" t="str">
        <f>IF($X17&gt;0,IF($P17&lt;&gt;1,$AB17,IFERROR(INDEX('JLR Machines'!$D$2:$D$20001,MATCH($O17,'JLR Machines'!$A$2:$A$20001,0)),$AB17)),$AB17)</f>
        <v>2026-09-29</v>
      </c>
      <c r="M17" s="36" t="str">
        <f>IF($X17&gt;0,IF($Y17&gt;0,"JLR machine "&amp;$O17&amp;" at "&amp;TEXT($X17,"0.00")&amp;" per hr — build-up as supplied","JLR machine "&amp;$O17&amp;" at "&amp;TEXT($X17,"0.00")&amp;" per hr — build-up not supplied"),$AA17)</f>
        <v>REPRESENTATIVE — UK gear shaving class. Target ~£45/hr. Replace with plant data.</v>
      </c>
      <c r="N17" s="33" t="s">
        <v>1380</v>
      </c>
      <c r="O17" s="37" t="str">
        <f>IFERROR(INDEX(Mapping!$C$2:$C$549,MATCH($A17,Mapping!$A$2:$A$549,0)),"")</f>
        <v/>
      </c>
      <c r="P17" s="37">
        <f>IF($O17="",0,COUNTIFS('JLR Machines'!$A$2:$A$20001,$O17,'JLR Machines'!$C$2:$C$20001,IF(Settings!$B$2="","&lt;&gt;",Settings!$B$2),'JLR Machines'!$D$2:$D$20001,IF(Settings!$B$3="","&lt;&gt;",Settings!$B$3)))</f>
        <v>0</v>
      </c>
      <c r="Q17" s="39">
        <f>IF($P17&lt;&gt;1,0,SUMIFS('JLR Machines'!$G$2:$G$20001,'JLR Machines'!$A$2:$A$20001,$O17,'JLR Machines'!$C$2:$C$20001,IF(Settings!$B$2="","&lt;&gt;",Settings!$B$2),'JLR Machines'!$D$2:$D$20001,IF(Settings!$B$3="","&lt;&gt;",Settings!$B$3)))</f>
        <v>0</v>
      </c>
      <c r="R17" s="39">
        <f>IF($P17&lt;&gt;1,0,SUMIFS('JLR Machines'!$H$2:$H$20001,'JLR Machines'!$A$2:$A$20001,$O17,'JLR Machines'!$C$2:$C$20001,IF(Settings!$B$2="","&lt;&gt;",Settings!$B$2),'JLR Machines'!$D$2:$D$20001,IF(Settings!$B$3="","&lt;&gt;",Settings!$B$3)))</f>
        <v>0</v>
      </c>
      <c r="S17" s="39">
        <f>IF($P17&lt;&gt;1,0,SUMIFS('JLR Machines'!$I$2:$I$20001,'JLR Machines'!$A$2:$A$20001,$O17,'JLR Machines'!$C$2:$C$20001,IF(Settings!$B$2="","&lt;&gt;",Settings!$B$2),'JLR Machines'!$D$2:$D$20001,IF(Settings!$B$3="","&lt;&gt;",Settings!$B$3)))</f>
        <v>0</v>
      </c>
      <c r="T17" s="39">
        <f>IF($P17&lt;&gt;1,0,SUMIFS('JLR Machines'!$J$2:$J$20001,'JLR Machines'!$A$2:$A$20001,$O17,'JLR Machines'!$C$2:$C$20001,IF(Settings!$B$2="","&lt;&gt;",Settings!$B$2),'JLR Machines'!$D$2:$D$20001,IF(Settings!$B$3="","&lt;&gt;",Settings!$B$3)))</f>
        <v>0</v>
      </c>
      <c r="U17" s="39">
        <f>IF($P17&lt;&gt;1,0,SUMIFS('JLR Machines'!$K$2:$K$20001,'JLR Machines'!$A$2:$A$20001,$O17,'JLR Machines'!$C$2:$C$20001,IF(Settings!$B$2="","&lt;&gt;",Settings!$B$2),'JLR Machines'!$D$2:$D$20001,IF(Settings!$B$3="","&lt;&gt;",Settings!$B$3)))</f>
        <v>0</v>
      </c>
      <c r="V17" s="39">
        <f>IF($P17&lt;&gt;1,0,SUMIFS('JLR Machines'!$L$2:$L$20001,'JLR Machines'!$A$2:$A$20001,$O17,'JLR Machines'!$C$2:$C$20001,IF(Settings!$B$2="","&lt;&gt;",Settings!$B$2),'JLR Machines'!$D$2:$D$20001,IF(Settings!$B$3="","&lt;&gt;",Settings!$B$3)))</f>
        <v>0</v>
      </c>
      <c r="W17" s="39">
        <f>IF($P17&lt;&gt;1,0,SUMIFS('JLR Machines'!$M$2:$M$20001,'JLR Machines'!$A$2:$A$20001,$O17,'JLR Machines'!$C$2:$C$20001,IF(Settings!$B$2="","&lt;&gt;",Settings!$B$2),'JLR Machines'!$D$2:$D$20001,IF(Settings!$B$3="","&lt;&gt;",Settings!$B$3)))</f>
        <v>0</v>
      </c>
      <c r="X17" s="39">
        <f>IF($P17&lt;&gt;1,0,SUMIFS('JLR Machines'!$N$2:$N$20001,'JLR Machines'!$A$2:$A$20001,$O17,'JLR Machines'!$C$2:$C$20001,IF(Settings!$B$2="","&lt;&gt;",Settings!$B$2),'JLR Machines'!$D$2:$D$20001,IF(Settings!$B$3="","&lt;&gt;",Settings!$B$3)))</f>
        <v>0</v>
      </c>
      <c r="Y17" s="39">
        <f>$Q17+$R17+$S17+$T17+$U17+$V17+$W17</f>
        <v>0</v>
      </c>
      <c r="Z17" s="38">
        <f>IF($X17&lt;=0,0,ROUND((D17+E17+F17+G17+H17+I17)/3200-$X17,4))</f>
        <v>0</v>
      </c>
      <c r="AA17" s="40" t="s">
        <v>2129</v>
      </c>
      <c r="AB17" s="40" t="s">
        <v>2099</v>
      </c>
    </row>
    <row r="18" spans="1:28" x14ac:dyDescent="0.25">
      <c r="A18" s="32" t="s">
        <v>956</v>
      </c>
      <c r="B18" s="33" t="s">
        <v>2130</v>
      </c>
      <c r="C18" s="33" t="s">
        <v>1379</v>
      </c>
      <c r="D18" s="41">
        <f>IF($X18&gt;0,IF($Y18&gt;0,MAX(0,$Q18+$X18-$Y18)*3120,$X18*3120),97152)</f>
        <v>97152</v>
      </c>
      <c r="E18" s="41">
        <f>IF($X18&gt;0,IF($Y18&gt;0,$S18*3120,0),44422)</f>
        <v>44422</v>
      </c>
      <c r="F18" s="41">
        <f>IF($X18&gt;0,IF($Y18&gt;0,$V18*3120,0),34957)</f>
        <v>34957</v>
      </c>
      <c r="G18" s="41">
        <f>IF($X18&gt;0,IF($Y18&gt;0,$R18*3120,0),14135)</f>
        <v>14135</v>
      </c>
      <c r="H18" s="41">
        <f>IF($X18&gt;0,IF($Y18&gt;0,($T18+$W18)*3120,0),38272)</f>
        <v>38272</v>
      </c>
      <c r="I18" s="41">
        <f>IF($X18&gt;0,IF($Y18&gt;0,$U18*3120,0),25000)</f>
        <v>25000</v>
      </c>
      <c r="J18" s="35">
        <v>4000</v>
      </c>
      <c r="K18" s="42">
        <v>0.78</v>
      </c>
      <c r="L18" s="36" t="str">
        <f>IF($X18&gt;0,IF($P18&lt;&gt;1,$AB18,IFERROR(INDEX('JLR Machines'!$D$2:$D$20001,MATCH($O18,'JLR Machines'!$A$2:$A$20001,0)),$AB18)),$AB18)</f>
        <v>2026-09-29</v>
      </c>
      <c r="M18" s="36" t="str">
        <f>IF($X18&gt;0,IF($Y18&gt;0,"JLR machine "&amp;$O18&amp;" at "&amp;TEXT($X18,"0.00")&amp;" per hr — build-up as supplied","JLR machine "&amp;$O18&amp;" at "&amp;TEXT($X18,"0.00")&amp;" per hr — build-up not supplied"),$AA18)</f>
        <v>REPRESENTATIVE — UK gear honing class (NVH finishing). Target ~£80/hr. Replace with plant data.</v>
      </c>
      <c r="N18" s="33" t="s">
        <v>1380</v>
      </c>
      <c r="O18" s="37" t="str">
        <f>IFERROR(INDEX(Mapping!$C$2:$C$549,MATCH($A18,Mapping!$A$2:$A$549,0)),"")</f>
        <v/>
      </c>
      <c r="P18" s="37">
        <f>IF($O18="",0,COUNTIFS('JLR Machines'!$A$2:$A$20001,$O18,'JLR Machines'!$C$2:$C$20001,IF(Settings!$B$2="","&lt;&gt;",Settings!$B$2),'JLR Machines'!$D$2:$D$20001,IF(Settings!$B$3="","&lt;&gt;",Settings!$B$3)))</f>
        <v>0</v>
      </c>
      <c r="Q18" s="39">
        <f>IF($P18&lt;&gt;1,0,SUMIFS('JLR Machines'!$G$2:$G$20001,'JLR Machines'!$A$2:$A$20001,$O18,'JLR Machines'!$C$2:$C$20001,IF(Settings!$B$2="","&lt;&gt;",Settings!$B$2),'JLR Machines'!$D$2:$D$20001,IF(Settings!$B$3="","&lt;&gt;",Settings!$B$3)))</f>
        <v>0</v>
      </c>
      <c r="R18" s="39">
        <f>IF($P18&lt;&gt;1,0,SUMIFS('JLR Machines'!$H$2:$H$20001,'JLR Machines'!$A$2:$A$20001,$O18,'JLR Machines'!$C$2:$C$20001,IF(Settings!$B$2="","&lt;&gt;",Settings!$B$2),'JLR Machines'!$D$2:$D$20001,IF(Settings!$B$3="","&lt;&gt;",Settings!$B$3)))</f>
        <v>0</v>
      </c>
      <c r="S18" s="39">
        <f>IF($P18&lt;&gt;1,0,SUMIFS('JLR Machines'!$I$2:$I$20001,'JLR Machines'!$A$2:$A$20001,$O18,'JLR Machines'!$C$2:$C$20001,IF(Settings!$B$2="","&lt;&gt;",Settings!$B$2),'JLR Machines'!$D$2:$D$20001,IF(Settings!$B$3="","&lt;&gt;",Settings!$B$3)))</f>
        <v>0</v>
      </c>
      <c r="T18" s="39">
        <f>IF($P18&lt;&gt;1,0,SUMIFS('JLR Machines'!$J$2:$J$20001,'JLR Machines'!$A$2:$A$20001,$O18,'JLR Machines'!$C$2:$C$20001,IF(Settings!$B$2="","&lt;&gt;",Settings!$B$2),'JLR Machines'!$D$2:$D$20001,IF(Settings!$B$3="","&lt;&gt;",Settings!$B$3)))</f>
        <v>0</v>
      </c>
      <c r="U18" s="39">
        <f>IF($P18&lt;&gt;1,0,SUMIFS('JLR Machines'!$K$2:$K$20001,'JLR Machines'!$A$2:$A$20001,$O18,'JLR Machines'!$C$2:$C$20001,IF(Settings!$B$2="","&lt;&gt;",Settings!$B$2),'JLR Machines'!$D$2:$D$20001,IF(Settings!$B$3="","&lt;&gt;",Settings!$B$3)))</f>
        <v>0</v>
      </c>
      <c r="V18" s="39">
        <f>IF($P18&lt;&gt;1,0,SUMIFS('JLR Machines'!$L$2:$L$20001,'JLR Machines'!$A$2:$A$20001,$O18,'JLR Machines'!$C$2:$C$20001,IF(Settings!$B$2="","&lt;&gt;",Settings!$B$2),'JLR Machines'!$D$2:$D$20001,IF(Settings!$B$3="","&lt;&gt;",Settings!$B$3)))</f>
        <v>0</v>
      </c>
      <c r="W18" s="39">
        <f>IF($P18&lt;&gt;1,0,SUMIFS('JLR Machines'!$M$2:$M$20001,'JLR Machines'!$A$2:$A$20001,$O18,'JLR Machines'!$C$2:$C$20001,IF(Settings!$B$2="","&lt;&gt;",Settings!$B$2),'JLR Machines'!$D$2:$D$20001,IF(Settings!$B$3="","&lt;&gt;",Settings!$B$3)))</f>
        <v>0</v>
      </c>
      <c r="X18" s="39">
        <f>IF($P18&lt;&gt;1,0,SUMIFS('JLR Machines'!$N$2:$N$20001,'JLR Machines'!$A$2:$A$20001,$O18,'JLR Machines'!$C$2:$C$20001,IF(Settings!$B$2="","&lt;&gt;",Settings!$B$2),'JLR Machines'!$D$2:$D$20001,IF(Settings!$B$3="","&lt;&gt;",Settings!$B$3)))</f>
        <v>0</v>
      </c>
      <c r="Y18" s="39">
        <f>$Q18+$R18+$S18+$T18+$U18+$V18+$W18</f>
        <v>0</v>
      </c>
      <c r="Z18" s="38">
        <f>IF($X18&lt;=0,0,ROUND((D18+E18+F18+G18+H18+I18)/3120-$X18,4))</f>
        <v>0</v>
      </c>
      <c r="AA18" s="40" t="s">
        <v>2131</v>
      </c>
      <c r="AB18" s="40" t="s">
        <v>2099</v>
      </c>
    </row>
    <row r="19" spans="1:28" x14ac:dyDescent="0.25">
      <c r="A19" s="32" t="s">
        <v>958</v>
      </c>
      <c r="B19" s="33" t="s">
        <v>2132</v>
      </c>
      <c r="C19" s="33" t="s">
        <v>1379</v>
      </c>
      <c r="D19" s="41">
        <f>IF($X19&gt;0,IF($Y19&gt;0,MAX(0,$Q19+$X19-$Y19)*3280,$X19*3280),26312)</f>
        <v>26312</v>
      </c>
      <c r="E19" s="41">
        <f>IF($X19&gt;0,IF($Y19&gt;0,$S19*3280,0),14134)</f>
        <v>14134</v>
      </c>
      <c r="F19" s="41">
        <f>IF($X19&gt;0,IF($Y19&gt;0,$V19*3280,0),13983)</f>
        <v>13983</v>
      </c>
      <c r="G19" s="41">
        <f>IF($X19&gt;0,IF($Y19&gt;0,$R19*3280,0),8077)</f>
        <v>8077</v>
      </c>
      <c r="H19" s="41">
        <f>IF($X19&gt;0,IF($Y19&gt;0,($T19+$W19)*3280,0),18129)</f>
        <v>18129</v>
      </c>
      <c r="I19" s="41">
        <f>IF($X19&gt;0,IF($Y19&gt;0,$U19*3280,0),9000)</f>
        <v>9000</v>
      </c>
      <c r="J19" s="35">
        <v>4000</v>
      </c>
      <c r="K19" s="42">
        <v>0.82</v>
      </c>
      <c r="L19" s="36" t="str">
        <f>IF($X19&gt;0,IF($P19&lt;&gt;1,$AB19,IFERROR(INDEX('JLR Machines'!$D$2:$D$20001,MATCH($O19,'JLR Machines'!$A$2:$A$20001,0)),$AB19)),$AB19)</f>
        <v>2026-09-29</v>
      </c>
      <c r="M19" s="36" t="str">
        <f>IF($X19&gt;0,IF($Y19&gt;0,"JLR machine "&amp;$O19&amp;" at "&amp;TEXT($X19,"0.00")&amp;" per hr — build-up as supplied","JLR machine "&amp;$O19&amp;" at "&amp;TEXT($X19,"0.00")&amp;" per hr — build-up not supplied"),$AA19)</f>
        <v>REPRESENTATIVE — UK chamfer/deburr cell class. Target ~£26/hr. Replace with plant data.</v>
      </c>
      <c r="N19" s="33" t="s">
        <v>1380</v>
      </c>
      <c r="O19" s="37" t="str">
        <f>IFERROR(INDEX(Mapping!$C$2:$C$549,MATCH($A19,Mapping!$A$2:$A$549,0)),"")</f>
        <v/>
      </c>
      <c r="P19" s="37">
        <f>IF($O19="",0,COUNTIFS('JLR Machines'!$A$2:$A$20001,$O19,'JLR Machines'!$C$2:$C$20001,IF(Settings!$B$2="","&lt;&gt;",Settings!$B$2),'JLR Machines'!$D$2:$D$20001,IF(Settings!$B$3="","&lt;&gt;",Settings!$B$3)))</f>
        <v>0</v>
      </c>
      <c r="Q19" s="39">
        <f>IF($P19&lt;&gt;1,0,SUMIFS('JLR Machines'!$G$2:$G$20001,'JLR Machines'!$A$2:$A$20001,$O19,'JLR Machines'!$C$2:$C$20001,IF(Settings!$B$2="","&lt;&gt;",Settings!$B$2),'JLR Machines'!$D$2:$D$20001,IF(Settings!$B$3="","&lt;&gt;",Settings!$B$3)))</f>
        <v>0</v>
      </c>
      <c r="R19" s="39">
        <f>IF($P19&lt;&gt;1,0,SUMIFS('JLR Machines'!$H$2:$H$20001,'JLR Machines'!$A$2:$A$20001,$O19,'JLR Machines'!$C$2:$C$20001,IF(Settings!$B$2="","&lt;&gt;",Settings!$B$2),'JLR Machines'!$D$2:$D$20001,IF(Settings!$B$3="","&lt;&gt;",Settings!$B$3)))</f>
        <v>0</v>
      </c>
      <c r="S19" s="39">
        <f>IF($P19&lt;&gt;1,0,SUMIFS('JLR Machines'!$I$2:$I$20001,'JLR Machines'!$A$2:$A$20001,$O19,'JLR Machines'!$C$2:$C$20001,IF(Settings!$B$2="","&lt;&gt;",Settings!$B$2),'JLR Machines'!$D$2:$D$20001,IF(Settings!$B$3="","&lt;&gt;",Settings!$B$3)))</f>
        <v>0</v>
      </c>
      <c r="T19" s="39">
        <f>IF($P19&lt;&gt;1,0,SUMIFS('JLR Machines'!$J$2:$J$20001,'JLR Machines'!$A$2:$A$20001,$O19,'JLR Machines'!$C$2:$C$20001,IF(Settings!$B$2="","&lt;&gt;",Settings!$B$2),'JLR Machines'!$D$2:$D$20001,IF(Settings!$B$3="","&lt;&gt;",Settings!$B$3)))</f>
        <v>0</v>
      </c>
      <c r="U19" s="39">
        <f>IF($P19&lt;&gt;1,0,SUMIFS('JLR Machines'!$K$2:$K$20001,'JLR Machines'!$A$2:$A$20001,$O19,'JLR Machines'!$C$2:$C$20001,IF(Settings!$B$2="","&lt;&gt;",Settings!$B$2),'JLR Machines'!$D$2:$D$20001,IF(Settings!$B$3="","&lt;&gt;",Settings!$B$3)))</f>
        <v>0</v>
      </c>
      <c r="V19" s="39">
        <f>IF($P19&lt;&gt;1,0,SUMIFS('JLR Machines'!$L$2:$L$20001,'JLR Machines'!$A$2:$A$20001,$O19,'JLR Machines'!$C$2:$C$20001,IF(Settings!$B$2="","&lt;&gt;",Settings!$B$2),'JLR Machines'!$D$2:$D$20001,IF(Settings!$B$3="","&lt;&gt;",Settings!$B$3)))</f>
        <v>0</v>
      </c>
      <c r="W19" s="39">
        <f>IF($P19&lt;&gt;1,0,SUMIFS('JLR Machines'!$M$2:$M$20001,'JLR Machines'!$A$2:$A$20001,$O19,'JLR Machines'!$C$2:$C$20001,IF(Settings!$B$2="","&lt;&gt;",Settings!$B$2),'JLR Machines'!$D$2:$D$20001,IF(Settings!$B$3="","&lt;&gt;",Settings!$B$3)))</f>
        <v>0</v>
      </c>
      <c r="X19" s="39">
        <f>IF($P19&lt;&gt;1,0,SUMIFS('JLR Machines'!$N$2:$N$20001,'JLR Machines'!$A$2:$A$20001,$O19,'JLR Machines'!$C$2:$C$20001,IF(Settings!$B$2="","&lt;&gt;",Settings!$B$2),'JLR Machines'!$D$2:$D$20001,IF(Settings!$B$3="","&lt;&gt;",Settings!$B$3)))</f>
        <v>0</v>
      </c>
      <c r="Y19" s="39">
        <f>$Q19+$R19+$S19+$T19+$U19+$V19+$W19</f>
        <v>0</v>
      </c>
      <c r="Z19" s="38">
        <f>IF($X19&lt;=0,0,ROUND((D19+E19+F19+G19+H19+I19)/3280-$X19,4))</f>
        <v>0</v>
      </c>
      <c r="AA19" s="40" t="s">
        <v>2133</v>
      </c>
      <c r="AB19" s="40" t="s">
        <v>2099</v>
      </c>
    </row>
    <row r="20" spans="1:28" x14ac:dyDescent="0.25">
      <c r="A20" s="32" t="s">
        <v>960</v>
      </c>
      <c r="B20" s="33" t="s">
        <v>2134</v>
      </c>
      <c r="C20" s="33" t="s">
        <v>1379</v>
      </c>
      <c r="D20" s="41">
        <f>IF($X20&gt;0,IF($Y20&gt;0,MAX(0,$Q20+$X20-$Y20)*3200,$X20*3200),62744)</f>
        <v>62744</v>
      </c>
      <c r="E20" s="41">
        <f>IF($X20&gt;0,IF($Y20&gt;0,$S20*3200,0),26249)</f>
        <v>26249</v>
      </c>
      <c r="F20" s="41">
        <f>IF($X20&gt;0,IF($Y20&gt;0,$V20*3200,0),48939)</f>
        <v>48939</v>
      </c>
      <c r="G20" s="41">
        <f>IF($X20&gt;0,IF($Y20&gt;0,$R20*3200,0),9086)</f>
        <v>9086</v>
      </c>
      <c r="H20" s="41">
        <f>IF($X20&gt;0,IF($Y20&gt;0,($T20+$W20)*3200,0),20143)</f>
        <v>20143</v>
      </c>
      <c r="I20" s="41">
        <f>IF($X20&gt;0,IF($Y20&gt;0,$U20*3200,0),15000)</f>
        <v>15000</v>
      </c>
      <c r="J20" s="35">
        <v>4000</v>
      </c>
      <c r="K20" s="42">
        <v>0.8</v>
      </c>
      <c r="L20" s="36" t="str">
        <f>IF($X20&gt;0,IF($P20&lt;&gt;1,$AB20,IFERROR(INDEX('JLR Machines'!$D$2:$D$20001,MATCH($O20,'JLR Machines'!$A$2:$A$20001,0)),$AB20)),$AB20)</f>
        <v>2026-09-29</v>
      </c>
      <c r="M20" s="36" t="str">
        <f>IF($X20&gt;0,IF($Y20&gt;0,"JLR machine "&amp;$O20&amp;" at "&amp;TEXT($X20,"0.00")&amp;" per hr — build-up as supplied","JLR machine "&amp;$O20&amp;" at "&amp;TEXT($X20,"0.00")&amp;" per hr — build-up not supplied"),$AA20)</f>
        <v>REPRESENTATIVE — UK gear induction hardening cell. Energy-heavy (RF generator + quench recirculation). Target ~£55/hr. Replace with plant data.</v>
      </c>
      <c r="N20" s="33" t="s">
        <v>1380</v>
      </c>
      <c r="O20" s="37" t="str">
        <f>IFERROR(INDEX(Mapping!$C$2:$C$549,MATCH($A20,Mapping!$A$2:$A$549,0)),"")</f>
        <v/>
      </c>
      <c r="P20" s="37">
        <f>IF($O20="",0,COUNTIFS('JLR Machines'!$A$2:$A$20001,$O20,'JLR Machines'!$C$2:$C$20001,IF(Settings!$B$2="","&lt;&gt;",Settings!$B$2),'JLR Machines'!$D$2:$D$20001,IF(Settings!$B$3="","&lt;&gt;",Settings!$B$3)))</f>
        <v>0</v>
      </c>
      <c r="Q20" s="39">
        <f>IF($P20&lt;&gt;1,0,SUMIFS('JLR Machines'!$G$2:$G$20001,'JLR Machines'!$A$2:$A$20001,$O20,'JLR Machines'!$C$2:$C$20001,IF(Settings!$B$2="","&lt;&gt;",Settings!$B$2),'JLR Machines'!$D$2:$D$20001,IF(Settings!$B$3="","&lt;&gt;",Settings!$B$3)))</f>
        <v>0</v>
      </c>
      <c r="R20" s="39">
        <f>IF($P20&lt;&gt;1,0,SUMIFS('JLR Machines'!$H$2:$H$20001,'JLR Machines'!$A$2:$A$20001,$O20,'JLR Machines'!$C$2:$C$20001,IF(Settings!$B$2="","&lt;&gt;",Settings!$B$2),'JLR Machines'!$D$2:$D$20001,IF(Settings!$B$3="","&lt;&gt;",Settings!$B$3)))</f>
        <v>0</v>
      </c>
      <c r="S20" s="39">
        <f>IF($P20&lt;&gt;1,0,SUMIFS('JLR Machines'!$I$2:$I$20001,'JLR Machines'!$A$2:$A$20001,$O20,'JLR Machines'!$C$2:$C$20001,IF(Settings!$B$2="","&lt;&gt;",Settings!$B$2),'JLR Machines'!$D$2:$D$20001,IF(Settings!$B$3="","&lt;&gt;",Settings!$B$3)))</f>
        <v>0</v>
      </c>
      <c r="T20" s="39">
        <f>IF($P20&lt;&gt;1,0,SUMIFS('JLR Machines'!$J$2:$J$20001,'JLR Machines'!$A$2:$A$20001,$O20,'JLR Machines'!$C$2:$C$20001,IF(Settings!$B$2="","&lt;&gt;",Settings!$B$2),'JLR Machines'!$D$2:$D$20001,IF(Settings!$B$3="","&lt;&gt;",Settings!$B$3)))</f>
        <v>0</v>
      </c>
      <c r="U20" s="39">
        <f>IF($P20&lt;&gt;1,0,SUMIFS('JLR Machines'!$K$2:$K$20001,'JLR Machines'!$A$2:$A$20001,$O20,'JLR Machines'!$C$2:$C$20001,IF(Settings!$B$2="","&lt;&gt;",Settings!$B$2),'JLR Machines'!$D$2:$D$20001,IF(Settings!$B$3="","&lt;&gt;",Settings!$B$3)))</f>
        <v>0</v>
      </c>
      <c r="V20" s="39">
        <f>IF($P20&lt;&gt;1,0,SUMIFS('JLR Machines'!$L$2:$L$20001,'JLR Machines'!$A$2:$A$20001,$O20,'JLR Machines'!$C$2:$C$20001,IF(Settings!$B$2="","&lt;&gt;",Settings!$B$2),'JLR Machines'!$D$2:$D$20001,IF(Settings!$B$3="","&lt;&gt;",Settings!$B$3)))</f>
        <v>0</v>
      </c>
      <c r="W20" s="39">
        <f>IF($P20&lt;&gt;1,0,SUMIFS('JLR Machines'!$M$2:$M$20001,'JLR Machines'!$A$2:$A$20001,$O20,'JLR Machines'!$C$2:$C$20001,IF(Settings!$B$2="","&lt;&gt;",Settings!$B$2),'JLR Machines'!$D$2:$D$20001,IF(Settings!$B$3="","&lt;&gt;",Settings!$B$3)))</f>
        <v>0</v>
      </c>
      <c r="X20" s="39">
        <f>IF($P20&lt;&gt;1,0,SUMIFS('JLR Machines'!$N$2:$N$20001,'JLR Machines'!$A$2:$A$20001,$O20,'JLR Machines'!$C$2:$C$20001,IF(Settings!$B$2="","&lt;&gt;",Settings!$B$2),'JLR Machines'!$D$2:$D$20001,IF(Settings!$B$3="","&lt;&gt;",Settings!$B$3)))</f>
        <v>0</v>
      </c>
      <c r="Y20" s="39">
        <f>$Q20+$R20+$S20+$T20+$U20+$V20+$W20</f>
        <v>0</v>
      </c>
      <c r="Z20" s="38">
        <f>IF($X20&lt;=0,0,ROUND((D20+E20+F20+G20+H20+I20)/3200-$X20,4))</f>
        <v>0</v>
      </c>
      <c r="AA20" s="40" t="s">
        <v>2135</v>
      </c>
      <c r="AB20" s="40" t="s">
        <v>2099</v>
      </c>
    </row>
    <row r="21" spans="1:28" x14ac:dyDescent="0.25">
      <c r="A21" s="32" t="s">
        <v>962</v>
      </c>
      <c r="B21" s="33" t="s">
        <v>2136</v>
      </c>
      <c r="C21" s="33" t="s">
        <v>1379</v>
      </c>
      <c r="D21" s="41">
        <f>IF($X21&gt;0,IF($Y21&gt;0,MAX(0,$Q21+$X21-$Y21)*2600,$X21*2600),58696)</f>
        <v>58696</v>
      </c>
      <c r="E21" s="41">
        <f>IF($X21&gt;0,IF($Y21&gt;0,$S21*2600,0),22211)</f>
        <v>22211</v>
      </c>
      <c r="F21" s="41">
        <f>IF($X21&gt;0,IF($Y21&gt;0,$V21*2600,0),11652)</f>
        <v>11652</v>
      </c>
      <c r="G21" s="41">
        <f>IF($X21&gt;0,IF($Y21&gt;0,$R21*2600,0),12115)</f>
        <v>12115</v>
      </c>
      <c r="H21" s="41">
        <f>IF($X21&gt;0,IF($Y21&gt;0,($T21+$W21)*2600,0),30215)</f>
        <v>30215</v>
      </c>
      <c r="I21" s="41">
        <f>IF($X21&gt;0,IF($Y21&gt;0,$U21*2600,0),15000)</f>
        <v>15000</v>
      </c>
      <c r="J21" s="35">
        <v>4000</v>
      </c>
      <c r="K21" s="42">
        <v>0.65</v>
      </c>
      <c r="L21" s="36" t="str">
        <f>IF($X21&gt;0,IF($P21&lt;&gt;1,$AB21,IFERROR(INDEX('JLR Machines'!$D$2:$D$20001,MATCH($O21,'JLR Machines'!$A$2:$A$20001,0)),$AB21)),$AB21)</f>
        <v>2026-09-29</v>
      </c>
      <c r="M21" s="36" t="str">
        <f>IF($X21&gt;0,IF($Y21&gt;0,"JLR machine "&amp;$O21&amp;" at "&amp;TEXT($X21,"0.00")&amp;" per hr — build-up as supplied","JLR machine "&amp;$O21&amp;" at "&amp;TEXT($X21,"0.00")&amp;" per hr — build-up not supplied"),$AA21)</f>
        <v>REPRESENTATIVE — UK CNC gear metrology class (Klingelnberg/Gleason type). Target ~£56/hr. Replace with plant data.</v>
      </c>
      <c r="N21" s="33" t="s">
        <v>1380</v>
      </c>
      <c r="O21" s="37" t="str">
        <f>IFERROR(INDEX(Mapping!$C$2:$C$549,MATCH($A21,Mapping!$A$2:$A$549,0)),"")</f>
        <v/>
      </c>
      <c r="P21" s="37">
        <f>IF($O21="",0,COUNTIFS('JLR Machines'!$A$2:$A$20001,$O21,'JLR Machines'!$C$2:$C$20001,IF(Settings!$B$2="","&lt;&gt;",Settings!$B$2),'JLR Machines'!$D$2:$D$20001,IF(Settings!$B$3="","&lt;&gt;",Settings!$B$3)))</f>
        <v>0</v>
      </c>
      <c r="Q21" s="39">
        <f>IF($P21&lt;&gt;1,0,SUMIFS('JLR Machines'!$G$2:$G$20001,'JLR Machines'!$A$2:$A$20001,$O21,'JLR Machines'!$C$2:$C$20001,IF(Settings!$B$2="","&lt;&gt;",Settings!$B$2),'JLR Machines'!$D$2:$D$20001,IF(Settings!$B$3="","&lt;&gt;",Settings!$B$3)))</f>
        <v>0</v>
      </c>
      <c r="R21" s="39">
        <f>IF($P21&lt;&gt;1,0,SUMIFS('JLR Machines'!$H$2:$H$20001,'JLR Machines'!$A$2:$A$20001,$O21,'JLR Machines'!$C$2:$C$20001,IF(Settings!$B$2="","&lt;&gt;",Settings!$B$2),'JLR Machines'!$D$2:$D$20001,IF(Settings!$B$3="","&lt;&gt;",Settings!$B$3)))</f>
        <v>0</v>
      </c>
      <c r="S21" s="39">
        <f>IF($P21&lt;&gt;1,0,SUMIFS('JLR Machines'!$I$2:$I$20001,'JLR Machines'!$A$2:$A$20001,$O21,'JLR Machines'!$C$2:$C$20001,IF(Settings!$B$2="","&lt;&gt;",Settings!$B$2),'JLR Machines'!$D$2:$D$20001,IF(Settings!$B$3="","&lt;&gt;",Settings!$B$3)))</f>
        <v>0</v>
      </c>
      <c r="T21" s="39">
        <f>IF($P21&lt;&gt;1,0,SUMIFS('JLR Machines'!$J$2:$J$20001,'JLR Machines'!$A$2:$A$20001,$O21,'JLR Machines'!$C$2:$C$20001,IF(Settings!$B$2="","&lt;&gt;",Settings!$B$2),'JLR Machines'!$D$2:$D$20001,IF(Settings!$B$3="","&lt;&gt;",Settings!$B$3)))</f>
        <v>0</v>
      </c>
      <c r="U21" s="39">
        <f>IF($P21&lt;&gt;1,0,SUMIFS('JLR Machines'!$K$2:$K$20001,'JLR Machines'!$A$2:$A$20001,$O21,'JLR Machines'!$C$2:$C$20001,IF(Settings!$B$2="","&lt;&gt;",Settings!$B$2),'JLR Machines'!$D$2:$D$20001,IF(Settings!$B$3="","&lt;&gt;",Settings!$B$3)))</f>
        <v>0</v>
      </c>
      <c r="V21" s="39">
        <f>IF($P21&lt;&gt;1,0,SUMIFS('JLR Machines'!$L$2:$L$20001,'JLR Machines'!$A$2:$A$20001,$O21,'JLR Machines'!$C$2:$C$20001,IF(Settings!$B$2="","&lt;&gt;",Settings!$B$2),'JLR Machines'!$D$2:$D$20001,IF(Settings!$B$3="","&lt;&gt;",Settings!$B$3)))</f>
        <v>0</v>
      </c>
      <c r="W21" s="39">
        <f>IF($P21&lt;&gt;1,0,SUMIFS('JLR Machines'!$M$2:$M$20001,'JLR Machines'!$A$2:$A$20001,$O21,'JLR Machines'!$C$2:$C$20001,IF(Settings!$B$2="","&lt;&gt;",Settings!$B$2),'JLR Machines'!$D$2:$D$20001,IF(Settings!$B$3="","&lt;&gt;",Settings!$B$3)))</f>
        <v>0</v>
      </c>
      <c r="X21" s="39">
        <f>IF($P21&lt;&gt;1,0,SUMIFS('JLR Machines'!$N$2:$N$20001,'JLR Machines'!$A$2:$A$20001,$O21,'JLR Machines'!$C$2:$C$20001,IF(Settings!$B$2="","&lt;&gt;",Settings!$B$2),'JLR Machines'!$D$2:$D$20001,IF(Settings!$B$3="","&lt;&gt;",Settings!$B$3)))</f>
        <v>0</v>
      </c>
      <c r="Y21" s="39">
        <f>$Q21+$R21+$S21+$T21+$U21+$V21+$W21</f>
        <v>0</v>
      </c>
      <c r="Z21" s="38">
        <f>IF($X21&lt;=0,0,ROUND((D21+E21+F21+G21+H21+I21)/2600-$X21,4))</f>
        <v>0</v>
      </c>
      <c r="AA21" s="40" t="s">
        <v>2137</v>
      </c>
      <c r="AB21" s="40" t="s">
        <v>2099</v>
      </c>
    </row>
    <row r="22" spans="1:28" x14ac:dyDescent="0.25">
      <c r="A22" s="32" t="s">
        <v>964</v>
      </c>
      <c r="B22" s="33" t="s">
        <v>2138</v>
      </c>
      <c r="C22" s="33" t="s">
        <v>1379</v>
      </c>
      <c r="D22" s="41">
        <f>IF($X22&gt;0,IF($Y22&gt;0,MAX(0,$Q22+$X22-$Y22)*3400,$X22*3400),506)</f>
        <v>506</v>
      </c>
      <c r="E22" s="41">
        <f>IF($X22&gt;0,IF($Y22&gt;0,$S22*3400,0),202)</f>
        <v>202</v>
      </c>
      <c r="F22" s="41">
        <f>IF($X22&gt;0,IF($Y22&gt;0,$V22*3400,0),350)</f>
        <v>350</v>
      </c>
      <c r="G22" s="41">
        <f>IF($X22&gt;0,IF($Y22&gt;0,$R22*3400,0),808)</f>
        <v>808</v>
      </c>
      <c r="H22" s="41">
        <f>IF($X22&gt;0,IF($Y22&gt;0,($T22+$W22)*3400,0),504)</f>
        <v>504</v>
      </c>
      <c r="I22" s="41">
        <f>IF($X22&gt;0,IF($Y22&gt;0,$U22*3400,0),50)</f>
        <v>50</v>
      </c>
      <c r="J22" s="35">
        <v>4000</v>
      </c>
      <c r="K22" s="42">
        <v>0.85</v>
      </c>
      <c r="L22" s="36" t="str">
        <f>IF($X22&gt;0,IF($P22&lt;&gt;1,$AB22,IFERROR(INDEX('JLR Machines'!$D$2:$D$20001,MATCH($O22,'JLR Machines'!$A$2:$A$20001,0)),$AB22)),$AB22)</f>
        <v>2026-09-29</v>
      </c>
      <c r="M22" s="36" t="str">
        <f>IF($X22&gt;0,IF($Y22&gt;0,"JLR machine "&amp;$O22&amp;" at "&amp;TEXT($X22,"0.00")&amp;" per hr — build-up as supplied","JLR machine "&amp;$O22&amp;" at "&amp;TEXT($X22,"0.00")&amp;" per hr — build-up not supplied"),$AA22)</f>
        <v>Assembly bench — low machine rate; cost primarily driven by labour</v>
      </c>
      <c r="N22" s="33" t="s">
        <v>1380</v>
      </c>
      <c r="O22" s="37" t="str">
        <f>IFERROR(INDEX(Mapping!$C$2:$C$549,MATCH($A22,Mapping!$A$2:$A$549,0)),"")</f>
        <v/>
      </c>
      <c r="P22" s="37">
        <f>IF($O22="",0,COUNTIFS('JLR Machines'!$A$2:$A$20001,$O22,'JLR Machines'!$C$2:$C$20001,IF(Settings!$B$2="","&lt;&gt;",Settings!$B$2),'JLR Machines'!$D$2:$D$20001,IF(Settings!$B$3="","&lt;&gt;",Settings!$B$3)))</f>
        <v>0</v>
      </c>
      <c r="Q22" s="39">
        <f>IF($P22&lt;&gt;1,0,SUMIFS('JLR Machines'!$G$2:$G$20001,'JLR Machines'!$A$2:$A$20001,$O22,'JLR Machines'!$C$2:$C$20001,IF(Settings!$B$2="","&lt;&gt;",Settings!$B$2),'JLR Machines'!$D$2:$D$20001,IF(Settings!$B$3="","&lt;&gt;",Settings!$B$3)))</f>
        <v>0</v>
      </c>
      <c r="R22" s="39">
        <f>IF($P22&lt;&gt;1,0,SUMIFS('JLR Machines'!$H$2:$H$20001,'JLR Machines'!$A$2:$A$20001,$O22,'JLR Machines'!$C$2:$C$20001,IF(Settings!$B$2="","&lt;&gt;",Settings!$B$2),'JLR Machines'!$D$2:$D$20001,IF(Settings!$B$3="","&lt;&gt;",Settings!$B$3)))</f>
        <v>0</v>
      </c>
      <c r="S22" s="39">
        <f>IF($P22&lt;&gt;1,0,SUMIFS('JLR Machines'!$I$2:$I$20001,'JLR Machines'!$A$2:$A$20001,$O22,'JLR Machines'!$C$2:$C$20001,IF(Settings!$B$2="","&lt;&gt;",Settings!$B$2),'JLR Machines'!$D$2:$D$20001,IF(Settings!$B$3="","&lt;&gt;",Settings!$B$3)))</f>
        <v>0</v>
      </c>
      <c r="T22" s="39">
        <f>IF($P22&lt;&gt;1,0,SUMIFS('JLR Machines'!$J$2:$J$20001,'JLR Machines'!$A$2:$A$20001,$O22,'JLR Machines'!$C$2:$C$20001,IF(Settings!$B$2="","&lt;&gt;",Settings!$B$2),'JLR Machines'!$D$2:$D$20001,IF(Settings!$B$3="","&lt;&gt;",Settings!$B$3)))</f>
        <v>0</v>
      </c>
      <c r="U22" s="39">
        <f>IF($P22&lt;&gt;1,0,SUMIFS('JLR Machines'!$K$2:$K$20001,'JLR Machines'!$A$2:$A$20001,$O22,'JLR Machines'!$C$2:$C$20001,IF(Settings!$B$2="","&lt;&gt;",Settings!$B$2),'JLR Machines'!$D$2:$D$20001,IF(Settings!$B$3="","&lt;&gt;",Settings!$B$3)))</f>
        <v>0</v>
      </c>
      <c r="V22" s="39">
        <f>IF($P22&lt;&gt;1,0,SUMIFS('JLR Machines'!$L$2:$L$20001,'JLR Machines'!$A$2:$A$20001,$O22,'JLR Machines'!$C$2:$C$20001,IF(Settings!$B$2="","&lt;&gt;",Settings!$B$2),'JLR Machines'!$D$2:$D$20001,IF(Settings!$B$3="","&lt;&gt;",Settings!$B$3)))</f>
        <v>0</v>
      </c>
      <c r="W22" s="39">
        <f>IF($P22&lt;&gt;1,0,SUMIFS('JLR Machines'!$M$2:$M$20001,'JLR Machines'!$A$2:$A$20001,$O22,'JLR Machines'!$C$2:$C$20001,IF(Settings!$B$2="","&lt;&gt;",Settings!$B$2),'JLR Machines'!$D$2:$D$20001,IF(Settings!$B$3="","&lt;&gt;",Settings!$B$3)))</f>
        <v>0</v>
      </c>
      <c r="X22" s="39">
        <f>IF($P22&lt;&gt;1,0,SUMIFS('JLR Machines'!$N$2:$N$20001,'JLR Machines'!$A$2:$A$20001,$O22,'JLR Machines'!$C$2:$C$20001,IF(Settings!$B$2="","&lt;&gt;",Settings!$B$2),'JLR Machines'!$D$2:$D$20001,IF(Settings!$B$3="","&lt;&gt;",Settings!$B$3)))</f>
        <v>0</v>
      </c>
      <c r="Y22" s="39">
        <f>$Q22+$R22+$S22+$T22+$U22+$V22+$W22</f>
        <v>0</v>
      </c>
      <c r="Z22" s="38">
        <f>IF($X22&lt;=0,0,ROUND((D22+E22+F22+G22+H22+I22)/3400-$X22,4))</f>
        <v>0</v>
      </c>
      <c r="AA22" s="40" t="s">
        <v>2139</v>
      </c>
      <c r="AB22" s="40" t="s">
        <v>2099</v>
      </c>
    </row>
    <row r="23" spans="1:28" x14ac:dyDescent="0.25">
      <c r="A23" s="32" t="s">
        <v>966</v>
      </c>
      <c r="B23" s="33" t="s">
        <v>2140</v>
      </c>
      <c r="C23" s="33" t="s">
        <v>1379</v>
      </c>
      <c r="D23" s="41">
        <f>IF($X23&gt;0,IF($Y23&gt;0,MAX(0,$Q23+$X23-$Y23)*2000,$X23*2000),38456)</f>
        <v>38456</v>
      </c>
      <c r="E23" s="41">
        <f>IF($X23&gt;0,IF($Y23&gt;0,$S23*2000,0),18173)</f>
        <v>18173</v>
      </c>
      <c r="F23" s="41">
        <f>IF($X23&gt;0,IF($Y23&gt;0,$V23*2000,0),12235)</f>
        <v>12235</v>
      </c>
      <c r="G23" s="41">
        <f>IF($X23&gt;0,IF($Y23&gt;0,$R23*2000,0),5048)</f>
        <v>5048</v>
      </c>
      <c r="H23" s="41">
        <f>IF($X23&gt;0,IF($Y23&gt;0,($T23+$W23)*2000,0),9568)</f>
        <v>9568</v>
      </c>
      <c r="I23" s="41">
        <f>IF($X23&gt;0,IF($Y23&gt;0,$U23*2000,0),9000)</f>
        <v>9000</v>
      </c>
      <c r="J23" s="35">
        <v>4000</v>
      </c>
      <c r="K23" s="42">
        <v>0.5</v>
      </c>
      <c r="L23" s="36" t="str">
        <f>IF($X23&gt;0,IF($P23&lt;&gt;1,$AB23,IFERROR(INDEX('JLR Machines'!$D$2:$D$20001,MATCH($O23,'JLR Machines'!$A$2:$A$20001,0)),$AB23)),$AB23)</f>
        <v>2026-09-29</v>
      </c>
      <c r="M23" s="36" t="str">
        <f>IF($X23&gt;0,IF($Y23&gt;0,"JLR machine "&amp;$O23&amp;" at "&amp;TEXT($X23,"0.00")&amp;" per hr — build-up as supplied","JLR machine "&amp;$O23&amp;" at "&amp;TEXT($X23,"0.00")&amp;" per hr — build-up not supplied"),$AA23)</f>
        <v>HAAS VF-2 benchmark, UK Tier-2 machining shop</v>
      </c>
      <c r="N23" s="33" t="s">
        <v>1380</v>
      </c>
      <c r="O23" s="37" t="str">
        <f>IFERROR(INDEX(Mapping!$C$2:$C$549,MATCH($A23,Mapping!$A$2:$A$549,0)),"")</f>
        <v/>
      </c>
      <c r="P23" s="37">
        <f>IF($O23="",0,COUNTIFS('JLR Machines'!$A$2:$A$20001,$O23,'JLR Machines'!$C$2:$C$20001,IF(Settings!$B$2="","&lt;&gt;",Settings!$B$2),'JLR Machines'!$D$2:$D$20001,IF(Settings!$B$3="","&lt;&gt;",Settings!$B$3)))</f>
        <v>0</v>
      </c>
      <c r="Q23" s="39">
        <f>IF($P23&lt;&gt;1,0,SUMIFS('JLR Machines'!$G$2:$G$20001,'JLR Machines'!$A$2:$A$20001,$O23,'JLR Machines'!$C$2:$C$20001,IF(Settings!$B$2="","&lt;&gt;",Settings!$B$2),'JLR Machines'!$D$2:$D$20001,IF(Settings!$B$3="","&lt;&gt;",Settings!$B$3)))</f>
        <v>0</v>
      </c>
      <c r="R23" s="39">
        <f>IF($P23&lt;&gt;1,0,SUMIFS('JLR Machines'!$H$2:$H$20001,'JLR Machines'!$A$2:$A$20001,$O23,'JLR Machines'!$C$2:$C$20001,IF(Settings!$B$2="","&lt;&gt;",Settings!$B$2),'JLR Machines'!$D$2:$D$20001,IF(Settings!$B$3="","&lt;&gt;",Settings!$B$3)))</f>
        <v>0</v>
      </c>
      <c r="S23" s="39">
        <f>IF($P23&lt;&gt;1,0,SUMIFS('JLR Machines'!$I$2:$I$20001,'JLR Machines'!$A$2:$A$20001,$O23,'JLR Machines'!$C$2:$C$20001,IF(Settings!$B$2="","&lt;&gt;",Settings!$B$2),'JLR Machines'!$D$2:$D$20001,IF(Settings!$B$3="","&lt;&gt;",Settings!$B$3)))</f>
        <v>0</v>
      </c>
      <c r="T23" s="39">
        <f>IF($P23&lt;&gt;1,0,SUMIFS('JLR Machines'!$J$2:$J$20001,'JLR Machines'!$A$2:$A$20001,$O23,'JLR Machines'!$C$2:$C$20001,IF(Settings!$B$2="","&lt;&gt;",Settings!$B$2),'JLR Machines'!$D$2:$D$20001,IF(Settings!$B$3="","&lt;&gt;",Settings!$B$3)))</f>
        <v>0</v>
      </c>
      <c r="U23" s="39">
        <f>IF($P23&lt;&gt;1,0,SUMIFS('JLR Machines'!$K$2:$K$20001,'JLR Machines'!$A$2:$A$20001,$O23,'JLR Machines'!$C$2:$C$20001,IF(Settings!$B$2="","&lt;&gt;",Settings!$B$2),'JLR Machines'!$D$2:$D$20001,IF(Settings!$B$3="","&lt;&gt;",Settings!$B$3)))</f>
        <v>0</v>
      </c>
      <c r="V23" s="39">
        <f>IF($P23&lt;&gt;1,0,SUMIFS('JLR Machines'!$L$2:$L$20001,'JLR Machines'!$A$2:$A$20001,$O23,'JLR Machines'!$C$2:$C$20001,IF(Settings!$B$2="","&lt;&gt;",Settings!$B$2),'JLR Machines'!$D$2:$D$20001,IF(Settings!$B$3="","&lt;&gt;",Settings!$B$3)))</f>
        <v>0</v>
      </c>
      <c r="W23" s="39">
        <f>IF($P23&lt;&gt;1,0,SUMIFS('JLR Machines'!$M$2:$M$20001,'JLR Machines'!$A$2:$A$20001,$O23,'JLR Machines'!$C$2:$C$20001,IF(Settings!$B$2="","&lt;&gt;",Settings!$B$2),'JLR Machines'!$D$2:$D$20001,IF(Settings!$B$3="","&lt;&gt;",Settings!$B$3)))</f>
        <v>0</v>
      </c>
      <c r="X23" s="39">
        <f>IF($P23&lt;&gt;1,0,SUMIFS('JLR Machines'!$N$2:$N$20001,'JLR Machines'!$A$2:$A$20001,$O23,'JLR Machines'!$C$2:$C$20001,IF(Settings!$B$2="","&lt;&gt;",Settings!$B$2),'JLR Machines'!$D$2:$D$20001,IF(Settings!$B$3="","&lt;&gt;",Settings!$B$3)))</f>
        <v>0</v>
      </c>
      <c r="Y23" s="39">
        <f>$Q23+$R23+$S23+$T23+$U23+$V23+$W23</f>
        <v>0</v>
      </c>
      <c r="Z23" s="38">
        <f>IF($X23&lt;=0,0,ROUND((D23+E23+F23+G23+H23+I23)/2000-$X23,4))</f>
        <v>0</v>
      </c>
      <c r="AA23" s="40" t="s">
        <v>2141</v>
      </c>
      <c r="AB23" s="40" t="s">
        <v>2099</v>
      </c>
    </row>
    <row r="24" spans="1:28" x14ac:dyDescent="0.25">
      <c r="A24" s="32" t="s">
        <v>968</v>
      </c>
      <c r="B24" s="33" t="s">
        <v>2142</v>
      </c>
      <c r="C24" s="33" t="s">
        <v>1379</v>
      </c>
      <c r="D24" s="41">
        <f>IF($X24&gt;0,IF($Y24&gt;0,MAX(0,$Q24+$X24-$Y24)*2000,$X24*2000),86020)</f>
        <v>86020</v>
      </c>
      <c r="E24" s="41">
        <f>IF($X24&gt;0,IF($Y24&gt;0,$S24*2000,0),35335)</f>
        <v>35335</v>
      </c>
      <c r="F24" s="41">
        <f>IF($X24&gt;0,IF($Y24&gt;0,$V24*2000,0),23304)</f>
        <v>23304</v>
      </c>
      <c r="G24" s="41">
        <f>IF($X24&gt;0,IF($Y24&gt;0,$R24*2000,0),8077)</f>
        <v>8077</v>
      </c>
      <c r="H24" s="41">
        <f>IF($X24&gt;0,IF($Y24&gt;0,($T24+$W24)*2000,0),22158)</f>
        <v>22158</v>
      </c>
      <c r="I24" s="41">
        <f>IF($X24&gt;0,IF($Y24&gt;0,$U24*2000,0),20000)</f>
        <v>20000</v>
      </c>
      <c r="J24" s="35">
        <v>4000</v>
      </c>
      <c r="K24" s="42">
        <v>0.5</v>
      </c>
      <c r="L24" s="36" t="str">
        <f>IF($X24&gt;0,IF($P24&lt;&gt;1,$AB24,IFERROR(INDEX('JLR Machines'!$D$2:$D$20001,MATCH($O24,'JLR Machines'!$A$2:$A$20001,0)),$AB24)),$AB24)</f>
        <v>2026-09-29</v>
      </c>
      <c r="M24" s="36" t="str">
        <f>IF($X24&gt;0,IF($Y24&gt;0,"JLR machine "&amp;$O24&amp;" at "&amp;TEXT($X24,"0.00")&amp;" per hr — build-up as supplied","JLR machine "&amp;$O24&amp;" at "&amp;TEXT($X24,"0.00")&amp;" per hr — build-up not supplied"),$AA24)</f>
        <v>DMG Mori DMU 50 benchmark, UK Tier-1 precision shop</v>
      </c>
      <c r="N24" s="33" t="s">
        <v>1380</v>
      </c>
      <c r="O24" s="37" t="str">
        <f>IFERROR(INDEX(Mapping!$C$2:$C$549,MATCH($A24,Mapping!$A$2:$A$549,0)),"")</f>
        <v/>
      </c>
      <c r="P24" s="37">
        <f>IF($O24="",0,COUNTIFS('JLR Machines'!$A$2:$A$20001,$O24,'JLR Machines'!$C$2:$C$20001,IF(Settings!$B$2="","&lt;&gt;",Settings!$B$2),'JLR Machines'!$D$2:$D$20001,IF(Settings!$B$3="","&lt;&gt;",Settings!$B$3)))</f>
        <v>0</v>
      </c>
      <c r="Q24" s="39">
        <f>IF($P24&lt;&gt;1,0,SUMIFS('JLR Machines'!$G$2:$G$20001,'JLR Machines'!$A$2:$A$20001,$O24,'JLR Machines'!$C$2:$C$20001,IF(Settings!$B$2="","&lt;&gt;",Settings!$B$2),'JLR Machines'!$D$2:$D$20001,IF(Settings!$B$3="","&lt;&gt;",Settings!$B$3)))</f>
        <v>0</v>
      </c>
      <c r="R24" s="39">
        <f>IF($P24&lt;&gt;1,0,SUMIFS('JLR Machines'!$H$2:$H$20001,'JLR Machines'!$A$2:$A$20001,$O24,'JLR Machines'!$C$2:$C$20001,IF(Settings!$B$2="","&lt;&gt;",Settings!$B$2),'JLR Machines'!$D$2:$D$20001,IF(Settings!$B$3="","&lt;&gt;",Settings!$B$3)))</f>
        <v>0</v>
      </c>
      <c r="S24" s="39">
        <f>IF($P24&lt;&gt;1,0,SUMIFS('JLR Machines'!$I$2:$I$20001,'JLR Machines'!$A$2:$A$20001,$O24,'JLR Machines'!$C$2:$C$20001,IF(Settings!$B$2="","&lt;&gt;",Settings!$B$2),'JLR Machines'!$D$2:$D$20001,IF(Settings!$B$3="","&lt;&gt;",Settings!$B$3)))</f>
        <v>0</v>
      </c>
      <c r="T24" s="39">
        <f>IF($P24&lt;&gt;1,0,SUMIFS('JLR Machines'!$J$2:$J$20001,'JLR Machines'!$A$2:$A$20001,$O24,'JLR Machines'!$C$2:$C$20001,IF(Settings!$B$2="","&lt;&gt;",Settings!$B$2),'JLR Machines'!$D$2:$D$20001,IF(Settings!$B$3="","&lt;&gt;",Settings!$B$3)))</f>
        <v>0</v>
      </c>
      <c r="U24" s="39">
        <f>IF($P24&lt;&gt;1,0,SUMIFS('JLR Machines'!$K$2:$K$20001,'JLR Machines'!$A$2:$A$20001,$O24,'JLR Machines'!$C$2:$C$20001,IF(Settings!$B$2="","&lt;&gt;",Settings!$B$2),'JLR Machines'!$D$2:$D$20001,IF(Settings!$B$3="","&lt;&gt;",Settings!$B$3)))</f>
        <v>0</v>
      </c>
      <c r="V24" s="39">
        <f>IF($P24&lt;&gt;1,0,SUMIFS('JLR Machines'!$L$2:$L$20001,'JLR Machines'!$A$2:$A$20001,$O24,'JLR Machines'!$C$2:$C$20001,IF(Settings!$B$2="","&lt;&gt;",Settings!$B$2),'JLR Machines'!$D$2:$D$20001,IF(Settings!$B$3="","&lt;&gt;",Settings!$B$3)))</f>
        <v>0</v>
      </c>
      <c r="W24" s="39">
        <f>IF($P24&lt;&gt;1,0,SUMIFS('JLR Machines'!$M$2:$M$20001,'JLR Machines'!$A$2:$A$20001,$O24,'JLR Machines'!$C$2:$C$20001,IF(Settings!$B$2="","&lt;&gt;",Settings!$B$2),'JLR Machines'!$D$2:$D$20001,IF(Settings!$B$3="","&lt;&gt;",Settings!$B$3)))</f>
        <v>0</v>
      </c>
      <c r="X24" s="39">
        <f>IF($P24&lt;&gt;1,0,SUMIFS('JLR Machines'!$N$2:$N$20001,'JLR Machines'!$A$2:$A$20001,$O24,'JLR Machines'!$C$2:$C$20001,IF(Settings!$B$2="","&lt;&gt;",Settings!$B$2),'JLR Machines'!$D$2:$D$20001,IF(Settings!$B$3="","&lt;&gt;",Settings!$B$3)))</f>
        <v>0</v>
      </c>
      <c r="Y24" s="39">
        <f>$Q24+$R24+$S24+$T24+$U24+$V24+$W24</f>
        <v>0</v>
      </c>
      <c r="Z24" s="38">
        <f>IF($X24&lt;=0,0,ROUND((D24+E24+F24+G24+H24+I24)/2000-$X24,4))</f>
        <v>0</v>
      </c>
      <c r="AA24" s="40" t="s">
        <v>2143</v>
      </c>
      <c r="AB24" s="40" t="s">
        <v>2099</v>
      </c>
    </row>
    <row r="25" spans="1:28" x14ac:dyDescent="0.25">
      <c r="A25" s="32" t="s">
        <v>970</v>
      </c>
      <c r="B25" s="33" t="s">
        <v>2144</v>
      </c>
      <c r="C25" s="33" t="s">
        <v>1379</v>
      </c>
      <c r="D25" s="41">
        <f>IF($X25&gt;0,IF($Y25&gt;0,MAX(0,$Q25+$X25-$Y25)*2000,$X25*2000),65780)</f>
        <v>65780</v>
      </c>
      <c r="E25" s="41">
        <f>IF($X25&gt;0,IF($Y25&gt;0,$S25*2000,0),28268)</f>
        <v>28268</v>
      </c>
      <c r="F25" s="41">
        <f>IF($X25&gt;0,IF($Y25&gt;0,$V25*2000,0),18644)</f>
        <v>18644</v>
      </c>
      <c r="G25" s="41">
        <f>IF($X25&gt;0,IF($Y25&gt;0,$R25*2000,0),7067)</f>
        <v>7067</v>
      </c>
      <c r="H25" s="41">
        <f>IF($X25&gt;0,IF($Y25&gt;0,($T25+$W25)*2000,0),18129)</f>
        <v>18129</v>
      </c>
      <c r="I25" s="41">
        <f>IF($X25&gt;0,IF($Y25&gt;0,$U25*2000,0),16000)</f>
        <v>16000</v>
      </c>
      <c r="J25" s="35">
        <v>4000</v>
      </c>
      <c r="K25" s="42">
        <v>0.5</v>
      </c>
      <c r="L25" s="36" t="str">
        <f>IF($X25&gt;0,IF($P25&lt;&gt;1,$AB25,IFERROR(INDEX('JLR Machines'!$D$2:$D$20001,MATCH($O25,'JLR Machines'!$A$2:$A$20001,0)),$AB25)),$AB25)</f>
        <v>2026-09-29</v>
      </c>
      <c r="M25" s="36" t="str">
        <f>IF($X25&gt;0,IF($Y25&gt;0,"JLR machine "&amp;$O25&amp;" at "&amp;TEXT($X25,"0.00")&amp;" per hr — build-up as supplied","JLR machine "&amp;$O25&amp;" at "&amp;TEXT($X25,"0.00")&amp;" per hr — build-up not supplied"),$AA25)</f>
        <v>HAAS UMC-500 benchmark, UK Tier-2 machining shop</v>
      </c>
      <c r="N25" s="33" t="s">
        <v>1380</v>
      </c>
      <c r="O25" s="37" t="str">
        <f>IFERROR(INDEX(Mapping!$C$2:$C$549,MATCH($A25,Mapping!$A$2:$A$549,0)),"")</f>
        <v/>
      </c>
      <c r="P25" s="37">
        <f>IF($O25="",0,COUNTIFS('JLR Machines'!$A$2:$A$20001,$O25,'JLR Machines'!$C$2:$C$20001,IF(Settings!$B$2="","&lt;&gt;",Settings!$B$2),'JLR Machines'!$D$2:$D$20001,IF(Settings!$B$3="","&lt;&gt;",Settings!$B$3)))</f>
        <v>0</v>
      </c>
      <c r="Q25" s="39">
        <f>IF($P25&lt;&gt;1,0,SUMIFS('JLR Machines'!$G$2:$G$20001,'JLR Machines'!$A$2:$A$20001,$O25,'JLR Machines'!$C$2:$C$20001,IF(Settings!$B$2="","&lt;&gt;",Settings!$B$2),'JLR Machines'!$D$2:$D$20001,IF(Settings!$B$3="","&lt;&gt;",Settings!$B$3)))</f>
        <v>0</v>
      </c>
      <c r="R25" s="39">
        <f>IF($P25&lt;&gt;1,0,SUMIFS('JLR Machines'!$H$2:$H$20001,'JLR Machines'!$A$2:$A$20001,$O25,'JLR Machines'!$C$2:$C$20001,IF(Settings!$B$2="","&lt;&gt;",Settings!$B$2),'JLR Machines'!$D$2:$D$20001,IF(Settings!$B$3="","&lt;&gt;",Settings!$B$3)))</f>
        <v>0</v>
      </c>
      <c r="S25" s="39">
        <f>IF($P25&lt;&gt;1,0,SUMIFS('JLR Machines'!$I$2:$I$20001,'JLR Machines'!$A$2:$A$20001,$O25,'JLR Machines'!$C$2:$C$20001,IF(Settings!$B$2="","&lt;&gt;",Settings!$B$2),'JLR Machines'!$D$2:$D$20001,IF(Settings!$B$3="","&lt;&gt;",Settings!$B$3)))</f>
        <v>0</v>
      </c>
      <c r="T25" s="39">
        <f>IF($P25&lt;&gt;1,0,SUMIFS('JLR Machines'!$J$2:$J$20001,'JLR Machines'!$A$2:$A$20001,$O25,'JLR Machines'!$C$2:$C$20001,IF(Settings!$B$2="","&lt;&gt;",Settings!$B$2),'JLR Machines'!$D$2:$D$20001,IF(Settings!$B$3="","&lt;&gt;",Settings!$B$3)))</f>
        <v>0</v>
      </c>
      <c r="U25" s="39">
        <f>IF($P25&lt;&gt;1,0,SUMIFS('JLR Machines'!$K$2:$K$20001,'JLR Machines'!$A$2:$A$20001,$O25,'JLR Machines'!$C$2:$C$20001,IF(Settings!$B$2="","&lt;&gt;",Settings!$B$2),'JLR Machines'!$D$2:$D$20001,IF(Settings!$B$3="","&lt;&gt;",Settings!$B$3)))</f>
        <v>0</v>
      </c>
      <c r="V25" s="39">
        <f>IF($P25&lt;&gt;1,0,SUMIFS('JLR Machines'!$L$2:$L$20001,'JLR Machines'!$A$2:$A$20001,$O25,'JLR Machines'!$C$2:$C$20001,IF(Settings!$B$2="","&lt;&gt;",Settings!$B$2),'JLR Machines'!$D$2:$D$20001,IF(Settings!$B$3="","&lt;&gt;",Settings!$B$3)))</f>
        <v>0</v>
      </c>
      <c r="W25" s="39">
        <f>IF($P25&lt;&gt;1,0,SUMIFS('JLR Machines'!$M$2:$M$20001,'JLR Machines'!$A$2:$A$20001,$O25,'JLR Machines'!$C$2:$C$20001,IF(Settings!$B$2="","&lt;&gt;",Settings!$B$2),'JLR Machines'!$D$2:$D$20001,IF(Settings!$B$3="","&lt;&gt;",Settings!$B$3)))</f>
        <v>0</v>
      </c>
      <c r="X25" s="39">
        <f>IF($P25&lt;&gt;1,0,SUMIFS('JLR Machines'!$N$2:$N$20001,'JLR Machines'!$A$2:$A$20001,$O25,'JLR Machines'!$C$2:$C$20001,IF(Settings!$B$2="","&lt;&gt;",Settings!$B$2),'JLR Machines'!$D$2:$D$20001,IF(Settings!$B$3="","&lt;&gt;",Settings!$B$3)))</f>
        <v>0</v>
      </c>
      <c r="Y25" s="39">
        <f>$Q25+$R25+$S25+$T25+$U25+$V25+$W25</f>
        <v>0</v>
      </c>
      <c r="Z25" s="38">
        <f>IF($X25&lt;=0,0,ROUND((D25+E25+F25+G25+H25+I25)/2000-$X25,4))</f>
        <v>0</v>
      </c>
      <c r="AA25" s="40" t="s">
        <v>2145</v>
      </c>
      <c r="AB25" s="40" t="s">
        <v>2099</v>
      </c>
    </row>
    <row r="26" spans="1:28" x14ac:dyDescent="0.25">
      <c r="A26" s="32" t="s">
        <v>972</v>
      </c>
      <c r="B26" s="33" t="s">
        <v>2146</v>
      </c>
      <c r="C26" s="33" t="s">
        <v>1379</v>
      </c>
      <c r="D26" s="41">
        <f>IF($X26&gt;0,IF($Y26&gt;0,MAX(0,$Q26+$X26-$Y26)*2000,$X26*2000),42504)</f>
        <v>42504</v>
      </c>
      <c r="E26" s="41">
        <f>IF($X26&gt;0,IF($Y26&gt;0,$S26*2000,0),20192)</f>
        <v>20192</v>
      </c>
      <c r="F26" s="41">
        <f>IF($X26&gt;0,IF($Y26&gt;0,$V26*2000,0),12817)</f>
        <v>12817</v>
      </c>
      <c r="G26" s="41">
        <f>IF($X26&gt;0,IF($Y26&gt;0,$R26*2000,0),5048)</f>
        <v>5048</v>
      </c>
      <c r="H26" s="41">
        <f>IF($X26&gt;0,IF($Y26&gt;0,($T26+$W26)*2000,0),12086)</f>
        <v>12086</v>
      </c>
      <c r="I26" s="41">
        <f>IF($X26&gt;0,IF($Y26&gt;0,$U26*2000,0),10000)</f>
        <v>10000</v>
      </c>
      <c r="J26" s="35">
        <v>4000</v>
      </c>
      <c r="K26" s="42">
        <v>0.5</v>
      </c>
      <c r="L26" s="36" t="str">
        <f>IF($X26&gt;0,IF($P26&lt;&gt;1,$AB26,IFERROR(INDEX('JLR Machines'!$D$2:$D$20001,MATCH($O26,'JLR Machines'!$A$2:$A$20001,0)),$AB26)),$AB26)</f>
        <v>2026-09-29</v>
      </c>
      <c r="M26" s="36" t="str">
        <f>IF($X26&gt;0,IF($Y26&gt;0,"JLR machine "&amp;$O26&amp;" at "&amp;TEXT($X26,"0.00")&amp;" per hr — build-up as supplied","JLR machine "&amp;$O26&amp;" at "&amp;TEXT($X26,"0.00")&amp;" per hr — build-up not supplied"),$AA26)</f>
        <v>Mazak Quick Turn 200 benchmark, UK Tier-2 machining shop</v>
      </c>
      <c r="N26" s="33" t="s">
        <v>1380</v>
      </c>
      <c r="O26" s="37" t="str">
        <f>IFERROR(INDEX(Mapping!$C$2:$C$549,MATCH($A26,Mapping!$A$2:$A$549,0)),"")</f>
        <v/>
      </c>
      <c r="P26" s="37">
        <f>IF($O26="",0,COUNTIFS('JLR Machines'!$A$2:$A$20001,$O26,'JLR Machines'!$C$2:$C$20001,IF(Settings!$B$2="","&lt;&gt;",Settings!$B$2),'JLR Machines'!$D$2:$D$20001,IF(Settings!$B$3="","&lt;&gt;",Settings!$B$3)))</f>
        <v>0</v>
      </c>
      <c r="Q26" s="39">
        <f>IF($P26&lt;&gt;1,0,SUMIFS('JLR Machines'!$G$2:$G$20001,'JLR Machines'!$A$2:$A$20001,$O26,'JLR Machines'!$C$2:$C$20001,IF(Settings!$B$2="","&lt;&gt;",Settings!$B$2),'JLR Machines'!$D$2:$D$20001,IF(Settings!$B$3="","&lt;&gt;",Settings!$B$3)))</f>
        <v>0</v>
      </c>
      <c r="R26" s="39">
        <f>IF($P26&lt;&gt;1,0,SUMIFS('JLR Machines'!$H$2:$H$20001,'JLR Machines'!$A$2:$A$20001,$O26,'JLR Machines'!$C$2:$C$20001,IF(Settings!$B$2="","&lt;&gt;",Settings!$B$2),'JLR Machines'!$D$2:$D$20001,IF(Settings!$B$3="","&lt;&gt;",Settings!$B$3)))</f>
        <v>0</v>
      </c>
      <c r="S26" s="39">
        <f>IF($P26&lt;&gt;1,0,SUMIFS('JLR Machines'!$I$2:$I$20001,'JLR Machines'!$A$2:$A$20001,$O26,'JLR Machines'!$C$2:$C$20001,IF(Settings!$B$2="","&lt;&gt;",Settings!$B$2),'JLR Machines'!$D$2:$D$20001,IF(Settings!$B$3="","&lt;&gt;",Settings!$B$3)))</f>
        <v>0</v>
      </c>
      <c r="T26" s="39">
        <f>IF($P26&lt;&gt;1,0,SUMIFS('JLR Machines'!$J$2:$J$20001,'JLR Machines'!$A$2:$A$20001,$O26,'JLR Machines'!$C$2:$C$20001,IF(Settings!$B$2="","&lt;&gt;",Settings!$B$2),'JLR Machines'!$D$2:$D$20001,IF(Settings!$B$3="","&lt;&gt;",Settings!$B$3)))</f>
        <v>0</v>
      </c>
      <c r="U26" s="39">
        <f>IF($P26&lt;&gt;1,0,SUMIFS('JLR Machines'!$K$2:$K$20001,'JLR Machines'!$A$2:$A$20001,$O26,'JLR Machines'!$C$2:$C$20001,IF(Settings!$B$2="","&lt;&gt;",Settings!$B$2),'JLR Machines'!$D$2:$D$20001,IF(Settings!$B$3="","&lt;&gt;",Settings!$B$3)))</f>
        <v>0</v>
      </c>
      <c r="V26" s="39">
        <f>IF($P26&lt;&gt;1,0,SUMIFS('JLR Machines'!$L$2:$L$20001,'JLR Machines'!$A$2:$A$20001,$O26,'JLR Machines'!$C$2:$C$20001,IF(Settings!$B$2="","&lt;&gt;",Settings!$B$2),'JLR Machines'!$D$2:$D$20001,IF(Settings!$B$3="","&lt;&gt;",Settings!$B$3)))</f>
        <v>0</v>
      </c>
      <c r="W26" s="39">
        <f>IF($P26&lt;&gt;1,0,SUMIFS('JLR Machines'!$M$2:$M$20001,'JLR Machines'!$A$2:$A$20001,$O26,'JLR Machines'!$C$2:$C$20001,IF(Settings!$B$2="","&lt;&gt;",Settings!$B$2),'JLR Machines'!$D$2:$D$20001,IF(Settings!$B$3="","&lt;&gt;",Settings!$B$3)))</f>
        <v>0</v>
      </c>
      <c r="X26" s="39">
        <f>IF($P26&lt;&gt;1,0,SUMIFS('JLR Machines'!$N$2:$N$20001,'JLR Machines'!$A$2:$A$20001,$O26,'JLR Machines'!$C$2:$C$20001,IF(Settings!$B$2="","&lt;&gt;",Settings!$B$2),'JLR Machines'!$D$2:$D$20001,IF(Settings!$B$3="","&lt;&gt;",Settings!$B$3)))</f>
        <v>0</v>
      </c>
      <c r="Y26" s="39">
        <f>$Q26+$R26+$S26+$T26+$U26+$V26+$W26</f>
        <v>0</v>
      </c>
      <c r="Z26" s="38">
        <f>IF($X26&lt;=0,0,ROUND((D26+E26+F26+G26+H26+I26)/2000-$X26,4))</f>
        <v>0</v>
      </c>
      <c r="AA26" s="40" t="s">
        <v>2147</v>
      </c>
      <c r="AB26" s="40" t="s">
        <v>2099</v>
      </c>
    </row>
    <row r="27" spans="1:28" x14ac:dyDescent="0.25">
      <c r="A27" s="32" t="s">
        <v>974</v>
      </c>
      <c r="B27" s="33" t="s">
        <v>2148</v>
      </c>
      <c r="C27" s="33" t="s">
        <v>1379</v>
      </c>
      <c r="D27" s="41">
        <f>IF($X27&gt;0,IF($Y27&gt;0,MAX(0,$Q27+$X27-$Y27)*2000,$X27*2000),28336)</f>
        <v>28336</v>
      </c>
      <c r="E27" s="41">
        <f>IF($X27&gt;0,IF($Y27&gt;0,$S27*2000,0),14134)</f>
        <v>14134</v>
      </c>
      <c r="F27" s="41">
        <f>IF($X27&gt;0,IF($Y27&gt;0,$V27*2000,0),11652)</f>
        <v>11652</v>
      </c>
      <c r="G27" s="41">
        <f>IF($X27&gt;0,IF($Y27&gt;0,$R27*2000,0),8077)</f>
        <v>8077</v>
      </c>
      <c r="H27" s="41">
        <f>IF($X27&gt;0,IF($Y27&gt;0,($T27+$W27)*2000,0),9065)</f>
        <v>9065</v>
      </c>
      <c r="I27" s="41">
        <f>IF($X27&gt;0,IF($Y27&gt;0,$U27*2000,0),7000)</f>
        <v>7000</v>
      </c>
      <c r="J27" s="35">
        <v>4000</v>
      </c>
      <c r="K27" s="42">
        <v>0.5</v>
      </c>
      <c r="L27" s="36" t="str">
        <f>IF($X27&gt;0,IF($P27&lt;&gt;1,$AB27,IFERROR(INDEX('JLR Machines'!$D$2:$D$20001,MATCH($O27,'JLR Machines'!$A$2:$A$20001,0)),$AB27)),$AB27)</f>
        <v>2026-09-29</v>
      </c>
      <c r="M27" s="36" t="str">
        <f>IF($X27&gt;0,IF($Y27&gt;0,"JLR machine "&amp;$O27&amp;" at "&amp;TEXT($X27,"0.00")&amp;" per hr — build-up as supplied","JLR machine "&amp;$O27&amp;" at "&amp;TEXT($X27,"0.00")&amp;" per hr — build-up not supplied"),$AA27)</f>
        <v>Standard gravity die casting machine, UK foundry benchmark</v>
      </c>
      <c r="N27" s="33" t="s">
        <v>1380</v>
      </c>
      <c r="O27" s="37" t="str">
        <f>IFERROR(INDEX(Mapping!$C$2:$C$549,MATCH($A27,Mapping!$A$2:$A$549,0)),"")</f>
        <v/>
      </c>
      <c r="P27" s="37">
        <f>IF($O27="",0,COUNTIFS('JLR Machines'!$A$2:$A$20001,$O27,'JLR Machines'!$C$2:$C$20001,IF(Settings!$B$2="","&lt;&gt;",Settings!$B$2),'JLR Machines'!$D$2:$D$20001,IF(Settings!$B$3="","&lt;&gt;",Settings!$B$3)))</f>
        <v>0</v>
      </c>
      <c r="Q27" s="39">
        <f>IF($P27&lt;&gt;1,0,SUMIFS('JLR Machines'!$G$2:$G$20001,'JLR Machines'!$A$2:$A$20001,$O27,'JLR Machines'!$C$2:$C$20001,IF(Settings!$B$2="","&lt;&gt;",Settings!$B$2),'JLR Machines'!$D$2:$D$20001,IF(Settings!$B$3="","&lt;&gt;",Settings!$B$3)))</f>
        <v>0</v>
      </c>
      <c r="R27" s="39">
        <f>IF($P27&lt;&gt;1,0,SUMIFS('JLR Machines'!$H$2:$H$20001,'JLR Machines'!$A$2:$A$20001,$O27,'JLR Machines'!$C$2:$C$20001,IF(Settings!$B$2="","&lt;&gt;",Settings!$B$2),'JLR Machines'!$D$2:$D$20001,IF(Settings!$B$3="","&lt;&gt;",Settings!$B$3)))</f>
        <v>0</v>
      </c>
      <c r="S27" s="39">
        <f>IF($P27&lt;&gt;1,0,SUMIFS('JLR Machines'!$I$2:$I$20001,'JLR Machines'!$A$2:$A$20001,$O27,'JLR Machines'!$C$2:$C$20001,IF(Settings!$B$2="","&lt;&gt;",Settings!$B$2),'JLR Machines'!$D$2:$D$20001,IF(Settings!$B$3="","&lt;&gt;",Settings!$B$3)))</f>
        <v>0</v>
      </c>
      <c r="T27" s="39">
        <f>IF($P27&lt;&gt;1,0,SUMIFS('JLR Machines'!$J$2:$J$20001,'JLR Machines'!$A$2:$A$20001,$O27,'JLR Machines'!$C$2:$C$20001,IF(Settings!$B$2="","&lt;&gt;",Settings!$B$2),'JLR Machines'!$D$2:$D$20001,IF(Settings!$B$3="","&lt;&gt;",Settings!$B$3)))</f>
        <v>0</v>
      </c>
      <c r="U27" s="39">
        <f>IF($P27&lt;&gt;1,0,SUMIFS('JLR Machines'!$K$2:$K$20001,'JLR Machines'!$A$2:$A$20001,$O27,'JLR Machines'!$C$2:$C$20001,IF(Settings!$B$2="","&lt;&gt;",Settings!$B$2),'JLR Machines'!$D$2:$D$20001,IF(Settings!$B$3="","&lt;&gt;",Settings!$B$3)))</f>
        <v>0</v>
      </c>
      <c r="V27" s="39">
        <f>IF($P27&lt;&gt;1,0,SUMIFS('JLR Machines'!$L$2:$L$20001,'JLR Machines'!$A$2:$A$20001,$O27,'JLR Machines'!$C$2:$C$20001,IF(Settings!$B$2="","&lt;&gt;",Settings!$B$2),'JLR Machines'!$D$2:$D$20001,IF(Settings!$B$3="","&lt;&gt;",Settings!$B$3)))</f>
        <v>0</v>
      </c>
      <c r="W27" s="39">
        <f>IF($P27&lt;&gt;1,0,SUMIFS('JLR Machines'!$M$2:$M$20001,'JLR Machines'!$A$2:$A$20001,$O27,'JLR Machines'!$C$2:$C$20001,IF(Settings!$B$2="","&lt;&gt;",Settings!$B$2),'JLR Machines'!$D$2:$D$20001,IF(Settings!$B$3="","&lt;&gt;",Settings!$B$3)))</f>
        <v>0</v>
      </c>
      <c r="X27" s="39">
        <f>IF($P27&lt;&gt;1,0,SUMIFS('JLR Machines'!$N$2:$N$20001,'JLR Machines'!$A$2:$A$20001,$O27,'JLR Machines'!$C$2:$C$20001,IF(Settings!$B$2="","&lt;&gt;",Settings!$B$2),'JLR Machines'!$D$2:$D$20001,IF(Settings!$B$3="","&lt;&gt;",Settings!$B$3)))</f>
        <v>0</v>
      </c>
      <c r="Y27" s="39">
        <f>$Q27+$R27+$S27+$T27+$U27+$V27+$W27</f>
        <v>0</v>
      </c>
      <c r="Z27" s="38">
        <f>IF($X27&lt;=0,0,ROUND((D27+E27+F27+G27+H27+I27)/2000-$X27,4))</f>
        <v>0</v>
      </c>
      <c r="AA27" s="40" t="s">
        <v>2149</v>
      </c>
      <c r="AB27" s="40" t="s">
        <v>2099</v>
      </c>
    </row>
    <row r="28" spans="1:28" x14ac:dyDescent="0.25">
      <c r="A28" s="32" t="s">
        <v>976</v>
      </c>
      <c r="B28" s="33" t="s">
        <v>2150</v>
      </c>
      <c r="C28" s="33" t="s">
        <v>1379</v>
      </c>
      <c r="D28" s="41">
        <f>IF($X28&gt;0,IF($Y28&gt;0,MAX(0,$Q28+$X28-$Y28)*2400,$X28*2400),40480)</f>
        <v>40480</v>
      </c>
      <c r="E28" s="41">
        <f>IF($X28&gt;0,IF($Y28&gt;0,$S28*2400,0),16153)</f>
        <v>16153</v>
      </c>
      <c r="F28" s="41">
        <f>IF($X28&gt;0,IF($Y28&gt;0,$V28*2400,0),20974)</f>
        <v>20974</v>
      </c>
      <c r="G28" s="41">
        <f>IF($X28&gt;0,IF($Y28&gt;0,$R28*2400,0),8077)</f>
        <v>8077</v>
      </c>
      <c r="H28" s="41">
        <f>IF($X28&gt;0,IF($Y28&gt;0,($T28+$W28)*2400,0),9669)</f>
        <v>9669</v>
      </c>
      <c r="I28" s="41">
        <f>IF($X28&gt;0,IF($Y28&gt;0,$U28*2400,0),8400)</f>
        <v>8400</v>
      </c>
      <c r="J28" s="35">
        <v>4000</v>
      </c>
      <c r="K28" s="42">
        <v>0.6</v>
      </c>
      <c r="L28" s="36" t="str">
        <f>IF($X28&gt;0,IF($P28&lt;&gt;1,$AB28,IFERROR(INDEX('JLR Machines'!$D$2:$D$20001,MATCH($O28,'JLR Machines'!$A$2:$A$20001,0)),$AB28)),$AB28)</f>
        <v>2026-09-29</v>
      </c>
      <c r="M28" s="36" t="str">
        <f>IF($X28&gt;0,IF($Y28&gt;0,"JLR machine "&amp;$O28&amp;" at "&amp;TEXT($X28,"0.00")&amp;" per hr — build-up as supplied","JLR machine "&amp;$O28&amp;" at "&amp;TEXT($X28,"0.00")&amp;" per hr — build-up not supplied"),$AA28)</f>
        <v>Investment casting furnace, UK foundry benchmark</v>
      </c>
      <c r="N28" s="33" t="s">
        <v>1380</v>
      </c>
      <c r="O28" s="37" t="str">
        <f>IFERROR(INDEX(Mapping!$C$2:$C$549,MATCH($A28,Mapping!$A$2:$A$549,0)),"")</f>
        <v/>
      </c>
      <c r="P28" s="37">
        <f>IF($O28="",0,COUNTIFS('JLR Machines'!$A$2:$A$20001,$O28,'JLR Machines'!$C$2:$C$20001,IF(Settings!$B$2="","&lt;&gt;",Settings!$B$2),'JLR Machines'!$D$2:$D$20001,IF(Settings!$B$3="","&lt;&gt;",Settings!$B$3)))</f>
        <v>0</v>
      </c>
      <c r="Q28" s="39">
        <f>IF($P28&lt;&gt;1,0,SUMIFS('JLR Machines'!$G$2:$G$20001,'JLR Machines'!$A$2:$A$20001,$O28,'JLR Machines'!$C$2:$C$20001,IF(Settings!$B$2="","&lt;&gt;",Settings!$B$2),'JLR Machines'!$D$2:$D$20001,IF(Settings!$B$3="","&lt;&gt;",Settings!$B$3)))</f>
        <v>0</v>
      </c>
      <c r="R28" s="39">
        <f>IF($P28&lt;&gt;1,0,SUMIFS('JLR Machines'!$H$2:$H$20001,'JLR Machines'!$A$2:$A$20001,$O28,'JLR Machines'!$C$2:$C$20001,IF(Settings!$B$2="","&lt;&gt;",Settings!$B$2),'JLR Machines'!$D$2:$D$20001,IF(Settings!$B$3="","&lt;&gt;",Settings!$B$3)))</f>
        <v>0</v>
      </c>
      <c r="S28" s="39">
        <f>IF($P28&lt;&gt;1,0,SUMIFS('JLR Machines'!$I$2:$I$20001,'JLR Machines'!$A$2:$A$20001,$O28,'JLR Machines'!$C$2:$C$20001,IF(Settings!$B$2="","&lt;&gt;",Settings!$B$2),'JLR Machines'!$D$2:$D$20001,IF(Settings!$B$3="","&lt;&gt;",Settings!$B$3)))</f>
        <v>0</v>
      </c>
      <c r="T28" s="39">
        <f>IF($P28&lt;&gt;1,0,SUMIFS('JLR Machines'!$J$2:$J$20001,'JLR Machines'!$A$2:$A$20001,$O28,'JLR Machines'!$C$2:$C$20001,IF(Settings!$B$2="","&lt;&gt;",Settings!$B$2),'JLR Machines'!$D$2:$D$20001,IF(Settings!$B$3="","&lt;&gt;",Settings!$B$3)))</f>
        <v>0</v>
      </c>
      <c r="U28" s="39">
        <f>IF($P28&lt;&gt;1,0,SUMIFS('JLR Machines'!$K$2:$K$20001,'JLR Machines'!$A$2:$A$20001,$O28,'JLR Machines'!$C$2:$C$20001,IF(Settings!$B$2="","&lt;&gt;",Settings!$B$2),'JLR Machines'!$D$2:$D$20001,IF(Settings!$B$3="","&lt;&gt;",Settings!$B$3)))</f>
        <v>0</v>
      </c>
      <c r="V28" s="39">
        <f>IF($P28&lt;&gt;1,0,SUMIFS('JLR Machines'!$L$2:$L$20001,'JLR Machines'!$A$2:$A$20001,$O28,'JLR Machines'!$C$2:$C$20001,IF(Settings!$B$2="","&lt;&gt;",Settings!$B$2),'JLR Machines'!$D$2:$D$20001,IF(Settings!$B$3="","&lt;&gt;",Settings!$B$3)))</f>
        <v>0</v>
      </c>
      <c r="W28" s="39">
        <f>IF($P28&lt;&gt;1,0,SUMIFS('JLR Machines'!$M$2:$M$20001,'JLR Machines'!$A$2:$A$20001,$O28,'JLR Machines'!$C$2:$C$20001,IF(Settings!$B$2="","&lt;&gt;",Settings!$B$2),'JLR Machines'!$D$2:$D$20001,IF(Settings!$B$3="","&lt;&gt;",Settings!$B$3)))</f>
        <v>0</v>
      </c>
      <c r="X28" s="39">
        <f>IF($P28&lt;&gt;1,0,SUMIFS('JLR Machines'!$N$2:$N$20001,'JLR Machines'!$A$2:$A$20001,$O28,'JLR Machines'!$C$2:$C$20001,IF(Settings!$B$2="","&lt;&gt;",Settings!$B$2),'JLR Machines'!$D$2:$D$20001,IF(Settings!$B$3="","&lt;&gt;",Settings!$B$3)))</f>
        <v>0</v>
      </c>
      <c r="Y28" s="39">
        <f>$Q28+$R28+$S28+$T28+$U28+$V28+$W28</f>
        <v>0</v>
      </c>
      <c r="Z28" s="38">
        <f>IF($X28&lt;=0,0,ROUND((D28+E28+F28+G28+H28+I28)/2400-$X28,4))</f>
        <v>0</v>
      </c>
      <c r="AA28" s="40" t="s">
        <v>2151</v>
      </c>
      <c r="AB28" s="40" t="s">
        <v>2099</v>
      </c>
    </row>
    <row r="29" spans="1:28" x14ac:dyDescent="0.25">
      <c r="A29" s="32" t="s">
        <v>978</v>
      </c>
      <c r="B29" s="33" t="s">
        <v>2152</v>
      </c>
      <c r="C29" s="33" t="s">
        <v>1379</v>
      </c>
      <c r="D29" s="41">
        <f>IF($X29&gt;0,IF($Y29&gt;0,MAX(0,$Q29+$X29-$Y29)*4500,$X29*4500),22264)</f>
        <v>22264</v>
      </c>
      <c r="E29" s="41">
        <f>IF($X29&gt;0,IF($Y29&gt;0,$S29*4500,0),8077)</f>
        <v>8077</v>
      </c>
      <c r="F29" s="41">
        <f>IF($X29&gt;0,IF($Y29&gt;0,$V29*4500,0),40783)</f>
        <v>40783</v>
      </c>
      <c r="G29" s="41">
        <f>IF($X29&gt;0,IF($Y29&gt;0,$R29*4500,0),6058)</f>
        <v>6058</v>
      </c>
      <c r="H29" s="41">
        <f>IF($X29&gt;0,IF($Y29&gt;0,($T29+$W29)*4500,0),5036)</f>
        <v>5036</v>
      </c>
      <c r="I29" s="41">
        <f>IF($X29&gt;0,IF($Y29&gt;0,$U29*4500,0),2750)</f>
        <v>2750</v>
      </c>
      <c r="J29" s="35">
        <v>6000</v>
      </c>
      <c r="K29" s="42">
        <v>0.75</v>
      </c>
      <c r="L29" s="36" t="str">
        <f>IF($X29&gt;0,IF($P29&lt;&gt;1,$AB29,IFERROR(INDEX('JLR Machines'!$D$2:$D$20001,MATCH($O29,'JLR Machines'!$A$2:$A$20001,0)),$AB29)),$AB29)</f>
        <v>2026-09-29</v>
      </c>
      <c r="M29" s="36" t="str">
        <f>IF($X29&gt;0,IF($Y29&gt;0,"JLR machine "&amp;$O29&amp;" at "&amp;TEXT($X29,"0.00")&amp;" per hr — build-up as supplied","JLR machine "&amp;$O29&amp;" at "&amp;TEXT($X29,"0.00")&amp;" per hr — build-up not supplied"),$AA29)</f>
        <v>T5/T6 solution + ageing furnace, UK foundry benchmark</v>
      </c>
      <c r="N29" s="33" t="s">
        <v>1380</v>
      </c>
      <c r="O29" s="37" t="str">
        <f>IFERROR(INDEX(Mapping!$C$2:$C$549,MATCH($A29,Mapping!$A$2:$A$549,0)),"")</f>
        <v/>
      </c>
      <c r="P29" s="37">
        <f>IF($O29="",0,COUNTIFS('JLR Machines'!$A$2:$A$20001,$O29,'JLR Machines'!$C$2:$C$20001,IF(Settings!$B$2="","&lt;&gt;",Settings!$B$2),'JLR Machines'!$D$2:$D$20001,IF(Settings!$B$3="","&lt;&gt;",Settings!$B$3)))</f>
        <v>0</v>
      </c>
      <c r="Q29" s="39">
        <f>IF($P29&lt;&gt;1,0,SUMIFS('JLR Machines'!$G$2:$G$20001,'JLR Machines'!$A$2:$A$20001,$O29,'JLR Machines'!$C$2:$C$20001,IF(Settings!$B$2="","&lt;&gt;",Settings!$B$2),'JLR Machines'!$D$2:$D$20001,IF(Settings!$B$3="","&lt;&gt;",Settings!$B$3)))</f>
        <v>0</v>
      </c>
      <c r="R29" s="39">
        <f>IF($P29&lt;&gt;1,0,SUMIFS('JLR Machines'!$H$2:$H$20001,'JLR Machines'!$A$2:$A$20001,$O29,'JLR Machines'!$C$2:$C$20001,IF(Settings!$B$2="","&lt;&gt;",Settings!$B$2),'JLR Machines'!$D$2:$D$20001,IF(Settings!$B$3="","&lt;&gt;",Settings!$B$3)))</f>
        <v>0</v>
      </c>
      <c r="S29" s="39">
        <f>IF($P29&lt;&gt;1,0,SUMIFS('JLR Machines'!$I$2:$I$20001,'JLR Machines'!$A$2:$A$20001,$O29,'JLR Machines'!$C$2:$C$20001,IF(Settings!$B$2="","&lt;&gt;",Settings!$B$2),'JLR Machines'!$D$2:$D$20001,IF(Settings!$B$3="","&lt;&gt;",Settings!$B$3)))</f>
        <v>0</v>
      </c>
      <c r="T29" s="39">
        <f>IF($P29&lt;&gt;1,0,SUMIFS('JLR Machines'!$J$2:$J$20001,'JLR Machines'!$A$2:$A$20001,$O29,'JLR Machines'!$C$2:$C$20001,IF(Settings!$B$2="","&lt;&gt;",Settings!$B$2),'JLR Machines'!$D$2:$D$20001,IF(Settings!$B$3="","&lt;&gt;",Settings!$B$3)))</f>
        <v>0</v>
      </c>
      <c r="U29" s="39">
        <f>IF($P29&lt;&gt;1,0,SUMIFS('JLR Machines'!$K$2:$K$20001,'JLR Machines'!$A$2:$A$20001,$O29,'JLR Machines'!$C$2:$C$20001,IF(Settings!$B$2="","&lt;&gt;",Settings!$B$2),'JLR Machines'!$D$2:$D$20001,IF(Settings!$B$3="","&lt;&gt;",Settings!$B$3)))</f>
        <v>0</v>
      </c>
      <c r="V29" s="39">
        <f>IF($P29&lt;&gt;1,0,SUMIFS('JLR Machines'!$L$2:$L$20001,'JLR Machines'!$A$2:$A$20001,$O29,'JLR Machines'!$C$2:$C$20001,IF(Settings!$B$2="","&lt;&gt;",Settings!$B$2),'JLR Machines'!$D$2:$D$20001,IF(Settings!$B$3="","&lt;&gt;",Settings!$B$3)))</f>
        <v>0</v>
      </c>
      <c r="W29" s="39">
        <f>IF($P29&lt;&gt;1,0,SUMIFS('JLR Machines'!$M$2:$M$20001,'JLR Machines'!$A$2:$A$20001,$O29,'JLR Machines'!$C$2:$C$20001,IF(Settings!$B$2="","&lt;&gt;",Settings!$B$2),'JLR Machines'!$D$2:$D$20001,IF(Settings!$B$3="","&lt;&gt;",Settings!$B$3)))</f>
        <v>0</v>
      </c>
      <c r="X29" s="39">
        <f>IF($P29&lt;&gt;1,0,SUMIFS('JLR Machines'!$N$2:$N$20001,'JLR Machines'!$A$2:$A$20001,$O29,'JLR Machines'!$C$2:$C$20001,IF(Settings!$B$2="","&lt;&gt;",Settings!$B$2),'JLR Machines'!$D$2:$D$20001,IF(Settings!$B$3="","&lt;&gt;",Settings!$B$3)))</f>
        <v>0</v>
      </c>
      <c r="Y29" s="39">
        <f>$Q29+$R29+$S29+$T29+$U29+$V29+$W29</f>
        <v>0</v>
      </c>
      <c r="Z29" s="38">
        <f>IF($X29&lt;=0,0,ROUND((D29+E29+F29+G29+H29+I29)/4500-$X29,4))</f>
        <v>0</v>
      </c>
      <c r="AA29" s="40" t="s">
        <v>2153</v>
      </c>
      <c r="AB29" s="40" t="s">
        <v>2099</v>
      </c>
    </row>
    <row r="30" spans="1:28" x14ac:dyDescent="0.25">
      <c r="A30" s="32" t="s">
        <v>980</v>
      </c>
      <c r="B30" s="33" t="s">
        <v>2154</v>
      </c>
      <c r="C30" s="33" t="s">
        <v>1379</v>
      </c>
      <c r="D30" s="41">
        <f>IF($X30&gt;0,IF($Y30&gt;0,MAX(0,$Q30+$X30-$Y30)*2800,$X30*2800),18216)</f>
        <v>18216</v>
      </c>
      <c r="E30" s="41">
        <f>IF($X30&gt;0,IF($Y30&gt;0,$S30*2800,0),9086)</f>
        <v>9086</v>
      </c>
      <c r="F30" s="41">
        <f>IF($X30&gt;0,IF($Y30&gt;0,$V30*2800,0),5826)</f>
        <v>5826</v>
      </c>
      <c r="G30" s="41">
        <f>IF($X30&gt;0,IF($Y30&gt;0,$R30*2800,0),5048)</f>
        <v>5048</v>
      </c>
      <c r="H30" s="41">
        <f>IF($X30&gt;0,IF($Y30&gt;0,($T30+$W30)*2800,0),4029)</f>
        <v>4029</v>
      </c>
      <c r="I30" s="41">
        <f>IF($X30&gt;0,IF($Y30&gt;0,$U30*2800,0),2250)</f>
        <v>2250</v>
      </c>
      <c r="J30" s="35">
        <v>3500</v>
      </c>
      <c r="K30" s="42">
        <v>0.8</v>
      </c>
      <c r="L30" s="36" t="str">
        <f>IF($X30&gt;0,IF($P30&lt;&gt;1,$AB30,IFERROR(INDEX('JLR Machines'!$D$2:$D$20001,MATCH($O30,'JLR Machines'!$A$2:$A$20001,0)),$AB30)),$AB30)</f>
        <v>2026-09-29</v>
      </c>
      <c r="M30" s="36" t="str">
        <f>IF($X30&gt;0,IF($Y30&gt;0,"JLR machine "&amp;$O30&amp;" at "&amp;TEXT($X30,"0.00")&amp;" per hr — build-up as supplied","JLR machine "&amp;$O30&amp;" at "&amp;TEXT($X30,"0.00")&amp;" per hr — build-up not supplied"),$AA30)</f>
        <v>UK general press-shop benchmark (standard/amortised mechanical press), Jun 2026</v>
      </c>
      <c r="N30" s="33" t="s">
        <v>1380</v>
      </c>
      <c r="O30" s="37" t="str">
        <f>IFERROR(INDEX(Mapping!$C$2:$C$549,MATCH($A30,Mapping!$A$2:$A$549,0)),"")</f>
        <v/>
      </c>
      <c r="P30" s="37">
        <f>IF($O30="",0,COUNTIFS('JLR Machines'!$A$2:$A$20001,$O30,'JLR Machines'!$C$2:$C$20001,IF(Settings!$B$2="","&lt;&gt;",Settings!$B$2),'JLR Machines'!$D$2:$D$20001,IF(Settings!$B$3="","&lt;&gt;",Settings!$B$3)))</f>
        <v>0</v>
      </c>
      <c r="Q30" s="39">
        <f>IF($P30&lt;&gt;1,0,SUMIFS('JLR Machines'!$G$2:$G$20001,'JLR Machines'!$A$2:$A$20001,$O30,'JLR Machines'!$C$2:$C$20001,IF(Settings!$B$2="","&lt;&gt;",Settings!$B$2),'JLR Machines'!$D$2:$D$20001,IF(Settings!$B$3="","&lt;&gt;",Settings!$B$3)))</f>
        <v>0</v>
      </c>
      <c r="R30" s="39">
        <f>IF($P30&lt;&gt;1,0,SUMIFS('JLR Machines'!$H$2:$H$20001,'JLR Machines'!$A$2:$A$20001,$O30,'JLR Machines'!$C$2:$C$20001,IF(Settings!$B$2="","&lt;&gt;",Settings!$B$2),'JLR Machines'!$D$2:$D$20001,IF(Settings!$B$3="","&lt;&gt;",Settings!$B$3)))</f>
        <v>0</v>
      </c>
      <c r="S30" s="39">
        <f>IF($P30&lt;&gt;1,0,SUMIFS('JLR Machines'!$I$2:$I$20001,'JLR Machines'!$A$2:$A$20001,$O30,'JLR Machines'!$C$2:$C$20001,IF(Settings!$B$2="","&lt;&gt;",Settings!$B$2),'JLR Machines'!$D$2:$D$20001,IF(Settings!$B$3="","&lt;&gt;",Settings!$B$3)))</f>
        <v>0</v>
      </c>
      <c r="T30" s="39">
        <f>IF($P30&lt;&gt;1,0,SUMIFS('JLR Machines'!$J$2:$J$20001,'JLR Machines'!$A$2:$A$20001,$O30,'JLR Machines'!$C$2:$C$20001,IF(Settings!$B$2="","&lt;&gt;",Settings!$B$2),'JLR Machines'!$D$2:$D$20001,IF(Settings!$B$3="","&lt;&gt;",Settings!$B$3)))</f>
        <v>0</v>
      </c>
      <c r="U30" s="39">
        <f>IF($P30&lt;&gt;1,0,SUMIFS('JLR Machines'!$K$2:$K$20001,'JLR Machines'!$A$2:$A$20001,$O30,'JLR Machines'!$C$2:$C$20001,IF(Settings!$B$2="","&lt;&gt;",Settings!$B$2),'JLR Machines'!$D$2:$D$20001,IF(Settings!$B$3="","&lt;&gt;",Settings!$B$3)))</f>
        <v>0</v>
      </c>
      <c r="V30" s="39">
        <f>IF($P30&lt;&gt;1,0,SUMIFS('JLR Machines'!$L$2:$L$20001,'JLR Machines'!$A$2:$A$20001,$O30,'JLR Machines'!$C$2:$C$20001,IF(Settings!$B$2="","&lt;&gt;",Settings!$B$2),'JLR Machines'!$D$2:$D$20001,IF(Settings!$B$3="","&lt;&gt;",Settings!$B$3)))</f>
        <v>0</v>
      </c>
      <c r="W30" s="39">
        <f>IF($P30&lt;&gt;1,0,SUMIFS('JLR Machines'!$M$2:$M$20001,'JLR Machines'!$A$2:$A$20001,$O30,'JLR Machines'!$C$2:$C$20001,IF(Settings!$B$2="","&lt;&gt;",Settings!$B$2),'JLR Machines'!$D$2:$D$20001,IF(Settings!$B$3="","&lt;&gt;",Settings!$B$3)))</f>
        <v>0</v>
      </c>
      <c r="X30" s="39">
        <f>IF($P30&lt;&gt;1,0,SUMIFS('JLR Machines'!$N$2:$N$20001,'JLR Machines'!$A$2:$A$20001,$O30,'JLR Machines'!$C$2:$C$20001,IF(Settings!$B$2="","&lt;&gt;",Settings!$B$2),'JLR Machines'!$D$2:$D$20001,IF(Settings!$B$3="","&lt;&gt;",Settings!$B$3)))</f>
        <v>0</v>
      </c>
      <c r="Y30" s="39">
        <f>$Q30+$R30+$S30+$T30+$U30+$V30+$W30</f>
        <v>0</v>
      </c>
      <c r="Z30" s="38">
        <f>IF($X30&lt;=0,0,ROUND((D30+E30+F30+G30+H30+I30)/2800-$X30,4))</f>
        <v>0</v>
      </c>
      <c r="AA30" s="40" t="s">
        <v>2155</v>
      </c>
      <c r="AB30" s="40" t="s">
        <v>2099</v>
      </c>
    </row>
    <row r="31" spans="1:28" x14ac:dyDescent="0.25">
      <c r="A31" s="32" t="s">
        <v>982</v>
      </c>
      <c r="B31" s="33" t="s">
        <v>2156</v>
      </c>
      <c r="C31" s="33" t="s">
        <v>1379</v>
      </c>
      <c r="D31" s="41">
        <f>IF($X31&gt;0,IF($Y31&gt;0,MAX(0,$Q31+$X31-$Y31)*2800,$X31*2800),28336)</f>
        <v>28336</v>
      </c>
      <c r="E31" s="41">
        <f>IF($X31&gt;0,IF($Y31&gt;0,$S31*2800,0),14134)</f>
        <v>14134</v>
      </c>
      <c r="F31" s="41">
        <f>IF($X31&gt;0,IF($Y31&gt;0,$V31*2800,0),8739)</f>
        <v>8739</v>
      </c>
      <c r="G31" s="41">
        <f>IF($X31&gt;0,IF($Y31&gt;0,$R31*2800,0),7572)</f>
        <v>7572</v>
      </c>
      <c r="H31" s="41">
        <f>IF($X31&gt;0,IF($Y31&gt;0,($T31+$W31)*2800,0),6043)</f>
        <v>6043</v>
      </c>
      <c r="I31" s="41">
        <f>IF($X31&gt;0,IF($Y31&gt;0,$U31*2800,0),3500)</f>
        <v>3500</v>
      </c>
      <c r="J31" s="35">
        <v>3500</v>
      </c>
      <c r="K31" s="42">
        <v>0.8</v>
      </c>
      <c r="L31" s="36" t="str">
        <f>IF($X31&gt;0,IF($P31&lt;&gt;1,$AB31,IFERROR(INDEX('JLR Machines'!$D$2:$D$20001,MATCH($O31,'JLR Machines'!$A$2:$A$20001,0)),$AB31)),$AB31)</f>
        <v>2026-09-29</v>
      </c>
      <c r="M31" s="36" t="str">
        <f>IF($X31&gt;0,IF($Y31&gt;0,"JLR machine "&amp;$O31&amp;" at "&amp;TEXT($X31,"0.00")&amp;" per hr — build-up as supplied","JLR machine "&amp;$O31&amp;" at "&amp;TEXT($X31,"0.00")&amp;" per hr — build-up not supplied"),$AA31)</f>
        <v>UK general press-shop benchmark (standard/amortised mechanical press), Jun 2026</v>
      </c>
      <c r="N31" s="33" t="s">
        <v>1380</v>
      </c>
      <c r="O31" s="37" t="str">
        <f>IFERROR(INDEX(Mapping!$C$2:$C$549,MATCH($A31,Mapping!$A$2:$A$549,0)),"")</f>
        <v/>
      </c>
      <c r="P31" s="37">
        <f>IF($O31="",0,COUNTIFS('JLR Machines'!$A$2:$A$20001,$O31,'JLR Machines'!$C$2:$C$20001,IF(Settings!$B$2="","&lt;&gt;",Settings!$B$2),'JLR Machines'!$D$2:$D$20001,IF(Settings!$B$3="","&lt;&gt;",Settings!$B$3)))</f>
        <v>0</v>
      </c>
      <c r="Q31" s="39">
        <f>IF($P31&lt;&gt;1,0,SUMIFS('JLR Machines'!$G$2:$G$20001,'JLR Machines'!$A$2:$A$20001,$O31,'JLR Machines'!$C$2:$C$20001,IF(Settings!$B$2="","&lt;&gt;",Settings!$B$2),'JLR Machines'!$D$2:$D$20001,IF(Settings!$B$3="","&lt;&gt;",Settings!$B$3)))</f>
        <v>0</v>
      </c>
      <c r="R31" s="39">
        <f>IF($P31&lt;&gt;1,0,SUMIFS('JLR Machines'!$H$2:$H$20001,'JLR Machines'!$A$2:$A$20001,$O31,'JLR Machines'!$C$2:$C$20001,IF(Settings!$B$2="","&lt;&gt;",Settings!$B$2),'JLR Machines'!$D$2:$D$20001,IF(Settings!$B$3="","&lt;&gt;",Settings!$B$3)))</f>
        <v>0</v>
      </c>
      <c r="S31" s="39">
        <f>IF($P31&lt;&gt;1,0,SUMIFS('JLR Machines'!$I$2:$I$20001,'JLR Machines'!$A$2:$A$20001,$O31,'JLR Machines'!$C$2:$C$20001,IF(Settings!$B$2="","&lt;&gt;",Settings!$B$2),'JLR Machines'!$D$2:$D$20001,IF(Settings!$B$3="","&lt;&gt;",Settings!$B$3)))</f>
        <v>0</v>
      </c>
      <c r="T31" s="39">
        <f>IF($P31&lt;&gt;1,0,SUMIFS('JLR Machines'!$J$2:$J$20001,'JLR Machines'!$A$2:$A$20001,$O31,'JLR Machines'!$C$2:$C$20001,IF(Settings!$B$2="","&lt;&gt;",Settings!$B$2),'JLR Machines'!$D$2:$D$20001,IF(Settings!$B$3="","&lt;&gt;",Settings!$B$3)))</f>
        <v>0</v>
      </c>
      <c r="U31" s="39">
        <f>IF($P31&lt;&gt;1,0,SUMIFS('JLR Machines'!$K$2:$K$20001,'JLR Machines'!$A$2:$A$20001,$O31,'JLR Machines'!$C$2:$C$20001,IF(Settings!$B$2="","&lt;&gt;",Settings!$B$2),'JLR Machines'!$D$2:$D$20001,IF(Settings!$B$3="","&lt;&gt;",Settings!$B$3)))</f>
        <v>0</v>
      </c>
      <c r="V31" s="39">
        <f>IF($P31&lt;&gt;1,0,SUMIFS('JLR Machines'!$L$2:$L$20001,'JLR Machines'!$A$2:$A$20001,$O31,'JLR Machines'!$C$2:$C$20001,IF(Settings!$B$2="","&lt;&gt;",Settings!$B$2),'JLR Machines'!$D$2:$D$20001,IF(Settings!$B$3="","&lt;&gt;",Settings!$B$3)))</f>
        <v>0</v>
      </c>
      <c r="W31" s="39">
        <f>IF($P31&lt;&gt;1,0,SUMIFS('JLR Machines'!$M$2:$M$20001,'JLR Machines'!$A$2:$A$20001,$O31,'JLR Machines'!$C$2:$C$20001,IF(Settings!$B$2="","&lt;&gt;",Settings!$B$2),'JLR Machines'!$D$2:$D$20001,IF(Settings!$B$3="","&lt;&gt;",Settings!$B$3)))</f>
        <v>0</v>
      </c>
      <c r="X31" s="39">
        <f>IF($P31&lt;&gt;1,0,SUMIFS('JLR Machines'!$N$2:$N$20001,'JLR Machines'!$A$2:$A$20001,$O31,'JLR Machines'!$C$2:$C$20001,IF(Settings!$B$2="","&lt;&gt;",Settings!$B$2),'JLR Machines'!$D$2:$D$20001,IF(Settings!$B$3="","&lt;&gt;",Settings!$B$3)))</f>
        <v>0</v>
      </c>
      <c r="Y31" s="39">
        <f>$Q31+$R31+$S31+$T31+$U31+$V31+$W31</f>
        <v>0</v>
      </c>
      <c r="Z31" s="38">
        <f>IF($X31&lt;=0,0,ROUND((D31+E31+F31+G31+H31+I31)/2800-$X31,4))</f>
        <v>0</v>
      </c>
      <c r="AA31" s="40" t="s">
        <v>2155</v>
      </c>
      <c r="AB31" s="40" t="s">
        <v>2099</v>
      </c>
    </row>
    <row r="32" spans="1:28" x14ac:dyDescent="0.25">
      <c r="A32" s="32" t="s">
        <v>984</v>
      </c>
      <c r="B32" s="33" t="s">
        <v>2157</v>
      </c>
      <c r="C32" s="33" t="s">
        <v>1379</v>
      </c>
      <c r="D32" s="41">
        <f>IF($X32&gt;0,IF($Y32&gt;0,MAX(0,$Q32+$X32-$Y32)*2800,$X32*2800),50600)</f>
        <v>50600</v>
      </c>
      <c r="E32" s="41">
        <f>IF($X32&gt;0,IF($Y32&gt;0,$S32*2800,0),22211)</f>
        <v>22211</v>
      </c>
      <c r="F32" s="41">
        <f>IF($X32&gt;0,IF($Y32&gt;0,$V32*2800,0),12817)</f>
        <v>12817</v>
      </c>
      <c r="G32" s="41">
        <f>IF($X32&gt;0,IF($Y32&gt;0,$R32*2800,0),10096)</f>
        <v>10096</v>
      </c>
      <c r="H32" s="41">
        <f>IF($X32&gt;0,IF($Y32&gt;0,($T32+$W32)*2800,0),9065)</f>
        <v>9065</v>
      </c>
      <c r="I32" s="41">
        <f>IF($X32&gt;0,IF($Y32&gt;0,$U32*2800,0),6250)</f>
        <v>6250</v>
      </c>
      <c r="J32" s="35">
        <v>3500</v>
      </c>
      <c r="K32" s="42">
        <v>0.8</v>
      </c>
      <c r="L32" s="36" t="str">
        <f>IF($X32&gt;0,IF($P32&lt;&gt;1,$AB32,IFERROR(INDEX('JLR Machines'!$D$2:$D$20001,MATCH($O32,'JLR Machines'!$A$2:$A$20001,0)),$AB32)),$AB32)</f>
        <v>2026-09-29</v>
      </c>
      <c r="M32" s="36" t="str">
        <f>IF($X32&gt;0,IF($Y32&gt;0,"JLR machine "&amp;$O32&amp;" at "&amp;TEXT($X32,"0.00")&amp;" per hr — build-up as supplied","JLR machine "&amp;$O32&amp;" at "&amp;TEXT($X32,"0.00")&amp;" per hr — build-up not supplied"),$AA32)</f>
        <v>UK general press-shop benchmark (standard/amortised mechanical press; new servo transfer line: use press-schuler-400t), Jun 2026</v>
      </c>
      <c r="N32" s="33" t="s">
        <v>1380</v>
      </c>
      <c r="O32" s="37" t="str">
        <f>IFERROR(INDEX(Mapping!$C$2:$C$549,MATCH($A32,Mapping!$A$2:$A$549,0)),"")</f>
        <v/>
      </c>
      <c r="P32" s="37">
        <f>IF($O32="",0,COUNTIFS('JLR Machines'!$A$2:$A$20001,$O32,'JLR Machines'!$C$2:$C$20001,IF(Settings!$B$2="","&lt;&gt;",Settings!$B$2),'JLR Machines'!$D$2:$D$20001,IF(Settings!$B$3="","&lt;&gt;",Settings!$B$3)))</f>
        <v>0</v>
      </c>
      <c r="Q32" s="39">
        <f>IF($P32&lt;&gt;1,0,SUMIFS('JLR Machines'!$G$2:$G$20001,'JLR Machines'!$A$2:$A$20001,$O32,'JLR Machines'!$C$2:$C$20001,IF(Settings!$B$2="","&lt;&gt;",Settings!$B$2),'JLR Machines'!$D$2:$D$20001,IF(Settings!$B$3="","&lt;&gt;",Settings!$B$3)))</f>
        <v>0</v>
      </c>
      <c r="R32" s="39">
        <f>IF($P32&lt;&gt;1,0,SUMIFS('JLR Machines'!$H$2:$H$20001,'JLR Machines'!$A$2:$A$20001,$O32,'JLR Machines'!$C$2:$C$20001,IF(Settings!$B$2="","&lt;&gt;",Settings!$B$2),'JLR Machines'!$D$2:$D$20001,IF(Settings!$B$3="","&lt;&gt;",Settings!$B$3)))</f>
        <v>0</v>
      </c>
      <c r="S32" s="39">
        <f>IF($P32&lt;&gt;1,0,SUMIFS('JLR Machines'!$I$2:$I$20001,'JLR Machines'!$A$2:$A$20001,$O32,'JLR Machines'!$C$2:$C$20001,IF(Settings!$B$2="","&lt;&gt;",Settings!$B$2),'JLR Machines'!$D$2:$D$20001,IF(Settings!$B$3="","&lt;&gt;",Settings!$B$3)))</f>
        <v>0</v>
      </c>
      <c r="T32" s="39">
        <f>IF($P32&lt;&gt;1,0,SUMIFS('JLR Machines'!$J$2:$J$20001,'JLR Machines'!$A$2:$A$20001,$O32,'JLR Machines'!$C$2:$C$20001,IF(Settings!$B$2="","&lt;&gt;",Settings!$B$2),'JLR Machines'!$D$2:$D$20001,IF(Settings!$B$3="","&lt;&gt;",Settings!$B$3)))</f>
        <v>0</v>
      </c>
      <c r="U32" s="39">
        <f>IF($P32&lt;&gt;1,0,SUMIFS('JLR Machines'!$K$2:$K$20001,'JLR Machines'!$A$2:$A$20001,$O32,'JLR Machines'!$C$2:$C$20001,IF(Settings!$B$2="","&lt;&gt;",Settings!$B$2),'JLR Machines'!$D$2:$D$20001,IF(Settings!$B$3="","&lt;&gt;",Settings!$B$3)))</f>
        <v>0</v>
      </c>
      <c r="V32" s="39">
        <f>IF($P32&lt;&gt;1,0,SUMIFS('JLR Machines'!$L$2:$L$20001,'JLR Machines'!$A$2:$A$20001,$O32,'JLR Machines'!$C$2:$C$20001,IF(Settings!$B$2="","&lt;&gt;",Settings!$B$2),'JLR Machines'!$D$2:$D$20001,IF(Settings!$B$3="","&lt;&gt;",Settings!$B$3)))</f>
        <v>0</v>
      </c>
      <c r="W32" s="39">
        <f>IF($P32&lt;&gt;1,0,SUMIFS('JLR Machines'!$M$2:$M$20001,'JLR Machines'!$A$2:$A$20001,$O32,'JLR Machines'!$C$2:$C$20001,IF(Settings!$B$2="","&lt;&gt;",Settings!$B$2),'JLR Machines'!$D$2:$D$20001,IF(Settings!$B$3="","&lt;&gt;",Settings!$B$3)))</f>
        <v>0</v>
      </c>
      <c r="X32" s="39">
        <f>IF($P32&lt;&gt;1,0,SUMIFS('JLR Machines'!$N$2:$N$20001,'JLR Machines'!$A$2:$A$20001,$O32,'JLR Machines'!$C$2:$C$20001,IF(Settings!$B$2="","&lt;&gt;",Settings!$B$2),'JLR Machines'!$D$2:$D$20001,IF(Settings!$B$3="","&lt;&gt;",Settings!$B$3)))</f>
        <v>0</v>
      </c>
      <c r="Y32" s="39">
        <f>$Q32+$R32+$S32+$T32+$U32+$V32+$W32</f>
        <v>0</v>
      </c>
      <c r="Z32" s="38">
        <f>IF($X32&lt;=0,0,ROUND((D32+E32+F32+G32+H32+I32)/2800-$X32,4))</f>
        <v>0</v>
      </c>
      <c r="AA32" s="40" t="s">
        <v>2158</v>
      </c>
      <c r="AB32" s="40" t="s">
        <v>2099</v>
      </c>
    </row>
    <row r="33" spans="1:28" x14ac:dyDescent="0.25">
      <c r="A33" s="32" t="s">
        <v>986</v>
      </c>
      <c r="B33" s="33" t="s">
        <v>2159</v>
      </c>
      <c r="C33" s="33" t="s">
        <v>1379</v>
      </c>
      <c r="D33" s="41">
        <f>IF($X33&gt;0,IF($Y33&gt;0,MAX(0,$Q33+$X33-$Y33)*2730,$X33*2730),75900)</f>
        <v>75900</v>
      </c>
      <c r="E33" s="41">
        <f>IF($X33&gt;0,IF($Y33&gt;0,$S33*2730,0),35335)</f>
        <v>35335</v>
      </c>
      <c r="F33" s="41">
        <f>IF($X33&gt;0,IF($Y33&gt;0,$V33*2730,0),17478)</f>
        <v>17478</v>
      </c>
      <c r="G33" s="41">
        <f>IF($X33&gt;0,IF($Y33&gt;0,$R33*2730,0),15144)</f>
        <v>15144</v>
      </c>
      <c r="H33" s="41">
        <f>IF($X33&gt;0,IF($Y33&gt;0,($T33+$W33)*2730,0),14100)</f>
        <v>14100</v>
      </c>
      <c r="I33" s="41">
        <f>IF($X33&gt;0,IF($Y33&gt;0,$U33*2730,0),9375)</f>
        <v>9375</v>
      </c>
      <c r="J33" s="35">
        <v>3500</v>
      </c>
      <c r="K33" s="42">
        <v>0.78</v>
      </c>
      <c r="L33" s="36" t="str">
        <f>IF($X33&gt;0,IF($P33&lt;&gt;1,$AB33,IFERROR(INDEX('JLR Machines'!$D$2:$D$20001,MATCH($O33,'JLR Machines'!$A$2:$A$20001,0)),$AB33)),$AB33)</f>
        <v>2026-09-29</v>
      </c>
      <c r="M33" s="36" t="str">
        <f>IF($X33&gt;0,IF($Y33&gt;0,"JLR machine "&amp;$O33&amp;" at "&amp;TEXT($X33,"0.00")&amp;" per hr — build-up as supplied","JLR machine "&amp;$O33&amp;" at "&amp;TEXT($X33,"0.00")&amp;" per hr — build-up not supplied"),$AA33)</f>
        <v>UK general press-shop benchmark (standard/amortised mechanical press), Jun 2026</v>
      </c>
      <c r="N33" s="33" t="s">
        <v>1380</v>
      </c>
      <c r="O33" s="37" t="str">
        <f>IFERROR(INDEX(Mapping!$C$2:$C$549,MATCH($A33,Mapping!$A$2:$A$549,0)),"")</f>
        <v/>
      </c>
      <c r="P33" s="37">
        <f>IF($O33="",0,COUNTIFS('JLR Machines'!$A$2:$A$20001,$O33,'JLR Machines'!$C$2:$C$20001,IF(Settings!$B$2="","&lt;&gt;",Settings!$B$2),'JLR Machines'!$D$2:$D$20001,IF(Settings!$B$3="","&lt;&gt;",Settings!$B$3)))</f>
        <v>0</v>
      </c>
      <c r="Q33" s="39">
        <f>IF($P33&lt;&gt;1,0,SUMIFS('JLR Machines'!$G$2:$G$20001,'JLR Machines'!$A$2:$A$20001,$O33,'JLR Machines'!$C$2:$C$20001,IF(Settings!$B$2="","&lt;&gt;",Settings!$B$2),'JLR Machines'!$D$2:$D$20001,IF(Settings!$B$3="","&lt;&gt;",Settings!$B$3)))</f>
        <v>0</v>
      </c>
      <c r="R33" s="39">
        <f>IF($P33&lt;&gt;1,0,SUMIFS('JLR Machines'!$H$2:$H$20001,'JLR Machines'!$A$2:$A$20001,$O33,'JLR Machines'!$C$2:$C$20001,IF(Settings!$B$2="","&lt;&gt;",Settings!$B$2),'JLR Machines'!$D$2:$D$20001,IF(Settings!$B$3="","&lt;&gt;",Settings!$B$3)))</f>
        <v>0</v>
      </c>
      <c r="S33" s="39">
        <f>IF($P33&lt;&gt;1,0,SUMIFS('JLR Machines'!$I$2:$I$20001,'JLR Machines'!$A$2:$A$20001,$O33,'JLR Machines'!$C$2:$C$20001,IF(Settings!$B$2="","&lt;&gt;",Settings!$B$2),'JLR Machines'!$D$2:$D$20001,IF(Settings!$B$3="","&lt;&gt;",Settings!$B$3)))</f>
        <v>0</v>
      </c>
      <c r="T33" s="39">
        <f>IF($P33&lt;&gt;1,0,SUMIFS('JLR Machines'!$J$2:$J$20001,'JLR Machines'!$A$2:$A$20001,$O33,'JLR Machines'!$C$2:$C$20001,IF(Settings!$B$2="","&lt;&gt;",Settings!$B$2),'JLR Machines'!$D$2:$D$20001,IF(Settings!$B$3="","&lt;&gt;",Settings!$B$3)))</f>
        <v>0</v>
      </c>
      <c r="U33" s="39">
        <f>IF($P33&lt;&gt;1,0,SUMIFS('JLR Machines'!$K$2:$K$20001,'JLR Machines'!$A$2:$A$20001,$O33,'JLR Machines'!$C$2:$C$20001,IF(Settings!$B$2="","&lt;&gt;",Settings!$B$2),'JLR Machines'!$D$2:$D$20001,IF(Settings!$B$3="","&lt;&gt;",Settings!$B$3)))</f>
        <v>0</v>
      </c>
      <c r="V33" s="39">
        <f>IF($P33&lt;&gt;1,0,SUMIFS('JLR Machines'!$L$2:$L$20001,'JLR Machines'!$A$2:$A$20001,$O33,'JLR Machines'!$C$2:$C$20001,IF(Settings!$B$2="","&lt;&gt;",Settings!$B$2),'JLR Machines'!$D$2:$D$20001,IF(Settings!$B$3="","&lt;&gt;",Settings!$B$3)))</f>
        <v>0</v>
      </c>
      <c r="W33" s="39">
        <f>IF($P33&lt;&gt;1,0,SUMIFS('JLR Machines'!$M$2:$M$20001,'JLR Machines'!$A$2:$A$20001,$O33,'JLR Machines'!$C$2:$C$20001,IF(Settings!$B$2="","&lt;&gt;",Settings!$B$2),'JLR Machines'!$D$2:$D$20001,IF(Settings!$B$3="","&lt;&gt;",Settings!$B$3)))</f>
        <v>0</v>
      </c>
      <c r="X33" s="39">
        <f>IF($P33&lt;&gt;1,0,SUMIFS('JLR Machines'!$N$2:$N$20001,'JLR Machines'!$A$2:$A$20001,$O33,'JLR Machines'!$C$2:$C$20001,IF(Settings!$B$2="","&lt;&gt;",Settings!$B$2),'JLR Machines'!$D$2:$D$20001,IF(Settings!$B$3="","&lt;&gt;",Settings!$B$3)))</f>
        <v>0</v>
      </c>
      <c r="Y33" s="39">
        <f>$Q33+$R33+$S33+$T33+$U33+$V33+$W33</f>
        <v>0</v>
      </c>
      <c r="Z33" s="38">
        <f>IF($X33&lt;=0,0,ROUND((D33+E33+F33+G33+H33+I33)/2730-$X33,4))</f>
        <v>0</v>
      </c>
      <c r="AA33" s="40" t="s">
        <v>2155</v>
      </c>
      <c r="AB33" s="40" t="s">
        <v>2099</v>
      </c>
    </row>
    <row r="34" spans="1:28" x14ac:dyDescent="0.25">
      <c r="A34" s="32" t="s">
        <v>988</v>
      </c>
      <c r="B34" s="33" t="s">
        <v>2160</v>
      </c>
      <c r="C34" s="33" t="s">
        <v>1379</v>
      </c>
      <c r="D34" s="41">
        <f>IF($X34&gt;0,IF($Y34&gt;0,MAX(0,$Q34+$X34-$Y34)*2730,$X34*2730),91080)</f>
        <v>91080</v>
      </c>
      <c r="E34" s="41">
        <f>IF($X34&gt;0,IF($Y34&gt;0,$S34*2730,0),42403)</f>
        <v>42403</v>
      </c>
      <c r="F34" s="41">
        <f>IF($X34&gt;0,IF($Y34&gt;0,$V34*2730,0),20974)</f>
        <v>20974</v>
      </c>
      <c r="G34" s="41">
        <f>IF($X34&gt;0,IF($Y34&gt;0,$R34*2730,0),18173)</f>
        <v>18173</v>
      </c>
      <c r="H34" s="41">
        <f>IF($X34&gt;0,IF($Y34&gt;0,($T34+$W34)*2730,0),16115)</f>
        <v>16115</v>
      </c>
      <c r="I34" s="41">
        <f>IF($X34&gt;0,IF($Y34&gt;0,$U34*2730,0),11250)</f>
        <v>11250</v>
      </c>
      <c r="J34" s="35">
        <v>3500</v>
      </c>
      <c r="K34" s="42">
        <v>0.78</v>
      </c>
      <c r="L34" s="36" t="str">
        <f>IF($X34&gt;0,IF($P34&lt;&gt;1,$AB34,IFERROR(INDEX('JLR Machines'!$D$2:$D$20001,MATCH($O34,'JLR Machines'!$A$2:$A$20001,0)),$AB34)),$AB34)</f>
        <v>2026-09-29</v>
      </c>
      <c r="M34" s="36" t="str">
        <f>IF($X34&gt;0,IF($Y34&gt;0,"JLR machine "&amp;$O34&amp;" at "&amp;TEXT($X34,"0.00")&amp;" per hr — build-up as supplied","JLR machine "&amp;$O34&amp;" at "&amp;TEXT($X34,"0.00")&amp;" per hr — build-up not supplied"),$AA34)</f>
        <v>UK general press-shop benchmark (standard/amortised mechanical press), Jun 2026</v>
      </c>
      <c r="N34" s="33" t="s">
        <v>1380</v>
      </c>
      <c r="O34" s="37" t="str">
        <f>IFERROR(INDEX(Mapping!$C$2:$C$549,MATCH($A34,Mapping!$A$2:$A$549,0)),"")</f>
        <v/>
      </c>
      <c r="P34" s="37">
        <f>IF($O34="",0,COUNTIFS('JLR Machines'!$A$2:$A$20001,$O34,'JLR Machines'!$C$2:$C$20001,IF(Settings!$B$2="","&lt;&gt;",Settings!$B$2),'JLR Machines'!$D$2:$D$20001,IF(Settings!$B$3="","&lt;&gt;",Settings!$B$3)))</f>
        <v>0</v>
      </c>
      <c r="Q34" s="39">
        <f>IF($P34&lt;&gt;1,0,SUMIFS('JLR Machines'!$G$2:$G$20001,'JLR Machines'!$A$2:$A$20001,$O34,'JLR Machines'!$C$2:$C$20001,IF(Settings!$B$2="","&lt;&gt;",Settings!$B$2),'JLR Machines'!$D$2:$D$20001,IF(Settings!$B$3="","&lt;&gt;",Settings!$B$3)))</f>
        <v>0</v>
      </c>
      <c r="R34" s="39">
        <f>IF($P34&lt;&gt;1,0,SUMIFS('JLR Machines'!$H$2:$H$20001,'JLR Machines'!$A$2:$A$20001,$O34,'JLR Machines'!$C$2:$C$20001,IF(Settings!$B$2="","&lt;&gt;",Settings!$B$2),'JLR Machines'!$D$2:$D$20001,IF(Settings!$B$3="","&lt;&gt;",Settings!$B$3)))</f>
        <v>0</v>
      </c>
      <c r="S34" s="39">
        <f>IF($P34&lt;&gt;1,0,SUMIFS('JLR Machines'!$I$2:$I$20001,'JLR Machines'!$A$2:$A$20001,$O34,'JLR Machines'!$C$2:$C$20001,IF(Settings!$B$2="","&lt;&gt;",Settings!$B$2),'JLR Machines'!$D$2:$D$20001,IF(Settings!$B$3="","&lt;&gt;",Settings!$B$3)))</f>
        <v>0</v>
      </c>
      <c r="T34" s="39">
        <f>IF($P34&lt;&gt;1,0,SUMIFS('JLR Machines'!$J$2:$J$20001,'JLR Machines'!$A$2:$A$20001,$O34,'JLR Machines'!$C$2:$C$20001,IF(Settings!$B$2="","&lt;&gt;",Settings!$B$2),'JLR Machines'!$D$2:$D$20001,IF(Settings!$B$3="","&lt;&gt;",Settings!$B$3)))</f>
        <v>0</v>
      </c>
      <c r="U34" s="39">
        <f>IF($P34&lt;&gt;1,0,SUMIFS('JLR Machines'!$K$2:$K$20001,'JLR Machines'!$A$2:$A$20001,$O34,'JLR Machines'!$C$2:$C$20001,IF(Settings!$B$2="","&lt;&gt;",Settings!$B$2),'JLR Machines'!$D$2:$D$20001,IF(Settings!$B$3="","&lt;&gt;",Settings!$B$3)))</f>
        <v>0</v>
      </c>
      <c r="V34" s="39">
        <f>IF($P34&lt;&gt;1,0,SUMIFS('JLR Machines'!$L$2:$L$20001,'JLR Machines'!$A$2:$A$20001,$O34,'JLR Machines'!$C$2:$C$20001,IF(Settings!$B$2="","&lt;&gt;",Settings!$B$2),'JLR Machines'!$D$2:$D$20001,IF(Settings!$B$3="","&lt;&gt;",Settings!$B$3)))</f>
        <v>0</v>
      </c>
      <c r="W34" s="39">
        <f>IF($P34&lt;&gt;1,0,SUMIFS('JLR Machines'!$M$2:$M$20001,'JLR Machines'!$A$2:$A$20001,$O34,'JLR Machines'!$C$2:$C$20001,IF(Settings!$B$2="","&lt;&gt;",Settings!$B$2),'JLR Machines'!$D$2:$D$20001,IF(Settings!$B$3="","&lt;&gt;",Settings!$B$3)))</f>
        <v>0</v>
      </c>
      <c r="X34" s="39">
        <f>IF($P34&lt;&gt;1,0,SUMIFS('JLR Machines'!$N$2:$N$20001,'JLR Machines'!$A$2:$A$20001,$O34,'JLR Machines'!$C$2:$C$20001,IF(Settings!$B$2="","&lt;&gt;",Settings!$B$2),'JLR Machines'!$D$2:$D$20001,IF(Settings!$B$3="","&lt;&gt;",Settings!$B$3)))</f>
        <v>0</v>
      </c>
      <c r="Y34" s="39">
        <f>$Q34+$R34+$S34+$T34+$U34+$V34+$W34</f>
        <v>0</v>
      </c>
      <c r="Z34" s="38">
        <f>IF($X34&lt;=0,0,ROUND((D34+E34+F34+G34+H34+I34)/2730-$X34,4))</f>
        <v>0</v>
      </c>
      <c r="AA34" s="40" t="s">
        <v>2155</v>
      </c>
      <c r="AB34" s="40" t="s">
        <v>2099</v>
      </c>
    </row>
    <row r="35" spans="1:28" x14ac:dyDescent="0.25">
      <c r="A35" s="32" t="s">
        <v>990</v>
      </c>
      <c r="B35" s="33" t="s">
        <v>2161</v>
      </c>
      <c r="C35" s="33" t="s">
        <v>1379</v>
      </c>
      <c r="D35" s="41">
        <f>IF($X35&gt;0,IF($Y35&gt;0,MAX(0,$Q35+$X35-$Y35)*2730,$X35*2730),116380)</f>
        <v>116380</v>
      </c>
      <c r="E35" s="41">
        <f>IF($X35&gt;0,IF($Y35&gt;0,$S35*2730,0),52498)</f>
        <v>52498</v>
      </c>
      <c r="F35" s="41">
        <f>IF($X35&gt;0,IF($Y35&gt;0,$V35*2730,0),25635)</f>
        <v>25635</v>
      </c>
      <c r="G35" s="41">
        <f>IF($X35&gt;0,IF($Y35&gt;0,$R35*2730,0),22211)</f>
        <v>22211</v>
      </c>
      <c r="H35" s="41">
        <f>IF($X35&gt;0,IF($Y35&gt;0,($T35+$W35)*2730,0),20143)</f>
        <v>20143</v>
      </c>
      <c r="I35" s="41">
        <f>IF($X35&gt;0,IF($Y35&gt;0,$U35*2730,0),14375)</f>
        <v>14375</v>
      </c>
      <c r="J35" s="35">
        <v>3500</v>
      </c>
      <c r="K35" s="42">
        <v>0.78</v>
      </c>
      <c r="L35" s="36" t="str">
        <f>IF($X35&gt;0,IF($P35&lt;&gt;1,$AB35,IFERROR(INDEX('JLR Machines'!$D$2:$D$20001,MATCH($O35,'JLR Machines'!$A$2:$A$20001,0)),$AB35)),$AB35)</f>
        <v>2026-09-29</v>
      </c>
      <c r="M35" s="36" t="str">
        <f>IF($X35&gt;0,IF($Y35&gt;0,"JLR machine "&amp;$O35&amp;" at "&amp;TEXT($X35,"0.00")&amp;" per hr — build-up as supplied","JLR machine "&amp;$O35&amp;" at "&amp;TEXT($X35,"0.00")&amp;" per hr — build-up not supplied"),$AA35)</f>
        <v>UK general press-shop benchmark (large stamping press — deep-draw panels, structural), Jun 2026</v>
      </c>
      <c r="N35" s="33" t="s">
        <v>1380</v>
      </c>
      <c r="O35" s="37" t="str">
        <f>IFERROR(INDEX(Mapping!$C$2:$C$549,MATCH($A35,Mapping!$A$2:$A$549,0)),"")</f>
        <v/>
      </c>
      <c r="P35" s="37">
        <f>IF($O35="",0,COUNTIFS('JLR Machines'!$A$2:$A$20001,$O35,'JLR Machines'!$C$2:$C$20001,IF(Settings!$B$2="","&lt;&gt;",Settings!$B$2),'JLR Machines'!$D$2:$D$20001,IF(Settings!$B$3="","&lt;&gt;",Settings!$B$3)))</f>
        <v>0</v>
      </c>
      <c r="Q35" s="39">
        <f>IF($P35&lt;&gt;1,0,SUMIFS('JLR Machines'!$G$2:$G$20001,'JLR Machines'!$A$2:$A$20001,$O35,'JLR Machines'!$C$2:$C$20001,IF(Settings!$B$2="","&lt;&gt;",Settings!$B$2),'JLR Machines'!$D$2:$D$20001,IF(Settings!$B$3="","&lt;&gt;",Settings!$B$3)))</f>
        <v>0</v>
      </c>
      <c r="R35" s="39">
        <f>IF($P35&lt;&gt;1,0,SUMIFS('JLR Machines'!$H$2:$H$20001,'JLR Machines'!$A$2:$A$20001,$O35,'JLR Machines'!$C$2:$C$20001,IF(Settings!$B$2="","&lt;&gt;",Settings!$B$2),'JLR Machines'!$D$2:$D$20001,IF(Settings!$B$3="","&lt;&gt;",Settings!$B$3)))</f>
        <v>0</v>
      </c>
      <c r="S35" s="39">
        <f>IF($P35&lt;&gt;1,0,SUMIFS('JLR Machines'!$I$2:$I$20001,'JLR Machines'!$A$2:$A$20001,$O35,'JLR Machines'!$C$2:$C$20001,IF(Settings!$B$2="","&lt;&gt;",Settings!$B$2),'JLR Machines'!$D$2:$D$20001,IF(Settings!$B$3="","&lt;&gt;",Settings!$B$3)))</f>
        <v>0</v>
      </c>
      <c r="T35" s="39">
        <f>IF($P35&lt;&gt;1,0,SUMIFS('JLR Machines'!$J$2:$J$20001,'JLR Machines'!$A$2:$A$20001,$O35,'JLR Machines'!$C$2:$C$20001,IF(Settings!$B$2="","&lt;&gt;",Settings!$B$2),'JLR Machines'!$D$2:$D$20001,IF(Settings!$B$3="","&lt;&gt;",Settings!$B$3)))</f>
        <v>0</v>
      </c>
      <c r="U35" s="39">
        <f>IF($P35&lt;&gt;1,0,SUMIFS('JLR Machines'!$K$2:$K$20001,'JLR Machines'!$A$2:$A$20001,$O35,'JLR Machines'!$C$2:$C$20001,IF(Settings!$B$2="","&lt;&gt;",Settings!$B$2),'JLR Machines'!$D$2:$D$20001,IF(Settings!$B$3="","&lt;&gt;",Settings!$B$3)))</f>
        <v>0</v>
      </c>
      <c r="V35" s="39">
        <f>IF($P35&lt;&gt;1,0,SUMIFS('JLR Machines'!$L$2:$L$20001,'JLR Machines'!$A$2:$A$20001,$O35,'JLR Machines'!$C$2:$C$20001,IF(Settings!$B$2="","&lt;&gt;",Settings!$B$2),'JLR Machines'!$D$2:$D$20001,IF(Settings!$B$3="","&lt;&gt;",Settings!$B$3)))</f>
        <v>0</v>
      </c>
      <c r="W35" s="39">
        <f>IF($P35&lt;&gt;1,0,SUMIFS('JLR Machines'!$M$2:$M$20001,'JLR Machines'!$A$2:$A$20001,$O35,'JLR Machines'!$C$2:$C$20001,IF(Settings!$B$2="","&lt;&gt;",Settings!$B$2),'JLR Machines'!$D$2:$D$20001,IF(Settings!$B$3="","&lt;&gt;",Settings!$B$3)))</f>
        <v>0</v>
      </c>
      <c r="X35" s="39">
        <f>IF($P35&lt;&gt;1,0,SUMIFS('JLR Machines'!$N$2:$N$20001,'JLR Machines'!$A$2:$A$20001,$O35,'JLR Machines'!$C$2:$C$20001,IF(Settings!$B$2="","&lt;&gt;",Settings!$B$2),'JLR Machines'!$D$2:$D$20001,IF(Settings!$B$3="","&lt;&gt;",Settings!$B$3)))</f>
        <v>0</v>
      </c>
      <c r="Y35" s="39">
        <f>$Q35+$R35+$S35+$T35+$U35+$V35+$W35</f>
        <v>0</v>
      </c>
      <c r="Z35" s="38">
        <f>IF($X35&lt;=0,0,ROUND((D35+E35+F35+G35+H35+I35)/2730-$X35,4))</f>
        <v>0</v>
      </c>
      <c r="AA35" s="40" t="s">
        <v>2162</v>
      </c>
      <c r="AB35" s="40" t="s">
        <v>2099</v>
      </c>
    </row>
    <row r="36" spans="1:28" x14ac:dyDescent="0.25">
      <c r="A36" s="32" t="s">
        <v>992</v>
      </c>
      <c r="B36" s="33" t="s">
        <v>2163</v>
      </c>
      <c r="C36" s="33" t="s">
        <v>1379</v>
      </c>
      <c r="D36" s="41">
        <f>IF($X36&gt;0,IF($Y36&gt;0,MAX(0,$Q36+$X36-$Y36)*2730,$X36*2730),146740)</f>
        <v>146740</v>
      </c>
      <c r="E36" s="41">
        <f>IF($X36&gt;0,IF($Y36&gt;0,$S36*2730,0),65623)</f>
        <v>65623</v>
      </c>
      <c r="F36" s="41">
        <f>IF($X36&gt;0,IF($Y36&gt;0,$V36*2730,0),31461)</f>
        <v>31461</v>
      </c>
      <c r="G36" s="41">
        <f>IF($X36&gt;0,IF($Y36&gt;0,$R36*2730,0),26250)</f>
        <v>26250</v>
      </c>
      <c r="H36" s="41">
        <f>IF($X36&gt;0,IF($Y36&gt;0,($T36+$W36)*2730,0),24172)</f>
        <v>24172</v>
      </c>
      <c r="I36" s="41">
        <f>IF($X36&gt;0,IF($Y36&gt;0,$U36*2730,0),18125)</f>
        <v>18125</v>
      </c>
      <c r="J36" s="35">
        <v>3500</v>
      </c>
      <c r="K36" s="42">
        <v>0.78</v>
      </c>
      <c r="L36" s="36" t="str">
        <f>IF($X36&gt;0,IF($P36&lt;&gt;1,$AB36,IFERROR(INDEX('JLR Machines'!$D$2:$D$20001,MATCH($O36,'JLR Machines'!$A$2:$A$20001,0)),$AB36)),$AB36)</f>
        <v>2026-09-29</v>
      </c>
      <c r="M36" s="36" t="str">
        <f>IF($X36&gt;0,IF($Y36&gt;0,"JLR machine "&amp;$O36&amp;" at "&amp;TEXT($X36,"0.00")&amp;" per hr — build-up as supplied","JLR machine "&amp;$O36&amp;" at "&amp;TEXT($X36,"0.00")&amp;" per hr — build-up not supplied"),$AA36)</f>
        <v>UK general press-shop benchmark (heavy stamping press — large body/chassis panels), Jun 2026</v>
      </c>
      <c r="N36" s="33" t="s">
        <v>1380</v>
      </c>
      <c r="O36" s="37" t="str">
        <f>IFERROR(INDEX(Mapping!$C$2:$C$549,MATCH($A36,Mapping!$A$2:$A$549,0)),"")</f>
        <v/>
      </c>
      <c r="P36" s="37">
        <f>IF($O36="",0,COUNTIFS('JLR Machines'!$A$2:$A$20001,$O36,'JLR Machines'!$C$2:$C$20001,IF(Settings!$B$2="","&lt;&gt;",Settings!$B$2),'JLR Machines'!$D$2:$D$20001,IF(Settings!$B$3="","&lt;&gt;",Settings!$B$3)))</f>
        <v>0</v>
      </c>
      <c r="Q36" s="39">
        <f>IF($P36&lt;&gt;1,0,SUMIFS('JLR Machines'!$G$2:$G$20001,'JLR Machines'!$A$2:$A$20001,$O36,'JLR Machines'!$C$2:$C$20001,IF(Settings!$B$2="","&lt;&gt;",Settings!$B$2),'JLR Machines'!$D$2:$D$20001,IF(Settings!$B$3="","&lt;&gt;",Settings!$B$3)))</f>
        <v>0</v>
      </c>
      <c r="R36" s="39">
        <f>IF($P36&lt;&gt;1,0,SUMIFS('JLR Machines'!$H$2:$H$20001,'JLR Machines'!$A$2:$A$20001,$O36,'JLR Machines'!$C$2:$C$20001,IF(Settings!$B$2="","&lt;&gt;",Settings!$B$2),'JLR Machines'!$D$2:$D$20001,IF(Settings!$B$3="","&lt;&gt;",Settings!$B$3)))</f>
        <v>0</v>
      </c>
      <c r="S36" s="39">
        <f>IF($P36&lt;&gt;1,0,SUMIFS('JLR Machines'!$I$2:$I$20001,'JLR Machines'!$A$2:$A$20001,$O36,'JLR Machines'!$C$2:$C$20001,IF(Settings!$B$2="","&lt;&gt;",Settings!$B$2),'JLR Machines'!$D$2:$D$20001,IF(Settings!$B$3="","&lt;&gt;",Settings!$B$3)))</f>
        <v>0</v>
      </c>
      <c r="T36" s="39">
        <f>IF($P36&lt;&gt;1,0,SUMIFS('JLR Machines'!$J$2:$J$20001,'JLR Machines'!$A$2:$A$20001,$O36,'JLR Machines'!$C$2:$C$20001,IF(Settings!$B$2="","&lt;&gt;",Settings!$B$2),'JLR Machines'!$D$2:$D$20001,IF(Settings!$B$3="","&lt;&gt;",Settings!$B$3)))</f>
        <v>0</v>
      </c>
      <c r="U36" s="39">
        <f>IF($P36&lt;&gt;1,0,SUMIFS('JLR Machines'!$K$2:$K$20001,'JLR Machines'!$A$2:$A$20001,$O36,'JLR Machines'!$C$2:$C$20001,IF(Settings!$B$2="","&lt;&gt;",Settings!$B$2),'JLR Machines'!$D$2:$D$20001,IF(Settings!$B$3="","&lt;&gt;",Settings!$B$3)))</f>
        <v>0</v>
      </c>
      <c r="V36" s="39">
        <f>IF($P36&lt;&gt;1,0,SUMIFS('JLR Machines'!$L$2:$L$20001,'JLR Machines'!$A$2:$A$20001,$O36,'JLR Machines'!$C$2:$C$20001,IF(Settings!$B$2="","&lt;&gt;",Settings!$B$2),'JLR Machines'!$D$2:$D$20001,IF(Settings!$B$3="","&lt;&gt;",Settings!$B$3)))</f>
        <v>0</v>
      </c>
      <c r="W36" s="39">
        <f>IF($P36&lt;&gt;1,0,SUMIFS('JLR Machines'!$M$2:$M$20001,'JLR Machines'!$A$2:$A$20001,$O36,'JLR Machines'!$C$2:$C$20001,IF(Settings!$B$2="","&lt;&gt;",Settings!$B$2),'JLR Machines'!$D$2:$D$20001,IF(Settings!$B$3="","&lt;&gt;",Settings!$B$3)))</f>
        <v>0</v>
      </c>
      <c r="X36" s="39">
        <f>IF($P36&lt;&gt;1,0,SUMIFS('JLR Machines'!$N$2:$N$20001,'JLR Machines'!$A$2:$A$20001,$O36,'JLR Machines'!$C$2:$C$20001,IF(Settings!$B$2="","&lt;&gt;",Settings!$B$2),'JLR Machines'!$D$2:$D$20001,IF(Settings!$B$3="","&lt;&gt;",Settings!$B$3)))</f>
        <v>0</v>
      </c>
      <c r="Y36" s="39">
        <f>$Q36+$R36+$S36+$T36+$U36+$V36+$W36</f>
        <v>0</v>
      </c>
      <c r="Z36" s="38">
        <f>IF($X36&lt;=0,0,ROUND((D36+E36+F36+G36+H36+I36)/2730-$X36,4))</f>
        <v>0</v>
      </c>
      <c r="AA36" s="40" t="s">
        <v>2164</v>
      </c>
      <c r="AB36" s="40" t="s">
        <v>2099</v>
      </c>
    </row>
    <row r="37" spans="1:28" x14ac:dyDescent="0.25">
      <c r="A37" s="32" t="s">
        <v>994</v>
      </c>
      <c r="B37" s="33" t="s">
        <v>2165</v>
      </c>
      <c r="C37" s="33" t="s">
        <v>1379</v>
      </c>
      <c r="D37" s="41">
        <f>IF($X37&gt;0,IF($Y37&gt;0,MAX(0,$Q37+$X37-$Y37)*2800,$X37*2800),60720)</f>
        <v>60720</v>
      </c>
      <c r="E37" s="41">
        <f>IF($X37&gt;0,IF($Y37&gt;0,$S37*2800,0),28268)</f>
        <v>28268</v>
      </c>
      <c r="F37" s="41">
        <f>IF($X37&gt;0,IF($Y37&gt;0,$V37*2800,0),13983)</f>
        <v>13983</v>
      </c>
      <c r="G37" s="41">
        <f>IF($X37&gt;0,IF($Y37&gt;0,$R37*2800,0),12115)</f>
        <v>12115</v>
      </c>
      <c r="H37" s="41">
        <f>IF($X37&gt;0,IF($Y37&gt;0,($T37+$W37)*2800,0),11079)</f>
        <v>11079</v>
      </c>
      <c r="I37" s="41">
        <f>IF($X37&gt;0,IF($Y37&gt;0,$U37*2800,0),7500)</f>
        <v>7500</v>
      </c>
      <c r="J37" s="35">
        <v>3500</v>
      </c>
      <c r="K37" s="42">
        <v>0.8</v>
      </c>
      <c r="L37" s="36" t="str">
        <f>IF($X37&gt;0,IF($P37&lt;&gt;1,$AB37,IFERROR(INDEX('JLR Machines'!$D$2:$D$20001,MATCH($O37,'JLR Machines'!$A$2:$A$20001,0)),$AB37)),$AB37)</f>
        <v>2026-09-29</v>
      </c>
      <c r="M37" s="36" t="str">
        <f>IF($X37&gt;0,IF($Y37&gt;0,"JLR machine "&amp;$O37&amp;" at "&amp;TEXT($X37,"0.00")&amp;" per hr — build-up as supplied","JLR machine "&amp;$O37&amp;" at "&amp;TEXT($X37,"0.00")&amp;" per hr — build-up not supplied"),$AA37)</f>
        <v>UK fine-blanking benchmark. Triple-action FB press — full-shear precision edges (gears, levers, seat recliners). Jun 2026</v>
      </c>
      <c r="N37" s="33" t="s">
        <v>1380</v>
      </c>
      <c r="O37" s="37" t="str">
        <f>IFERROR(INDEX(Mapping!$C$2:$C$549,MATCH($A37,Mapping!$A$2:$A$549,0)),"")</f>
        <v/>
      </c>
      <c r="P37" s="37">
        <f>IF($O37="",0,COUNTIFS('JLR Machines'!$A$2:$A$20001,$O37,'JLR Machines'!$C$2:$C$20001,IF(Settings!$B$2="","&lt;&gt;",Settings!$B$2),'JLR Machines'!$D$2:$D$20001,IF(Settings!$B$3="","&lt;&gt;",Settings!$B$3)))</f>
        <v>0</v>
      </c>
      <c r="Q37" s="39">
        <f>IF($P37&lt;&gt;1,0,SUMIFS('JLR Machines'!$G$2:$G$20001,'JLR Machines'!$A$2:$A$20001,$O37,'JLR Machines'!$C$2:$C$20001,IF(Settings!$B$2="","&lt;&gt;",Settings!$B$2),'JLR Machines'!$D$2:$D$20001,IF(Settings!$B$3="","&lt;&gt;",Settings!$B$3)))</f>
        <v>0</v>
      </c>
      <c r="R37" s="39">
        <f>IF($P37&lt;&gt;1,0,SUMIFS('JLR Machines'!$H$2:$H$20001,'JLR Machines'!$A$2:$A$20001,$O37,'JLR Machines'!$C$2:$C$20001,IF(Settings!$B$2="","&lt;&gt;",Settings!$B$2),'JLR Machines'!$D$2:$D$20001,IF(Settings!$B$3="","&lt;&gt;",Settings!$B$3)))</f>
        <v>0</v>
      </c>
      <c r="S37" s="39">
        <f>IF($P37&lt;&gt;1,0,SUMIFS('JLR Machines'!$I$2:$I$20001,'JLR Machines'!$A$2:$A$20001,$O37,'JLR Machines'!$C$2:$C$20001,IF(Settings!$B$2="","&lt;&gt;",Settings!$B$2),'JLR Machines'!$D$2:$D$20001,IF(Settings!$B$3="","&lt;&gt;",Settings!$B$3)))</f>
        <v>0</v>
      </c>
      <c r="T37" s="39">
        <f>IF($P37&lt;&gt;1,0,SUMIFS('JLR Machines'!$J$2:$J$20001,'JLR Machines'!$A$2:$A$20001,$O37,'JLR Machines'!$C$2:$C$20001,IF(Settings!$B$2="","&lt;&gt;",Settings!$B$2),'JLR Machines'!$D$2:$D$20001,IF(Settings!$B$3="","&lt;&gt;",Settings!$B$3)))</f>
        <v>0</v>
      </c>
      <c r="U37" s="39">
        <f>IF($P37&lt;&gt;1,0,SUMIFS('JLR Machines'!$K$2:$K$20001,'JLR Machines'!$A$2:$A$20001,$O37,'JLR Machines'!$C$2:$C$20001,IF(Settings!$B$2="","&lt;&gt;",Settings!$B$2),'JLR Machines'!$D$2:$D$20001,IF(Settings!$B$3="","&lt;&gt;",Settings!$B$3)))</f>
        <v>0</v>
      </c>
      <c r="V37" s="39">
        <f>IF($P37&lt;&gt;1,0,SUMIFS('JLR Machines'!$L$2:$L$20001,'JLR Machines'!$A$2:$A$20001,$O37,'JLR Machines'!$C$2:$C$20001,IF(Settings!$B$2="","&lt;&gt;",Settings!$B$2),'JLR Machines'!$D$2:$D$20001,IF(Settings!$B$3="","&lt;&gt;",Settings!$B$3)))</f>
        <v>0</v>
      </c>
      <c r="W37" s="39">
        <f>IF($P37&lt;&gt;1,0,SUMIFS('JLR Machines'!$M$2:$M$20001,'JLR Machines'!$A$2:$A$20001,$O37,'JLR Machines'!$C$2:$C$20001,IF(Settings!$B$2="","&lt;&gt;",Settings!$B$2),'JLR Machines'!$D$2:$D$20001,IF(Settings!$B$3="","&lt;&gt;",Settings!$B$3)))</f>
        <v>0</v>
      </c>
      <c r="X37" s="39">
        <f>IF($P37&lt;&gt;1,0,SUMIFS('JLR Machines'!$N$2:$N$20001,'JLR Machines'!$A$2:$A$20001,$O37,'JLR Machines'!$C$2:$C$20001,IF(Settings!$B$2="","&lt;&gt;",Settings!$B$2),'JLR Machines'!$D$2:$D$20001,IF(Settings!$B$3="","&lt;&gt;",Settings!$B$3)))</f>
        <v>0</v>
      </c>
      <c r="Y37" s="39">
        <f>$Q37+$R37+$S37+$T37+$U37+$V37+$W37</f>
        <v>0</v>
      </c>
      <c r="Z37" s="38">
        <f>IF($X37&lt;=0,0,ROUND((D37+E37+F37+G37+H37+I37)/2800-$X37,4))</f>
        <v>0</v>
      </c>
      <c r="AA37" s="40" t="s">
        <v>2166</v>
      </c>
      <c r="AB37" s="40" t="s">
        <v>2099</v>
      </c>
    </row>
    <row r="38" spans="1:28" x14ac:dyDescent="0.25">
      <c r="A38" s="32" t="s">
        <v>996</v>
      </c>
      <c r="B38" s="33" t="s">
        <v>2167</v>
      </c>
      <c r="C38" s="33" t="s">
        <v>1379</v>
      </c>
      <c r="D38" s="41">
        <f>IF($X38&gt;0,IF($Y38&gt;0,MAX(0,$Q38+$X38-$Y38)*2625,$X38*2625),182160)</f>
        <v>182160</v>
      </c>
      <c r="E38" s="41">
        <f>IF($X38&gt;0,IF($Y38&gt;0,$S38*2625,0),80767)</f>
        <v>80767</v>
      </c>
      <c r="F38" s="41">
        <f>IF($X38&gt;0,IF($Y38&gt;0,$V38*2625,0),34957)</f>
        <v>34957</v>
      </c>
      <c r="G38" s="41">
        <f>IF($X38&gt;0,IF($Y38&gt;0,$R38*2625,0),25240)</f>
        <v>25240</v>
      </c>
      <c r="H38" s="41">
        <f>IF($X38&gt;0,IF($Y38&gt;0,($T38+$W38)*2625,0),24172)</f>
        <v>24172</v>
      </c>
      <c r="I38" s="41">
        <f>IF($X38&gt;0,IF($Y38&gt;0,$U38*2625,0),22500)</f>
        <v>22500</v>
      </c>
      <c r="J38" s="35">
        <v>3500</v>
      </c>
      <c r="K38" s="42">
        <v>0.75</v>
      </c>
      <c r="L38" s="36" t="str">
        <f>IF($X38&gt;0,IF($P38&lt;&gt;1,$AB38,IFERROR(INDEX('JLR Machines'!$D$2:$D$20001,MATCH($O38,'JLR Machines'!$A$2:$A$20001,0)),$AB38)),$AB38)</f>
        <v>2026-09-29</v>
      </c>
      <c r="M38" s="36" t="str">
        <f>IF($X38&gt;0,IF($Y38&gt;0,"JLR machine "&amp;$O38&amp;" at "&amp;TEXT($X38,"0.00")&amp;" per hr — build-up as supplied","JLR machine "&amp;$O38&amp;" at "&amp;TEXT($X38,"0.00")&amp;" per hr — build-up not supplied"),$AA38)</f>
        <v>UK hot-stamping line press. Forms + quenches austenitised boron blanks in water-cooled dies (B-pillar, rocker). Quench-dwell limited. Jun 2026</v>
      </c>
      <c r="N38" s="33" t="s">
        <v>1380</v>
      </c>
      <c r="O38" s="37" t="str">
        <f>IFERROR(INDEX(Mapping!$C$2:$C$549,MATCH($A38,Mapping!$A$2:$A$549,0)),"")</f>
        <v/>
      </c>
      <c r="P38" s="37">
        <f>IF($O38="",0,COUNTIFS('JLR Machines'!$A$2:$A$20001,$O38,'JLR Machines'!$C$2:$C$20001,IF(Settings!$B$2="","&lt;&gt;",Settings!$B$2),'JLR Machines'!$D$2:$D$20001,IF(Settings!$B$3="","&lt;&gt;",Settings!$B$3)))</f>
        <v>0</v>
      </c>
      <c r="Q38" s="39">
        <f>IF($P38&lt;&gt;1,0,SUMIFS('JLR Machines'!$G$2:$G$20001,'JLR Machines'!$A$2:$A$20001,$O38,'JLR Machines'!$C$2:$C$20001,IF(Settings!$B$2="","&lt;&gt;",Settings!$B$2),'JLR Machines'!$D$2:$D$20001,IF(Settings!$B$3="","&lt;&gt;",Settings!$B$3)))</f>
        <v>0</v>
      </c>
      <c r="R38" s="39">
        <f>IF($P38&lt;&gt;1,0,SUMIFS('JLR Machines'!$H$2:$H$20001,'JLR Machines'!$A$2:$A$20001,$O38,'JLR Machines'!$C$2:$C$20001,IF(Settings!$B$2="","&lt;&gt;",Settings!$B$2),'JLR Machines'!$D$2:$D$20001,IF(Settings!$B$3="","&lt;&gt;",Settings!$B$3)))</f>
        <v>0</v>
      </c>
      <c r="S38" s="39">
        <f>IF($P38&lt;&gt;1,0,SUMIFS('JLR Machines'!$I$2:$I$20001,'JLR Machines'!$A$2:$A$20001,$O38,'JLR Machines'!$C$2:$C$20001,IF(Settings!$B$2="","&lt;&gt;",Settings!$B$2),'JLR Machines'!$D$2:$D$20001,IF(Settings!$B$3="","&lt;&gt;",Settings!$B$3)))</f>
        <v>0</v>
      </c>
      <c r="T38" s="39">
        <f>IF($P38&lt;&gt;1,0,SUMIFS('JLR Machines'!$J$2:$J$20001,'JLR Machines'!$A$2:$A$20001,$O38,'JLR Machines'!$C$2:$C$20001,IF(Settings!$B$2="","&lt;&gt;",Settings!$B$2),'JLR Machines'!$D$2:$D$20001,IF(Settings!$B$3="","&lt;&gt;",Settings!$B$3)))</f>
        <v>0</v>
      </c>
      <c r="U38" s="39">
        <f>IF($P38&lt;&gt;1,0,SUMIFS('JLR Machines'!$K$2:$K$20001,'JLR Machines'!$A$2:$A$20001,$O38,'JLR Machines'!$C$2:$C$20001,IF(Settings!$B$2="","&lt;&gt;",Settings!$B$2),'JLR Machines'!$D$2:$D$20001,IF(Settings!$B$3="","&lt;&gt;",Settings!$B$3)))</f>
        <v>0</v>
      </c>
      <c r="V38" s="39">
        <f>IF($P38&lt;&gt;1,0,SUMIFS('JLR Machines'!$L$2:$L$20001,'JLR Machines'!$A$2:$A$20001,$O38,'JLR Machines'!$C$2:$C$20001,IF(Settings!$B$2="","&lt;&gt;",Settings!$B$2),'JLR Machines'!$D$2:$D$20001,IF(Settings!$B$3="","&lt;&gt;",Settings!$B$3)))</f>
        <v>0</v>
      </c>
      <c r="W38" s="39">
        <f>IF($P38&lt;&gt;1,0,SUMIFS('JLR Machines'!$M$2:$M$20001,'JLR Machines'!$A$2:$A$20001,$O38,'JLR Machines'!$C$2:$C$20001,IF(Settings!$B$2="","&lt;&gt;",Settings!$B$2),'JLR Machines'!$D$2:$D$20001,IF(Settings!$B$3="","&lt;&gt;",Settings!$B$3)))</f>
        <v>0</v>
      </c>
      <c r="X38" s="39">
        <f>IF($P38&lt;&gt;1,0,SUMIFS('JLR Machines'!$N$2:$N$20001,'JLR Machines'!$A$2:$A$20001,$O38,'JLR Machines'!$C$2:$C$20001,IF(Settings!$B$2="","&lt;&gt;",Settings!$B$2),'JLR Machines'!$D$2:$D$20001,IF(Settings!$B$3="","&lt;&gt;",Settings!$B$3)))</f>
        <v>0</v>
      </c>
      <c r="Y38" s="39">
        <f>$Q38+$R38+$S38+$T38+$U38+$V38+$W38</f>
        <v>0</v>
      </c>
      <c r="Z38" s="38">
        <f>IF($X38&lt;=0,0,ROUND((D38+E38+F38+G38+H38+I38)/2625-$X38,4))</f>
        <v>0</v>
      </c>
      <c r="AA38" s="40" t="s">
        <v>2168</v>
      </c>
      <c r="AB38" s="40" t="s">
        <v>2099</v>
      </c>
    </row>
    <row r="39" spans="1:28" x14ac:dyDescent="0.25">
      <c r="A39" s="32" t="s">
        <v>998</v>
      </c>
      <c r="B39" s="33" t="s">
        <v>2169</v>
      </c>
      <c r="C39" s="33" t="s">
        <v>1379</v>
      </c>
      <c r="D39" s="41">
        <f>IF($X39&gt;0,IF($Y39&gt;0,MAX(0,$Q39+$X39-$Y39)*4800,$X39*4800),91080)</f>
        <v>91080</v>
      </c>
      <c r="E39" s="41">
        <f>IF($X39&gt;0,IF($Y39&gt;0,$S39*4800,0),40383)</f>
        <v>40383</v>
      </c>
      <c r="F39" s="41">
        <f>IF($X39&gt;0,IF($Y39&gt;0,$V39*4800,0),58261)</f>
        <v>58261</v>
      </c>
      <c r="G39" s="41">
        <f>IF($X39&gt;0,IF($Y39&gt;0,$R39*4800,0),40384)</f>
        <v>40384</v>
      </c>
      <c r="H39" s="41">
        <f>IF($X39&gt;0,IF($Y39&gt;0,($T39+$W39)*4800,0),20143)</f>
        <v>20143</v>
      </c>
      <c r="I39" s="41">
        <f>IF($X39&gt;0,IF($Y39&gt;0,$U39*4800,0),11250)</f>
        <v>11250</v>
      </c>
      <c r="J39" s="35">
        <v>6000</v>
      </c>
      <c r="K39" s="42">
        <v>0.8</v>
      </c>
      <c r="L39" s="36" t="str">
        <f>IF($X39&gt;0,IF($P39&lt;&gt;1,$AB39,IFERROR(INDEX('JLR Machines'!$D$2:$D$20001,MATCH($O39,'JLR Machines'!$A$2:$A$20001,0)),$AB39)),$AB39)</f>
        <v>2026-09-29</v>
      </c>
      <c r="M39" s="36" t="str">
        <f>IF($X39&gt;0,IF($Y39&gt;0,"JLR machine "&amp;$O39&amp;" at "&amp;TEXT($X39,"0.00")&amp;" per hr — build-up as supplied","JLR machine "&amp;$O39&amp;" at "&amp;TEXT($X39,"0.00")&amp;" per hr — build-up not supplied"),$AA39)</f>
        <v>UK hot-stamping furnace. ~900–950°C austenitising roller hearth. Capital/standby only — per-part austenitising heat is a separate energy consumable. Jun 2026</v>
      </c>
      <c r="N39" s="33" t="s">
        <v>1380</v>
      </c>
      <c r="O39" s="37" t="str">
        <f>IFERROR(INDEX(Mapping!$C$2:$C$549,MATCH($A39,Mapping!$A$2:$A$549,0)),"")</f>
        <v/>
      </c>
      <c r="P39" s="37">
        <f>IF($O39="",0,COUNTIFS('JLR Machines'!$A$2:$A$20001,$O39,'JLR Machines'!$C$2:$C$20001,IF(Settings!$B$2="","&lt;&gt;",Settings!$B$2),'JLR Machines'!$D$2:$D$20001,IF(Settings!$B$3="","&lt;&gt;",Settings!$B$3)))</f>
        <v>0</v>
      </c>
      <c r="Q39" s="39">
        <f>IF($P39&lt;&gt;1,0,SUMIFS('JLR Machines'!$G$2:$G$20001,'JLR Machines'!$A$2:$A$20001,$O39,'JLR Machines'!$C$2:$C$20001,IF(Settings!$B$2="","&lt;&gt;",Settings!$B$2),'JLR Machines'!$D$2:$D$20001,IF(Settings!$B$3="","&lt;&gt;",Settings!$B$3)))</f>
        <v>0</v>
      </c>
      <c r="R39" s="39">
        <f>IF($P39&lt;&gt;1,0,SUMIFS('JLR Machines'!$H$2:$H$20001,'JLR Machines'!$A$2:$A$20001,$O39,'JLR Machines'!$C$2:$C$20001,IF(Settings!$B$2="","&lt;&gt;",Settings!$B$2),'JLR Machines'!$D$2:$D$20001,IF(Settings!$B$3="","&lt;&gt;",Settings!$B$3)))</f>
        <v>0</v>
      </c>
      <c r="S39" s="39">
        <f>IF($P39&lt;&gt;1,0,SUMIFS('JLR Machines'!$I$2:$I$20001,'JLR Machines'!$A$2:$A$20001,$O39,'JLR Machines'!$C$2:$C$20001,IF(Settings!$B$2="","&lt;&gt;",Settings!$B$2),'JLR Machines'!$D$2:$D$20001,IF(Settings!$B$3="","&lt;&gt;",Settings!$B$3)))</f>
        <v>0</v>
      </c>
      <c r="T39" s="39">
        <f>IF($P39&lt;&gt;1,0,SUMIFS('JLR Machines'!$J$2:$J$20001,'JLR Machines'!$A$2:$A$20001,$O39,'JLR Machines'!$C$2:$C$20001,IF(Settings!$B$2="","&lt;&gt;",Settings!$B$2),'JLR Machines'!$D$2:$D$20001,IF(Settings!$B$3="","&lt;&gt;",Settings!$B$3)))</f>
        <v>0</v>
      </c>
      <c r="U39" s="39">
        <f>IF($P39&lt;&gt;1,0,SUMIFS('JLR Machines'!$K$2:$K$20001,'JLR Machines'!$A$2:$A$20001,$O39,'JLR Machines'!$C$2:$C$20001,IF(Settings!$B$2="","&lt;&gt;",Settings!$B$2),'JLR Machines'!$D$2:$D$20001,IF(Settings!$B$3="","&lt;&gt;",Settings!$B$3)))</f>
        <v>0</v>
      </c>
      <c r="V39" s="39">
        <f>IF($P39&lt;&gt;1,0,SUMIFS('JLR Machines'!$L$2:$L$20001,'JLR Machines'!$A$2:$A$20001,$O39,'JLR Machines'!$C$2:$C$20001,IF(Settings!$B$2="","&lt;&gt;",Settings!$B$2),'JLR Machines'!$D$2:$D$20001,IF(Settings!$B$3="","&lt;&gt;",Settings!$B$3)))</f>
        <v>0</v>
      </c>
      <c r="W39" s="39">
        <f>IF($P39&lt;&gt;1,0,SUMIFS('JLR Machines'!$M$2:$M$20001,'JLR Machines'!$A$2:$A$20001,$O39,'JLR Machines'!$C$2:$C$20001,IF(Settings!$B$2="","&lt;&gt;",Settings!$B$2),'JLR Machines'!$D$2:$D$20001,IF(Settings!$B$3="","&lt;&gt;",Settings!$B$3)))</f>
        <v>0</v>
      </c>
      <c r="X39" s="39">
        <f>IF($P39&lt;&gt;1,0,SUMIFS('JLR Machines'!$N$2:$N$20001,'JLR Machines'!$A$2:$A$20001,$O39,'JLR Machines'!$C$2:$C$20001,IF(Settings!$B$2="","&lt;&gt;",Settings!$B$2),'JLR Machines'!$D$2:$D$20001,IF(Settings!$B$3="","&lt;&gt;",Settings!$B$3)))</f>
        <v>0</v>
      </c>
      <c r="Y39" s="39">
        <f>$Q39+$R39+$S39+$T39+$U39+$V39+$W39</f>
        <v>0</v>
      </c>
      <c r="Z39" s="38">
        <f>IF($X39&lt;=0,0,ROUND((D39+E39+F39+G39+H39+I39)/4800-$X39,4))</f>
        <v>0</v>
      </c>
      <c r="AA39" s="40" t="s">
        <v>2170</v>
      </c>
      <c r="AB39" s="40" t="s">
        <v>2099</v>
      </c>
    </row>
    <row r="40" spans="1:28" x14ac:dyDescent="0.25">
      <c r="A40" s="32" t="s">
        <v>1000</v>
      </c>
      <c r="B40" s="33" t="s">
        <v>2171</v>
      </c>
      <c r="C40" s="33" t="s">
        <v>1379</v>
      </c>
      <c r="D40" s="41">
        <f>IF($X40&gt;0,IF($Y40&gt;0,MAX(0,$Q40+$X40-$Y40)*3000,$X40*3000),40480)</f>
        <v>40480</v>
      </c>
      <c r="E40" s="41">
        <f>IF($X40&gt;0,IF($Y40&gt;0,$S40*3000,0),18173)</f>
        <v>18173</v>
      </c>
      <c r="F40" s="41">
        <f>IF($X40&gt;0,IF($Y40&gt;0,$V40*3000,0),11652)</f>
        <v>11652</v>
      </c>
      <c r="G40" s="41">
        <f>IF($X40&gt;0,IF($Y40&gt;0,$R40*3000,0),10096)</f>
        <v>10096</v>
      </c>
      <c r="H40" s="41">
        <f>IF($X40&gt;0,IF($Y40&gt;0,($T40+$W40)*3000,0),9065)</f>
        <v>9065</v>
      </c>
      <c r="I40" s="41">
        <f>IF($X40&gt;0,IF($Y40&gt;0,$U40*3000,0),5000)</f>
        <v>5000</v>
      </c>
      <c r="J40" s="35">
        <v>4000</v>
      </c>
      <c r="K40" s="42">
        <v>0.75</v>
      </c>
      <c r="L40" s="36" t="str">
        <f>IF($X40&gt;0,IF($P40&lt;&gt;1,$AB40,IFERROR(INDEX('JLR Machines'!$D$2:$D$20001,MATCH($O40,'JLR Machines'!$A$2:$A$20001,0)),$AB40)),$AB40)</f>
        <v>2026-09-29</v>
      </c>
      <c r="M40" s="36" t="str">
        <f>IF($X40&gt;0,IF($Y40&gt;0,"JLR machine "&amp;$O40&amp;" at "&amp;TEXT($X40,"0.00")&amp;" per hr — build-up as supplied","JLR machine "&amp;$O40&amp;" at "&amp;TEXT($X40,"0.00")&amp;" per hr — build-up not supplied"),$AA40)</f>
        <v>UK electrical-steel benchmark. Single-slot rotary notching for prototype / low-volume stator &amp; rotor laminations (no hard progressive die). Jun 2026</v>
      </c>
      <c r="N40" s="33" t="s">
        <v>1380</v>
      </c>
      <c r="O40" s="37" t="str">
        <f>IFERROR(INDEX(Mapping!$C$2:$C$549,MATCH($A40,Mapping!$A$2:$A$549,0)),"")</f>
        <v/>
      </c>
      <c r="P40" s="37">
        <f>IF($O40="",0,COUNTIFS('JLR Machines'!$A$2:$A$20001,$O40,'JLR Machines'!$C$2:$C$20001,IF(Settings!$B$2="","&lt;&gt;",Settings!$B$2),'JLR Machines'!$D$2:$D$20001,IF(Settings!$B$3="","&lt;&gt;",Settings!$B$3)))</f>
        <v>0</v>
      </c>
      <c r="Q40" s="39">
        <f>IF($P40&lt;&gt;1,0,SUMIFS('JLR Machines'!$G$2:$G$20001,'JLR Machines'!$A$2:$A$20001,$O40,'JLR Machines'!$C$2:$C$20001,IF(Settings!$B$2="","&lt;&gt;",Settings!$B$2),'JLR Machines'!$D$2:$D$20001,IF(Settings!$B$3="","&lt;&gt;",Settings!$B$3)))</f>
        <v>0</v>
      </c>
      <c r="R40" s="39">
        <f>IF($P40&lt;&gt;1,0,SUMIFS('JLR Machines'!$H$2:$H$20001,'JLR Machines'!$A$2:$A$20001,$O40,'JLR Machines'!$C$2:$C$20001,IF(Settings!$B$2="","&lt;&gt;",Settings!$B$2),'JLR Machines'!$D$2:$D$20001,IF(Settings!$B$3="","&lt;&gt;",Settings!$B$3)))</f>
        <v>0</v>
      </c>
      <c r="S40" s="39">
        <f>IF($P40&lt;&gt;1,0,SUMIFS('JLR Machines'!$I$2:$I$20001,'JLR Machines'!$A$2:$A$20001,$O40,'JLR Machines'!$C$2:$C$20001,IF(Settings!$B$2="","&lt;&gt;",Settings!$B$2),'JLR Machines'!$D$2:$D$20001,IF(Settings!$B$3="","&lt;&gt;",Settings!$B$3)))</f>
        <v>0</v>
      </c>
      <c r="T40" s="39">
        <f>IF($P40&lt;&gt;1,0,SUMIFS('JLR Machines'!$J$2:$J$20001,'JLR Machines'!$A$2:$A$20001,$O40,'JLR Machines'!$C$2:$C$20001,IF(Settings!$B$2="","&lt;&gt;",Settings!$B$2),'JLR Machines'!$D$2:$D$20001,IF(Settings!$B$3="","&lt;&gt;",Settings!$B$3)))</f>
        <v>0</v>
      </c>
      <c r="U40" s="39">
        <f>IF($P40&lt;&gt;1,0,SUMIFS('JLR Machines'!$K$2:$K$20001,'JLR Machines'!$A$2:$A$20001,$O40,'JLR Machines'!$C$2:$C$20001,IF(Settings!$B$2="","&lt;&gt;",Settings!$B$2),'JLR Machines'!$D$2:$D$20001,IF(Settings!$B$3="","&lt;&gt;",Settings!$B$3)))</f>
        <v>0</v>
      </c>
      <c r="V40" s="39">
        <f>IF($P40&lt;&gt;1,0,SUMIFS('JLR Machines'!$L$2:$L$20001,'JLR Machines'!$A$2:$A$20001,$O40,'JLR Machines'!$C$2:$C$20001,IF(Settings!$B$2="","&lt;&gt;",Settings!$B$2),'JLR Machines'!$D$2:$D$20001,IF(Settings!$B$3="","&lt;&gt;",Settings!$B$3)))</f>
        <v>0</v>
      </c>
      <c r="W40" s="39">
        <f>IF($P40&lt;&gt;1,0,SUMIFS('JLR Machines'!$M$2:$M$20001,'JLR Machines'!$A$2:$A$20001,$O40,'JLR Machines'!$C$2:$C$20001,IF(Settings!$B$2="","&lt;&gt;",Settings!$B$2),'JLR Machines'!$D$2:$D$20001,IF(Settings!$B$3="","&lt;&gt;",Settings!$B$3)))</f>
        <v>0</v>
      </c>
      <c r="X40" s="39">
        <f>IF($P40&lt;&gt;1,0,SUMIFS('JLR Machines'!$N$2:$N$20001,'JLR Machines'!$A$2:$A$20001,$O40,'JLR Machines'!$C$2:$C$20001,IF(Settings!$B$2="","&lt;&gt;",Settings!$B$2),'JLR Machines'!$D$2:$D$20001,IF(Settings!$B$3="","&lt;&gt;",Settings!$B$3)))</f>
        <v>0</v>
      </c>
      <c r="Y40" s="39">
        <f>$Q40+$R40+$S40+$T40+$U40+$V40+$W40</f>
        <v>0</v>
      </c>
      <c r="Z40" s="38">
        <f>IF($X40&lt;=0,0,ROUND((D40+E40+F40+G40+H40+I40)/3000-$X40,4))</f>
        <v>0</v>
      </c>
      <c r="AA40" s="40" t="s">
        <v>2172</v>
      </c>
      <c r="AB40" s="40" t="s">
        <v>2099</v>
      </c>
    </row>
    <row r="41" spans="1:28" x14ac:dyDescent="0.25">
      <c r="A41" s="32" t="s">
        <v>1002</v>
      </c>
      <c r="B41" s="33" t="s">
        <v>2173</v>
      </c>
      <c r="C41" s="33" t="s">
        <v>1379</v>
      </c>
      <c r="D41" s="41">
        <f>IF($X41&gt;0,IF($Y41&gt;0,MAX(0,$Q41+$X41-$Y41)*4800,$X41*4800),70840)</f>
        <v>70840</v>
      </c>
      <c r="E41" s="41">
        <f>IF($X41&gt;0,IF($Y41&gt;0,$S41*4800,0),30288)</f>
        <v>30288</v>
      </c>
      <c r="F41" s="41">
        <f>IF($X41&gt;0,IF($Y41&gt;0,$V41*4800,0),46609)</f>
        <v>46609</v>
      </c>
      <c r="G41" s="41">
        <f>IF($X41&gt;0,IF($Y41&gt;0,$R41*4800,0),20192)</f>
        <v>20192</v>
      </c>
      <c r="H41" s="41">
        <f>IF($X41&gt;0,IF($Y41&gt;0,($T41+$W41)*4800,0),15108)</f>
        <v>15108</v>
      </c>
      <c r="I41" s="41">
        <f>IF($X41&gt;0,IF($Y41&gt;0,$U41*4800,0),8750)</f>
        <v>8750</v>
      </c>
      <c r="J41" s="35">
        <v>6000</v>
      </c>
      <c r="K41" s="42">
        <v>0.8</v>
      </c>
      <c r="L41" s="36" t="str">
        <f>IF($X41&gt;0,IF($P41&lt;&gt;1,$AB41,IFERROR(INDEX('JLR Machines'!$D$2:$D$20001,MATCH($O41,'JLR Machines'!$A$2:$A$20001,0)),$AB41)),$AB41)</f>
        <v>2026-09-29</v>
      </c>
      <c r="M41" s="36" t="str">
        <f>IF($X41&gt;0,IF($Y41&gt;0,"JLR machine "&amp;$O41&amp;" at "&amp;TEXT($X41,"0.00")&amp;" per hr — build-up as supplied","JLR machine "&amp;$O41&amp;" at "&amp;TEXT($X41,"0.00")&amp;" per hr — build-up not supplied"),$AA41)</f>
        <v>UK electrical-steel benchmark. ~750–850°C continuous N₂/H₂ stress-relief/decarb anneal to restore core loss after blanking. Per-part heat is a separate energy consumable. Jun 2026</v>
      </c>
      <c r="N41" s="33" t="s">
        <v>1380</v>
      </c>
      <c r="O41" s="37" t="str">
        <f>IFERROR(INDEX(Mapping!$C$2:$C$549,MATCH($A41,Mapping!$A$2:$A$549,0)),"")</f>
        <v/>
      </c>
      <c r="P41" s="37">
        <f>IF($O41="",0,COUNTIFS('JLR Machines'!$A$2:$A$20001,$O41,'JLR Machines'!$C$2:$C$20001,IF(Settings!$B$2="","&lt;&gt;",Settings!$B$2),'JLR Machines'!$D$2:$D$20001,IF(Settings!$B$3="","&lt;&gt;",Settings!$B$3)))</f>
        <v>0</v>
      </c>
      <c r="Q41" s="39">
        <f>IF($P41&lt;&gt;1,0,SUMIFS('JLR Machines'!$G$2:$G$20001,'JLR Machines'!$A$2:$A$20001,$O41,'JLR Machines'!$C$2:$C$20001,IF(Settings!$B$2="","&lt;&gt;",Settings!$B$2),'JLR Machines'!$D$2:$D$20001,IF(Settings!$B$3="","&lt;&gt;",Settings!$B$3)))</f>
        <v>0</v>
      </c>
      <c r="R41" s="39">
        <f>IF($P41&lt;&gt;1,0,SUMIFS('JLR Machines'!$H$2:$H$20001,'JLR Machines'!$A$2:$A$20001,$O41,'JLR Machines'!$C$2:$C$20001,IF(Settings!$B$2="","&lt;&gt;",Settings!$B$2),'JLR Machines'!$D$2:$D$20001,IF(Settings!$B$3="","&lt;&gt;",Settings!$B$3)))</f>
        <v>0</v>
      </c>
      <c r="S41" s="39">
        <f>IF($P41&lt;&gt;1,0,SUMIFS('JLR Machines'!$I$2:$I$20001,'JLR Machines'!$A$2:$A$20001,$O41,'JLR Machines'!$C$2:$C$20001,IF(Settings!$B$2="","&lt;&gt;",Settings!$B$2),'JLR Machines'!$D$2:$D$20001,IF(Settings!$B$3="","&lt;&gt;",Settings!$B$3)))</f>
        <v>0</v>
      </c>
      <c r="T41" s="39">
        <f>IF($P41&lt;&gt;1,0,SUMIFS('JLR Machines'!$J$2:$J$20001,'JLR Machines'!$A$2:$A$20001,$O41,'JLR Machines'!$C$2:$C$20001,IF(Settings!$B$2="","&lt;&gt;",Settings!$B$2),'JLR Machines'!$D$2:$D$20001,IF(Settings!$B$3="","&lt;&gt;",Settings!$B$3)))</f>
        <v>0</v>
      </c>
      <c r="U41" s="39">
        <f>IF($P41&lt;&gt;1,0,SUMIFS('JLR Machines'!$K$2:$K$20001,'JLR Machines'!$A$2:$A$20001,$O41,'JLR Machines'!$C$2:$C$20001,IF(Settings!$B$2="","&lt;&gt;",Settings!$B$2),'JLR Machines'!$D$2:$D$20001,IF(Settings!$B$3="","&lt;&gt;",Settings!$B$3)))</f>
        <v>0</v>
      </c>
      <c r="V41" s="39">
        <f>IF($P41&lt;&gt;1,0,SUMIFS('JLR Machines'!$L$2:$L$20001,'JLR Machines'!$A$2:$A$20001,$O41,'JLR Machines'!$C$2:$C$20001,IF(Settings!$B$2="","&lt;&gt;",Settings!$B$2),'JLR Machines'!$D$2:$D$20001,IF(Settings!$B$3="","&lt;&gt;",Settings!$B$3)))</f>
        <v>0</v>
      </c>
      <c r="W41" s="39">
        <f>IF($P41&lt;&gt;1,0,SUMIFS('JLR Machines'!$M$2:$M$20001,'JLR Machines'!$A$2:$A$20001,$O41,'JLR Machines'!$C$2:$C$20001,IF(Settings!$B$2="","&lt;&gt;",Settings!$B$2),'JLR Machines'!$D$2:$D$20001,IF(Settings!$B$3="","&lt;&gt;",Settings!$B$3)))</f>
        <v>0</v>
      </c>
      <c r="X41" s="39">
        <f>IF($P41&lt;&gt;1,0,SUMIFS('JLR Machines'!$N$2:$N$20001,'JLR Machines'!$A$2:$A$20001,$O41,'JLR Machines'!$C$2:$C$20001,IF(Settings!$B$2="","&lt;&gt;",Settings!$B$2),'JLR Machines'!$D$2:$D$20001,IF(Settings!$B$3="","&lt;&gt;",Settings!$B$3)))</f>
        <v>0</v>
      </c>
      <c r="Y41" s="39">
        <f>$Q41+$R41+$S41+$T41+$U41+$V41+$W41</f>
        <v>0</v>
      </c>
      <c r="Z41" s="38">
        <f>IF($X41&lt;=0,0,ROUND((D41+E41+F41+G41+H41+I41)/4800-$X41,4))</f>
        <v>0</v>
      </c>
      <c r="AA41" s="40" t="s">
        <v>2174</v>
      </c>
      <c r="AB41" s="40" t="s">
        <v>2099</v>
      </c>
    </row>
    <row r="42" spans="1:28" x14ac:dyDescent="0.25">
      <c r="A42" s="32" t="s">
        <v>1004</v>
      </c>
      <c r="B42" s="33" t="s">
        <v>2175</v>
      </c>
      <c r="C42" s="33" t="s">
        <v>1379</v>
      </c>
      <c r="D42" s="41">
        <f>IF($X42&gt;0,IF($Y42&gt;0,MAX(0,$Q42+$X42-$Y42)*3120,$X42*3120),45540)</f>
        <v>45540</v>
      </c>
      <c r="E42" s="41">
        <f>IF($X42&gt;0,IF($Y42&gt;0,$S42*3120,0),20192)</f>
        <v>20192</v>
      </c>
      <c r="F42" s="41">
        <f>IF($X42&gt;0,IF($Y42&gt;0,$V42*3120,0),29130)</f>
        <v>29130</v>
      </c>
      <c r="G42" s="41">
        <f>IF($X42&gt;0,IF($Y42&gt;0,$R42*3120,0),12115)</f>
        <v>12115</v>
      </c>
      <c r="H42" s="41">
        <f>IF($X42&gt;0,IF($Y42&gt;0,($T42+$W42)*3120,0),10072)</f>
        <v>10072</v>
      </c>
      <c r="I42" s="41">
        <f>IF($X42&gt;0,IF($Y42&gt;0,$U42*3120,0),5625)</f>
        <v>5625</v>
      </c>
      <c r="J42" s="35">
        <v>4000</v>
      </c>
      <c r="K42" s="42">
        <v>0.78</v>
      </c>
      <c r="L42" s="36" t="str">
        <f>IF($X42&gt;0,IF($P42&lt;&gt;1,$AB42,IFERROR(INDEX('JLR Machines'!$D$2:$D$20001,MATCH($O42,'JLR Machines'!$A$2:$A$20001,0)),$AB42)),$AB42)</f>
        <v>2026-09-29</v>
      </c>
      <c r="M42" s="36" t="str">
        <f>IF($X42&gt;0,IF($Y42&gt;0,"JLR machine "&amp;$O42&amp;" at "&amp;TEXT($X42,"0.00")&amp;" per hr — build-up as supplied","JLR machine "&amp;$O42&amp;" at "&amp;TEXT($X42,"0.00")&amp;" per hr — build-up not supplied"),$AA42)</f>
        <v>UK electrical-steel benchmark. Heat+pressure cure of self-bonding (backlack) varnish — lowest-loss laminated stacks, EV traction. Jun 2026</v>
      </c>
      <c r="N42" s="33" t="s">
        <v>1380</v>
      </c>
      <c r="O42" s="37" t="str">
        <f>IFERROR(INDEX(Mapping!$C$2:$C$549,MATCH($A42,Mapping!$A$2:$A$549,0)),"")</f>
        <v/>
      </c>
      <c r="P42" s="37">
        <f>IF($O42="",0,COUNTIFS('JLR Machines'!$A$2:$A$20001,$O42,'JLR Machines'!$C$2:$C$20001,IF(Settings!$B$2="","&lt;&gt;",Settings!$B$2),'JLR Machines'!$D$2:$D$20001,IF(Settings!$B$3="","&lt;&gt;",Settings!$B$3)))</f>
        <v>0</v>
      </c>
      <c r="Q42" s="39">
        <f>IF($P42&lt;&gt;1,0,SUMIFS('JLR Machines'!$G$2:$G$20001,'JLR Machines'!$A$2:$A$20001,$O42,'JLR Machines'!$C$2:$C$20001,IF(Settings!$B$2="","&lt;&gt;",Settings!$B$2),'JLR Machines'!$D$2:$D$20001,IF(Settings!$B$3="","&lt;&gt;",Settings!$B$3)))</f>
        <v>0</v>
      </c>
      <c r="R42" s="39">
        <f>IF($P42&lt;&gt;1,0,SUMIFS('JLR Machines'!$H$2:$H$20001,'JLR Machines'!$A$2:$A$20001,$O42,'JLR Machines'!$C$2:$C$20001,IF(Settings!$B$2="","&lt;&gt;",Settings!$B$2),'JLR Machines'!$D$2:$D$20001,IF(Settings!$B$3="","&lt;&gt;",Settings!$B$3)))</f>
        <v>0</v>
      </c>
      <c r="S42" s="39">
        <f>IF($P42&lt;&gt;1,0,SUMIFS('JLR Machines'!$I$2:$I$20001,'JLR Machines'!$A$2:$A$20001,$O42,'JLR Machines'!$C$2:$C$20001,IF(Settings!$B$2="","&lt;&gt;",Settings!$B$2),'JLR Machines'!$D$2:$D$20001,IF(Settings!$B$3="","&lt;&gt;",Settings!$B$3)))</f>
        <v>0</v>
      </c>
      <c r="T42" s="39">
        <f>IF($P42&lt;&gt;1,0,SUMIFS('JLR Machines'!$J$2:$J$20001,'JLR Machines'!$A$2:$A$20001,$O42,'JLR Machines'!$C$2:$C$20001,IF(Settings!$B$2="","&lt;&gt;",Settings!$B$2),'JLR Machines'!$D$2:$D$20001,IF(Settings!$B$3="","&lt;&gt;",Settings!$B$3)))</f>
        <v>0</v>
      </c>
      <c r="U42" s="39">
        <f>IF($P42&lt;&gt;1,0,SUMIFS('JLR Machines'!$K$2:$K$20001,'JLR Machines'!$A$2:$A$20001,$O42,'JLR Machines'!$C$2:$C$20001,IF(Settings!$B$2="","&lt;&gt;",Settings!$B$2),'JLR Machines'!$D$2:$D$20001,IF(Settings!$B$3="","&lt;&gt;",Settings!$B$3)))</f>
        <v>0</v>
      </c>
      <c r="V42" s="39">
        <f>IF($P42&lt;&gt;1,0,SUMIFS('JLR Machines'!$L$2:$L$20001,'JLR Machines'!$A$2:$A$20001,$O42,'JLR Machines'!$C$2:$C$20001,IF(Settings!$B$2="","&lt;&gt;",Settings!$B$2),'JLR Machines'!$D$2:$D$20001,IF(Settings!$B$3="","&lt;&gt;",Settings!$B$3)))</f>
        <v>0</v>
      </c>
      <c r="W42" s="39">
        <f>IF($P42&lt;&gt;1,0,SUMIFS('JLR Machines'!$M$2:$M$20001,'JLR Machines'!$A$2:$A$20001,$O42,'JLR Machines'!$C$2:$C$20001,IF(Settings!$B$2="","&lt;&gt;",Settings!$B$2),'JLR Machines'!$D$2:$D$20001,IF(Settings!$B$3="","&lt;&gt;",Settings!$B$3)))</f>
        <v>0</v>
      </c>
      <c r="X42" s="39">
        <f>IF($P42&lt;&gt;1,0,SUMIFS('JLR Machines'!$N$2:$N$20001,'JLR Machines'!$A$2:$A$20001,$O42,'JLR Machines'!$C$2:$C$20001,IF(Settings!$B$2="","&lt;&gt;",Settings!$B$2),'JLR Machines'!$D$2:$D$20001,IF(Settings!$B$3="","&lt;&gt;",Settings!$B$3)))</f>
        <v>0</v>
      </c>
      <c r="Y42" s="39">
        <f>$Q42+$R42+$S42+$T42+$U42+$V42+$W42</f>
        <v>0</v>
      </c>
      <c r="Z42" s="38">
        <f>IF($X42&lt;=0,0,ROUND((D42+E42+F42+G42+H42+I42)/3120-$X42,4))</f>
        <v>0</v>
      </c>
      <c r="AA42" s="40" t="s">
        <v>2176</v>
      </c>
      <c r="AB42" s="40" t="s">
        <v>2099</v>
      </c>
    </row>
    <row r="43" spans="1:28" x14ac:dyDescent="0.25">
      <c r="A43" s="32" t="s">
        <v>1006</v>
      </c>
      <c r="B43" s="33" t="s">
        <v>2177</v>
      </c>
      <c r="C43" s="33" t="s">
        <v>1379</v>
      </c>
      <c r="D43" s="41">
        <f>IF($X43&gt;0,IF($Y43&gt;0,MAX(0,$Q43+$X43-$Y43)*3200,$X43*3200),91080)</f>
        <v>91080</v>
      </c>
      <c r="E43" s="41">
        <f>IF($X43&gt;0,IF($Y43&gt;0,$S43*3200,0),35335)</f>
        <v>35335</v>
      </c>
      <c r="F43" s="41">
        <f>IF($X43&gt;0,IF($Y43&gt;0,$V43*3200,0),17478)</f>
        <v>17478</v>
      </c>
      <c r="G43" s="41">
        <f>IF($X43&gt;0,IF($Y43&gt;0,$R43*3200,0),10096)</f>
        <v>10096</v>
      </c>
      <c r="H43" s="41">
        <f>IF($X43&gt;0,IF($Y43&gt;0,($T43+$W43)*3200,0),14100)</f>
        <v>14100</v>
      </c>
      <c r="I43" s="41">
        <f>IF($X43&gt;0,IF($Y43&gt;0,$U43*3200,0),11250)</f>
        <v>11250</v>
      </c>
      <c r="J43" s="35">
        <v>4000</v>
      </c>
      <c r="K43" s="42">
        <v>0.8</v>
      </c>
      <c r="L43" s="36" t="str">
        <f>IF($X43&gt;0,IF($P43&lt;&gt;1,$AB43,IFERROR(INDEX('JLR Machines'!$D$2:$D$20001,MATCH($O43,'JLR Machines'!$A$2:$A$20001,0)),$AB43)),$AB43)</f>
        <v>2026-09-29</v>
      </c>
      <c r="M43" s="36" t="str">
        <f>IF($X43&gt;0,IF($Y43&gt;0,"JLR machine "&amp;$O43&amp;" at "&amp;TEXT($X43,"0.00")&amp;" per hr — build-up as supplied","JLR machine "&amp;$O43&amp;" at "&amp;TEXT($X43,"0.00")&amp;" per hr — build-up not supplied"),$AA43)</f>
        <v>UK electrical-steel benchmark. Laser welding of stacked stator laminations along the OD — fast, but weld shorts a few edge laminations (small loss penalty). Jun 2026</v>
      </c>
      <c r="N43" s="33" t="s">
        <v>1380</v>
      </c>
      <c r="O43" s="37" t="str">
        <f>IFERROR(INDEX(Mapping!$C$2:$C$549,MATCH($A43,Mapping!$A$2:$A$549,0)),"")</f>
        <v/>
      </c>
      <c r="P43" s="37">
        <f>IF($O43="",0,COUNTIFS('JLR Machines'!$A$2:$A$20001,$O43,'JLR Machines'!$C$2:$C$20001,IF(Settings!$B$2="","&lt;&gt;",Settings!$B$2),'JLR Machines'!$D$2:$D$20001,IF(Settings!$B$3="","&lt;&gt;",Settings!$B$3)))</f>
        <v>0</v>
      </c>
      <c r="Q43" s="39">
        <f>IF($P43&lt;&gt;1,0,SUMIFS('JLR Machines'!$G$2:$G$20001,'JLR Machines'!$A$2:$A$20001,$O43,'JLR Machines'!$C$2:$C$20001,IF(Settings!$B$2="","&lt;&gt;",Settings!$B$2),'JLR Machines'!$D$2:$D$20001,IF(Settings!$B$3="","&lt;&gt;",Settings!$B$3)))</f>
        <v>0</v>
      </c>
      <c r="R43" s="39">
        <f>IF($P43&lt;&gt;1,0,SUMIFS('JLR Machines'!$H$2:$H$20001,'JLR Machines'!$A$2:$A$20001,$O43,'JLR Machines'!$C$2:$C$20001,IF(Settings!$B$2="","&lt;&gt;",Settings!$B$2),'JLR Machines'!$D$2:$D$20001,IF(Settings!$B$3="","&lt;&gt;",Settings!$B$3)))</f>
        <v>0</v>
      </c>
      <c r="S43" s="39">
        <f>IF($P43&lt;&gt;1,0,SUMIFS('JLR Machines'!$I$2:$I$20001,'JLR Machines'!$A$2:$A$20001,$O43,'JLR Machines'!$C$2:$C$20001,IF(Settings!$B$2="","&lt;&gt;",Settings!$B$2),'JLR Machines'!$D$2:$D$20001,IF(Settings!$B$3="","&lt;&gt;",Settings!$B$3)))</f>
        <v>0</v>
      </c>
      <c r="T43" s="39">
        <f>IF($P43&lt;&gt;1,0,SUMIFS('JLR Machines'!$J$2:$J$20001,'JLR Machines'!$A$2:$A$20001,$O43,'JLR Machines'!$C$2:$C$20001,IF(Settings!$B$2="","&lt;&gt;",Settings!$B$2),'JLR Machines'!$D$2:$D$20001,IF(Settings!$B$3="","&lt;&gt;",Settings!$B$3)))</f>
        <v>0</v>
      </c>
      <c r="U43" s="39">
        <f>IF($P43&lt;&gt;1,0,SUMIFS('JLR Machines'!$K$2:$K$20001,'JLR Machines'!$A$2:$A$20001,$O43,'JLR Machines'!$C$2:$C$20001,IF(Settings!$B$2="","&lt;&gt;",Settings!$B$2),'JLR Machines'!$D$2:$D$20001,IF(Settings!$B$3="","&lt;&gt;",Settings!$B$3)))</f>
        <v>0</v>
      </c>
      <c r="V43" s="39">
        <f>IF($P43&lt;&gt;1,0,SUMIFS('JLR Machines'!$L$2:$L$20001,'JLR Machines'!$A$2:$A$20001,$O43,'JLR Machines'!$C$2:$C$20001,IF(Settings!$B$2="","&lt;&gt;",Settings!$B$2),'JLR Machines'!$D$2:$D$20001,IF(Settings!$B$3="","&lt;&gt;",Settings!$B$3)))</f>
        <v>0</v>
      </c>
      <c r="W43" s="39">
        <f>IF($P43&lt;&gt;1,0,SUMIFS('JLR Machines'!$M$2:$M$20001,'JLR Machines'!$A$2:$A$20001,$O43,'JLR Machines'!$C$2:$C$20001,IF(Settings!$B$2="","&lt;&gt;",Settings!$B$2),'JLR Machines'!$D$2:$D$20001,IF(Settings!$B$3="","&lt;&gt;",Settings!$B$3)))</f>
        <v>0</v>
      </c>
      <c r="X43" s="39">
        <f>IF($P43&lt;&gt;1,0,SUMIFS('JLR Machines'!$N$2:$N$20001,'JLR Machines'!$A$2:$A$20001,$O43,'JLR Machines'!$C$2:$C$20001,IF(Settings!$B$2="","&lt;&gt;",Settings!$B$2),'JLR Machines'!$D$2:$D$20001,IF(Settings!$B$3="","&lt;&gt;",Settings!$B$3)))</f>
        <v>0</v>
      </c>
      <c r="Y43" s="39">
        <f>$Q43+$R43+$S43+$T43+$U43+$V43+$W43</f>
        <v>0</v>
      </c>
      <c r="Z43" s="38">
        <f>IF($X43&lt;=0,0,ROUND((D43+E43+F43+G43+H43+I43)/3200-$X43,4))</f>
        <v>0</v>
      </c>
      <c r="AA43" s="40" t="s">
        <v>2178</v>
      </c>
      <c r="AB43" s="40" t="s">
        <v>2099</v>
      </c>
    </row>
    <row r="44" spans="1:28" x14ac:dyDescent="0.25">
      <c r="A44" s="32" t="s">
        <v>1008</v>
      </c>
      <c r="B44" s="33" t="s">
        <v>2179</v>
      </c>
      <c r="C44" s="33" t="s">
        <v>1379</v>
      </c>
      <c r="D44" s="41">
        <f>IF($X44&gt;0,IF($Y44&gt;0,MAX(0,$Q44+$X44-$Y44)*3200,$X44*3200),9108)</f>
        <v>9108</v>
      </c>
      <c r="E44" s="41">
        <f>IF($X44&gt;0,IF($Y44&gt;0,$S44*3200,0),4543)</f>
        <v>4543</v>
      </c>
      <c r="F44" s="41">
        <f>IF($X44&gt;0,IF($Y44&gt;0,$V44*3200,0),12817)</f>
        <v>12817</v>
      </c>
      <c r="G44" s="41">
        <f>IF($X44&gt;0,IF($Y44&gt;0,$R44*3200,0),2524)</f>
        <v>2524</v>
      </c>
      <c r="H44" s="41">
        <f>IF($X44&gt;0,IF($Y44&gt;0,($T44+$W44)*3200,0),2014)</f>
        <v>2014</v>
      </c>
      <c r="I44" s="41">
        <f>IF($X44&gt;0,IF($Y44&gt;0,$U44*3200,0),1125)</f>
        <v>1125</v>
      </c>
      <c r="J44" s="35">
        <v>4000</v>
      </c>
      <c r="K44" s="42">
        <v>0.8</v>
      </c>
      <c r="L44" s="36" t="str">
        <f>IF($X44&gt;0,IF($P44&lt;&gt;1,$AB44,IFERROR(INDEX('JLR Machines'!$D$2:$D$20001,MATCH($O44,'JLR Machines'!$A$2:$A$20001,0)),$AB44)),$AB44)</f>
        <v>2026-09-29</v>
      </c>
      <c r="M44" s="36" t="str">
        <f>IF($X44&gt;0,IF($Y44&gt;0,"JLR machine "&amp;$O44&amp;" at "&amp;TEXT($X44,"0.00")&amp;" per hr — build-up as supplied","JLR machine "&amp;$O44&amp;" at "&amp;TEXT($X44,"0.00")&amp;" per hr — build-up not supplied"),$AA44)</f>
        <v>UK plastics benchmark (small precision/technical mouldings), Jun 2026</v>
      </c>
      <c r="N44" s="33" t="s">
        <v>1380</v>
      </c>
      <c r="O44" s="37" t="str">
        <f>IFERROR(INDEX(Mapping!$C$2:$C$549,MATCH($A44,Mapping!$A$2:$A$549,0)),"")</f>
        <v/>
      </c>
      <c r="P44" s="37">
        <f>IF($O44="",0,COUNTIFS('JLR Machines'!$A$2:$A$20001,$O44,'JLR Machines'!$C$2:$C$20001,IF(Settings!$B$2="","&lt;&gt;",Settings!$B$2),'JLR Machines'!$D$2:$D$20001,IF(Settings!$B$3="","&lt;&gt;",Settings!$B$3)))</f>
        <v>0</v>
      </c>
      <c r="Q44" s="39">
        <f>IF($P44&lt;&gt;1,0,SUMIFS('JLR Machines'!$G$2:$G$20001,'JLR Machines'!$A$2:$A$20001,$O44,'JLR Machines'!$C$2:$C$20001,IF(Settings!$B$2="","&lt;&gt;",Settings!$B$2),'JLR Machines'!$D$2:$D$20001,IF(Settings!$B$3="","&lt;&gt;",Settings!$B$3)))</f>
        <v>0</v>
      </c>
      <c r="R44" s="39">
        <f>IF($P44&lt;&gt;1,0,SUMIFS('JLR Machines'!$H$2:$H$20001,'JLR Machines'!$A$2:$A$20001,$O44,'JLR Machines'!$C$2:$C$20001,IF(Settings!$B$2="","&lt;&gt;",Settings!$B$2),'JLR Machines'!$D$2:$D$20001,IF(Settings!$B$3="","&lt;&gt;",Settings!$B$3)))</f>
        <v>0</v>
      </c>
      <c r="S44" s="39">
        <f>IF($P44&lt;&gt;1,0,SUMIFS('JLR Machines'!$I$2:$I$20001,'JLR Machines'!$A$2:$A$20001,$O44,'JLR Machines'!$C$2:$C$20001,IF(Settings!$B$2="","&lt;&gt;",Settings!$B$2),'JLR Machines'!$D$2:$D$20001,IF(Settings!$B$3="","&lt;&gt;",Settings!$B$3)))</f>
        <v>0</v>
      </c>
      <c r="T44" s="39">
        <f>IF($P44&lt;&gt;1,0,SUMIFS('JLR Machines'!$J$2:$J$20001,'JLR Machines'!$A$2:$A$20001,$O44,'JLR Machines'!$C$2:$C$20001,IF(Settings!$B$2="","&lt;&gt;",Settings!$B$2),'JLR Machines'!$D$2:$D$20001,IF(Settings!$B$3="","&lt;&gt;",Settings!$B$3)))</f>
        <v>0</v>
      </c>
      <c r="U44" s="39">
        <f>IF($P44&lt;&gt;1,0,SUMIFS('JLR Machines'!$K$2:$K$20001,'JLR Machines'!$A$2:$A$20001,$O44,'JLR Machines'!$C$2:$C$20001,IF(Settings!$B$2="","&lt;&gt;",Settings!$B$2),'JLR Machines'!$D$2:$D$20001,IF(Settings!$B$3="","&lt;&gt;",Settings!$B$3)))</f>
        <v>0</v>
      </c>
      <c r="V44" s="39">
        <f>IF($P44&lt;&gt;1,0,SUMIFS('JLR Machines'!$L$2:$L$20001,'JLR Machines'!$A$2:$A$20001,$O44,'JLR Machines'!$C$2:$C$20001,IF(Settings!$B$2="","&lt;&gt;",Settings!$B$2),'JLR Machines'!$D$2:$D$20001,IF(Settings!$B$3="","&lt;&gt;",Settings!$B$3)))</f>
        <v>0</v>
      </c>
      <c r="W44" s="39">
        <f>IF($P44&lt;&gt;1,0,SUMIFS('JLR Machines'!$M$2:$M$20001,'JLR Machines'!$A$2:$A$20001,$O44,'JLR Machines'!$C$2:$C$20001,IF(Settings!$B$2="","&lt;&gt;",Settings!$B$2),'JLR Machines'!$D$2:$D$20001,IF(Settings!$B$3="","&lt;&gt;",Settings!$B$3)))</f>
        <v>0</v>
      </c>
      <c r="X44" s="39">
        <f>IF($P44&lt;&gt;1,0,SUMIFS('JLR Machines'!$N$2:$N$20001,'JLR Machines'!$A$2:$A$20001,$O44,'JLR Machines'!$C$2:$C$20001,IF(Settings!$B$2="","&lt;&gt;",Settings!$B$2),'JLR Machines'!$D$2:$D$20001,IF(Settings!$B$3="","&lt;&gt;",Settings!$B$3)))</f>
        <v>0</v>
      </c>
      <c r="Y44" s="39">
        <f>$Q44+$R44+$S44+$T44+$U44+$V44+$W44</f>
        <v>0</v>
      </c>
      <c r="Z44" s="38">
        <f>IF($X44&lt;=0,0,ROUND((D44+E44+F44+G44+H44+I44)/3200-$X44,4))</f>
        <v>0</v>
      </c>
      <c r="AA44" s="40" t="s">
        <v>2180</v>
      </c>
      <c r="AB44" s="40" t="s">
        <v>2099</v>
      </c>
    </row>
    <row r="45" spans="1:28" x14ac:dyDescent="0.25">
      <c r="A45" s="32" t="s">
        <v>1010</v>
      </c>
      <c r="B45" s="33" t="s">
        <v>2181</v>
      </c>
      <c r="C45" s="33" t="s">
        <v>1379</v>
      </c>
      <c r="D45" s="41">
        <f>IF($X45&gt;0,IF($Y45&gt;0,MAX(0,$Q45+$X45-$Y45)*3200,$X45*3200),14168)</f>
        <v>14168</v>
      </c>
      <c r="E45" s="41">
        <f>IF($X45&gt;0,IF($Y45&gt;0,$S45*3200,0),7067)</f>
        <v>7067</v>
      </c>
      <c r="F45" s="41">
        <f>IF($X45&gt;0,IF($Y45&gt;0,$V45*3200,0),23304)</f>
        <v>23304</v>
      </c>
      <c r="G45" s="41">
        <f>IF($X45&gt;0,IF($Y45&gt;0,$R45*3200,0),3534)</f>
        <v>3534</v>
      </c>
      <c r="H45" s="41">
        <f>IF($X45&gt;0,IF($Y45&gt;0,($T45+$W45)*3200,0),3022)</f>
        <v>3022</v>
      </c>
      <c r="I45" s="41">
        <f>IF($X45&gt;0,IF($Y45&gt;0,$U45*3200,0),1750)</f>
        <v>1750</v>
      </c>
      <c r="J45" s="35">
        <v>4000</v>
      </c>
      <c r="K45" s="42">
        <v>0.8</v>
      </c>
      <c r="L45" s="36" t="str">
        <f>IF($X45&gt;0,IF($P45&lt;&gt;1,$AB45,IFERROR(INDEX('JLR Machines'!$D$2:$D$20001,MATCH($O45,'JLR Machines'!$A$2:$A$20001,0)),$AB45)),$AB45)</f>
        <v>2026-09-29</v>
      </c>
      <c r="M45" s="36" t="str">
        <f>IF($X45&gt;0,IF($Y45&gt;0,"JLR machine "&amp;$O45&amp;" at "&amp;TEXT($X45,"0.00")&amp;" per hr — build-up as supplied","JLR machine "&amp;$O45&amp;" at "&amp;TEXT($X45,"0.00")&amp;" per hr — build-up not supplied"),$AA45)</f>
        <v>UK plastics benchmark, Jun 2026</v>
      </c>
      <c r="N45" s="33" t="s">
        <v>1380</v>
      </c>
      <c r="O45" s="37" t="str">
        <f>IFERROR(INDEX(Mapping!$C$2:$C$549,MATCH($A45,Mapping!$A$2:$A$549,0)),"")</f>
        <v/>
      </c>
      <c r="P45" s="37">
        <f>IF($O45="",0,COUNTIFS('JLR Machines'!$A$2:$A$20001,$O45,'JLR Machines'!$C$2:$C$20001,IF(Settings!$B$2="","&lt;&gt;",Settings!$B$2),'JLR Machines'!$D$2:$D$20001,IF(Settings!$B$3="","&lt;&gt;",Settings!$B$3)))</f>
        <v>0</v>
      </c>
      <c r="Q45" s="39">
        <f>IF($P45&lt;&gt;1,0,SUMIFS('JLR Machines'!$G$2:$G$20001,'JLR Machines'!$A$2:$A$20001,$O45,'JLR Machines'!$C$2:$C$20001,IF(Settings!$B$2="","&lt;&gt;",Settings!$B$2),'JLR Machines'!$D$2:$D$20001,IF(Settings!$B$3="","&lt;&gt;",Settings!$B$3)))</f>
        <v>0</v>
      </c>
      <c r="R45" s="39">
        <f>IF($P45&lt;&gt;1,0,SUMIFS('JLR Machines'!$H$2:$H$20001,'JLR Machines'!$A$2:$A$20001,$O45,'JLR Machines'!$C$2:$C$20001,IF(Settings!$B$2="","&lt;&gt;",Settings!$B$2),'JLR Machines'!$D$2:$D$20001,IF(Settings!$B$3="","&lt;&gt;",Settings!$B$3)))</f>
        <v>0</v>
      </c>
      <c r="S45" s="39">
        <f>IF($P45&lt;&gt;1,0,SUMIFS('JLR Machines'!$I$2:$I$20001,'JLR Machines'!$A$2:$A$20001,$O45,'JLR Machines'!$C$2:$C$20001,IF(Settings!$B$2="","&lt;&gt;",Settings!$B$2),'JLR Machines'!$D$2:$D$20001,IF(Settings!$B$3="","&lt;&gt;",Settings!$B$3)))</f>
        <v>0</v>
      </c>
      <c r="T45" s="39">
        <f>IF($P45&lt;&gt;1,0,SUMIFS('JLR Machines'!$J$2:$J$20001,'JLR Machines'!$A$2:$A$20001,$O45,'JLR Machines'!$C$2:$C$20001,IF(Settings!$B$2="","&lt;&gt;",Settings!$B$2),'JLR Machines'!$D$2:$D$20001,IF(Settings!$B$3="","&lt;&gt;",Settings!$B$3)))</f>
        <v>0</v>
      </c>
      <c r="U45" s="39">
        <f>IF($P45&lt;&gt;1,0,SUMIFS('JLR Machines'!$K$2:$K$20001,'JLR Machines'!$A$2:$A$20001,$O45,'JLR Machines'!$C$2:$C$20001,IF(Settings!$B$2="","&lt;&gt;",Settings!$B$2),'JLR Machines'!$D$2:$D$20001,IF(Settings!$B$3="","&lt;&gt;",Settings!$B$3)))</f>
        <v>0</v>
      </c>
      <c r="V45" s="39">
        <f>IF($P45&lt;&gt;1,0,SUMIFS('JLR Machines'!$L$2:$L$20001,'JLR Machines'!$A$2:$A$20001,$O45,'JLR Machines'!$C$2:$C$20001,IF(Settings!$B$2="","&lt;&gt;",Settings!$B$2),'JLR Machines'!$D$2:$D$20001,IF(Settings!$B$3="","&lt;&gt;",Settings!$B$3)))</f>
        <v>0</v>
      </c>
      <c r="W45" s="39">
        <f>IF($P45&lt;&gt;1,0,SUMIFS('JLR Machines'!$M$2:$M$20001,'JLR Machines'!$A$2:$A$20001,$O45,'JLR Machines'!$C$2:$C$20001,IF(Settings!$B$2="","&lt;&gt;",Settings!$B$2),'JLR Machines'!$D$2:$D$20001,IF(Settings!$B$3="","&lt;&gt;",Settings!$B$3)))</f>
        <v>0</v>
      </c>
      <c r="X45" s="39">
        <f>IF($P45&lt;&gt;1,0,SUMIFS('JLR Machines'!$N$2:$N$20001,'JLR Machines'!$A$2:$A$20001,$O45,'JLR Machines'!$C$2:$C$20001,IF(Settings!$B$2="","&lt;&gt;",Settings!$B$2),'JLR Machines'!$D$2:$D$20001,IF(Settings!$B$3="","&lt;&gt;",Settings!$B$3)))</f>
        <v>0</v>
      </c>
      <c r="Y45" s="39">
        <f>$Q45+$R45+$S45+$T45+$U45+$V45+$W45</f>
        <v>0</v>
      </c>
      <c r="Z45" s="38">
        <f>IF($X45&lt;=0,0,ROUND((D45+E45+F45+G45+H45+I45)/3200-$X45,4))</f>
        <v>0</v>
      </c>
      <c r="AA45" s="40" t="s">
        <v>2182</v>
      </c>
      <c r="AB45" s="40" t="s">
        <v>2099</v>
      </c>
    </row>
    <row r="46" spans="1:28" x14ac:dyDescent="0.25">
      <c r="A46" s="32" t="s">
        <v>1012</v>
      </c>
      <c r="B46" s="33" t="s">
        <v>2183</v>
      </c>
      <c r="C46" s="33" t="s">
        <v>1379</v>
      </c>
      <c r="D46" s="41">
        <f>IF($X46&gt;0,IF($Y46&gt;0,MAX(0,$Q46+$X46-$Y46)*3200,$X46*3200),22264)</f>
        <v>22264</v>
      </c>
      <c r="E46" s="41">
        <f>IF($X46&gt;0,IF($Y46&gt;0,$S46*3200,0),11105)</f>
        <v>11105</v>
      </c>
      <c r="F46" s="41">
        <f>IF($X46&gt;0,IF($Y46&gt;0,$V46*3200,0),40783)</f>
        <v>40783</v>
      </c>
      <c r="G46" s="41">
        <f>IF($X46&gt;0,IF($Y46&gt;0,$R46*3200,0),5048)</f>
        <v>5048</v>
      </c>
      <c r="H46" s="41">
        <f>IF($X46&gt;0,IF($Y46&gt;0,($T46+$W46)*3200,0),4532)</f>
        <v>4532</v>
      </c>
      <c r="I46" s="41">
        <f>IF($X46&gt;0,IF($Y46&gt;0,$U46*3200,0),2750)</f>
        <v>2750</v>
      </c>
      <c r="J46" s="35">
        <v>4000</v>
      </c>
      <c r="K46" s="42">
        <v>0.8</v>
      </c>
      <c r="L46" s="36" t="str">
        <f>IF($X46&gt;0,IF($P46&lt;&gt;1,$AB46,IFERROR(INDEX('JLR Machines'!$D$2:$D$20001,MATCH($O46,'JLR Machines'!$A$2:$A$20001,0)),$AB46)),$AB46)</f>
        <v>2026-09-29</v>
      </c>
      <c r="M46" s="36" t="str">
        <f>IF($X46&gt;0,IF($Y46&gt;0,"JLR machine "&amp;$O46&amp;" at "&amp;TEXT($X46,"0.00")&amp;" per hr — build-up as supplied","JLR machine "&amp;$O46&amp;" at "&amp;TEXT($X46,"0.00")&amp;" per hr — build-up not supplied"),$AA46)</f>
        <v>UK plastics benchmark, Jun 2026</v>
      </c>
      <c r="N46" s="33" t="s">
        <v>1380</v>
      </c>
      <c r="O46" s="37" t="str">
        <f>IFERROR(INDEX(Mapping!$C$2:$C$549,MATCH($A46,Mapping!$A$2:$A$549,0)),"")</f>
        <v/>
      </c>
      <c r="P46" s="37">
        <f>IF($O46="",0,COUNTIFS('JLR Machines'!$A$2:$A$20001,$O46,'JLR Machines'!$C$2:$C$20001,IF(Settings!$B$2="","&lt;&gt;",Settings!$B$2),'JLR Machines'!$D$2:$D$20001,IF(Settings!$B$3="","&lt;&gt;",Settings!$B$3)))</f>
        <v>0</v>
      </c>
      <c r="Q46" s="39">
        <f>IF($P46&lt;&gt;1,0,SUMIFS('JLR Machines'!$G$2:$G$20001,'JLR Machines'!$A$2:$A$20001,$O46,'JLR Machines'!$C$2:$C$20001,IF(Settings!$B$2="","&lt;&gt;",Settings!$B$2),'JLR Machines'!$D$2:$D$20001,IF(Settings!$B$3="","&lt;&gt;",Settings!$B$3)))</f>
        <v>0</v>
      </c>
      <c r="R46" s="39">
        <f>IF($P46&lt;&gt;1,0,SUMIFS('JLR Machines'!$H$2:$H$20001,'JLR Machines'!$A$2:$A$20001,$O46,'JLR Machines'!$C$2:$C$20001,IF(Settings!$B$2="","&lt;&gt;",Settings!$B$2),'JLR Machines'!$D$2:$D$20001,IF(Settings!$B$3="","&lt;&gt;",Settings!$B$3)))</f>
        <v>0</v>
      </c>
      <c r="S46" s="39">
        <f>IF($P46&lt;&gt;1,0,SUMIFS('JLR Machines'!$I$2:$I$20001,'JLR Machines'!$A$2:$A$20001,$O46,'JLR Machines'!$C$2:$C$20001,IF(Settings!$B$2="","&lt;&gt;",Settings!$B$2),'JLR Machines'!$D$2:$D$20001,IF(Settings!$B$3="","&lt;&gt;",Settings!$B$3)))</f>
        <v>0</v>
      </c>
      <c r="T46" s="39">
        <f>IF($P46&lt;&gt;1,0,SUMIFS('JLR Machines'!$J$2:$J$20001,'JLR Machines'!$A$2:$A$20001,$O46,'JLR Machines'!$C$2:$C$20001,IF(Settings!$B$2="","&lt;&gt;",Settings!$B$2),'JLR Machines'!$D$2:$D$20001,IF(Settings!$B$3="","&lt;&gt;",Settings!$B$3)))</f>
        <v>0</v>
      </c>
      <c r="U46" s="39">
        <f>IF($P46&lt;&gt;1,0,SUMIFS('JLR Machines'!$K$2:$K$20001,'JLR Machines'!$A$2:$A$20001,$O46,'JLR Machines'!$C$2:$C$20001,IF(Settings!$B$2="","&lt;&gt;",Settings!$B$2),'JLR Machines'!$D$2:$D$20001,IF(Settings!$B$3="","&lt;&gt;",Settings!$B$3)))</f>
        <v>0</v>
      </c>
      <c r="V46" s="39">
        <f>IF($P46&lt;&gt;1,0,SUMIFS('JLR Machines'!$L$2:$L$20001,'JLR Machines'!$A$2:$A$20001,$O46,'JLR Machines'!$C$2:$C$20001,IF(Settings!$B$2="","&lt;&gt;",Settings!$B$2),'JLR Machines'!$D$2:$D$20001,IF(Settings!$B$3="","&lt;&gt;",Settings!$B$3)))</f>
        <v>0</v>
      </c>
      <c r="W46" s="39">
        <f>IF($P46&lt;&gt;1,0,SUMIFS('JLR Machines'!$M$2:$M$20001,'JLR Machines'!$A$2:$A$20001,$O46,'JLR Machines'!$C$2:$C$20001,IF(Settings!$B$2="","&lt;&gt;",Settings!$B$2),'JLR Machines'!$D$2:$D$20001,IF(Settings!$B$3="","&lt;&gt;",Settings!$B$3)))</f>
        <v>0</v>
      </c>
      <c r="X46" s="39">
        <f>IF($P46&lt;&gt;1,0,SUMIFS('JLR Machines'!$N$2:$N$20001,'JLR Machines'!$A$2:$A$20001,$O46,'JLR Machines'!$C$2:$C$20001,IF(Settings!$B$2="","&lt;&gt;",Settings!$B$2),'JLR Machines'!$D$2:$D$20001,IF(Settings!$B$3="","&lt;&gt;",Settings!$B$3)))</f>
        <v>0</v>
      </c>
      <c r="Y46" s="39">
        <f>$Q46+$R46+$S46+$T46+$U46+$V46+$W46</f>
        <v>0</v>
      </c>
      <c r="Z46" s="38">
        <f>IF($X46&lt;=0,0,ROUND((D46+E46+F46+G46+H46+I46)/3200-$X46,4))</f>
        <v>0</v>
      </c>
      <c r="AA46" s="40" t="s">
        <v>2182</v>
      </c>
      <c r="AB46" s="40" t="s">
        <v>2099</v>
      </c>
    </row>
    <row r="47" spans="1:28" x14ac:dyDescent="0.25">
      <c r="A47" s="32" t="s">
        <v>1014</v>
      </c>
      <c r="B47" s="33" t="s">
        <v>2184</v>
      </c>
      <c r="C47" s="33" t="s">
        <v>1379</v>
      </c>
      <c r="D47" s="41">
        <f>IF($X47&gt;0,IF($Y47&gt;0,MAX(0,$Q47+$X47-$Y47)*3200,$X47*3200),34408)</f>
        <v>34408</v>
      </c>
      <c r="E47" s="41">
        <f>IF($X47&gt;0,IF($Y47&gt;0,$S47*3200,0),15649)</f>
        <v>15649</v>
      </c>
      <c r="F47" s="41">
        <f>IF($X47&gt;0,IF($Y47&gt;0,$V47*3200,0),60591)</f>
        <v>60591</v>
      </c>
      <c r="G47" s="41">
        <f>IF($X47&gt;0,IF($Y47&gt;0,$R47*3200,0),7067)</f>
        <v>7067</v>
      </c>
      <c r="H47" s="41">
        <f>IF($X47&gt;0,IF($Y47&gt;0,($T47+$W47)*3200,0),6849)</f>
        <v>6849</v>
      </c>
      <c r="I47" s="41">
        <f>IF($X47&gt;0,IF($Y47&gt;0,$U47*3200,0),4250)</f>
        <v>4250</v>
      </c>
      <c r="J47" s="35">
        <v>4000</v>
      </c>
      <c r="K47" s="42">
        <v>0.8</v>
      </c>
      <c r="L47" s="36" t="str">
        <f>IF($X47&gt;0,IF($P47&lt;&gt;1,$AB47,IFERROR(INDEX('JLR Machines'!$D$2:$D$20001,MATCH($O47,'JLR Machines'!$A$2:$A$20001,0)),$AB47)),$AB47)</f>
        <v>2026-09-29</v>
      </c>
      <c r="M47" s="36" t="str">
        <f>IF($X47&gt;0,IF($Y47&gt;0,"JLR machine "&amp;$O47&amp;" at "&amp;TEXT($X47,"0.00")&amp;" per hr — build-up as supplied","JLR machine "&amp;$O47&amp;" at "&amp;TEXT($X47,"0.00")&amp;" per hr — build-up not supplied"),$AA47)</f>
        <v>UK plastics benchmark, Jun 2026</v>
      </c>
      <c r="N47" s="33" t="s">
        <v>1380</v>
      </c>
      <c r="O47" s="37" t="str">
        <f>IFERROR(INDEX(Mapping!$C$2:$C$549,MATCH($A47,Mapping!$A$2:$A$549,0)),"")</f>
        <v/>
      </c>
      <c r="P47" s="37">
        <f>IF($O47="",0,COUNTIFS('JLR Machines'!$A$2:$A$20001,$O47,'JLR Machines'!$C$2:$C$20001,IF(Settings!$B$2="","&lt;&gt;",Settings!$B$2),'JLR Machines'!$D$2:$D$20001,IF(Settings!$B$3="","&lt;&gt;",Settings!$B$3)))</f>
        <v>0</v>
      </c>
      <c r="Q47" s="39">
        <f>IF($P47&lt;&gt;1,0,SUMIFS('JLR Machines'!$G$2:$G$20001,'JLR Machines'!$A$2:$A$20001,$O47,'JLR Machines'!$C$2:$C$20001,IF(Settings!$B$2="","&lt;&gt;",Settings!$B$2),'JLR Machines'!$D$2:$D$20001,IF(Settings!$B$3="","&lt;&gt;",Settings!$B$3)))</f>
        <v>0</v>
      </c>
      <c r="R47" s="39">
        <f>IF($P47&lt;&gt;1,0,SUMIFS('JLR Machines'!$H$2:$H$20001,'JLR Machines'!$A$2:$A$20001,$O47,'JLR Machines'!$C$2:$C$20001,IF(Settings!$B$2="","&lt;&gt;",Settings!$B$2),'JLR Machines'!$D$2:$D$20001,IF(Settings!$B$3="","&lt;&gt;",Settings!$B$3)))</f>
        <v>0</v>
      </c>
      <c r="S47" s="39">
        <f>IF($P47&lt;&gt;1,0,SUMIFS('JLR Machines'!$I$2:$I$20001,'JLR Machines'!$A$2:$A$20001,$O47,'JLR Machines'!$C$2:$C$20001,IF(Settings!$B$2="","&lt;&gt;",Settings!$B$2),'JLR Machines'!$D$2:$D$20001,IF(Settings!$B$3="","&lt;&gt;",Settings!$B$3)))</f>
        <v>0</v>
      </c>
      <c r="T47" s="39">
        <f>IF($P47&lt;&gt;1,0,SUMIFS('JLR Machines'!$J$2:$J$20001,'JLR Machines'!$A$2:$A$20001,$O47,'JLR Machines'!$C$2:$C$20001,IF(Settings!$B$2="","&lt;&gt;",Settings!$B$2),'JLR Machines'!$D$2:$D$20001,IF(Settings!$B$3="","&lt;&gt;",Settings!$B$3)))</f>
        <v>0</v>
      </c>
      <c r="U47" s="39">
        <f>IF($P47&lt;&gt;1,0,SUMIFS('JLR Machines'!$K$2:$K$20001,'JLR Machines'!$A$2:$A$20001,$O47,'JLR Machines'!$C$2:$C$20001,IF(Settings!$B$2="","&lt;&gt;",Settings!$B$2),'JLR Machines'!$D$2:$D$20001,IF(Settings!$B$3="","&lt;&gt;",Settings!$B$3)))</f>
        <v>0</v>
      </c>
      <c r="V47" s="39">
        <f>IF($P47&lt;&gt;1,0,SUMIFS('JLR Machines'!$L$2:$L$20001,'JLR Machines'!$A$2:$A$20001,$O47,'JLR Machines'!$C$2:$C$20001,IF(Settings!$B$2="","&lt;&gt;",Settings!$B$2),'JLR Machines'!$D$2:$D$20001,IF(Settings!$B$3="","&lt;&gt;",Settings!$B$3)))</f>
        <v>0</v>
      </c>
      <c r="W47" s="39">
        <f>IF($P47&lt;&gt;1,0,SUMIFS('JLR Machines'!$M$2:$M$20001,'JLR Machines'!$A$2:$A$20001,$O47,'JLR Machines'!$C$2:$C$20001,IF(Settings!$B$2="","&lt;&gt;",Settings!$B$2),'JLR Machines'!$D$2:$D$20001,IF(Settings!$B$3="","&lt;&gt;",Settings!$B$3)))</f>
        <v>0</v>
      </c>
      <c r="X47" s="39">
        <f>IF($P47&lt;&gt;1,0,SUMIFS('JLR Machines'!$N$2:$N$20001,'JLR Machines'!$A$2:$A$20001,$O47,'JLR Machines'!$C$2:$C$20001,IF(Settings!$B$2="","&lt;&gt;",Settings!$B$2),'JLR Machines'!$D$2:$D$20001,IF(Settings!$B$3="","&lt;&gt;",Settings!$B$3)))</f>
        <v>0</v>
      </c>
      <c r="Y47" s="39">
        <f>$Q47+$R47+$S47+$T47+$U47+$V47+$W47</f>
        <v>0</v>
      </c>
      <c r="Z47" s="38">
        <f>IF($X47&lt;=0,0,ROUND((D47+E47+F47+G47+H47+I47)/3200-$X47,4))</f>
        <v>0</v>
      </c>
      <c r="AA47" s="40" t="s">
        <v>2182</v>
      </c>
      <c r="AB47" s="40" t="s">
        <v>2099</v>
      </c>
    </row>
    <row r="48" spans="1:28" x14ac:dyDescent="0.25">
      <c r="A48" s="32" t="s">
        <v>1016</v>
      </c>
      <c r="B48" s="33" t="s">
        <v>2185</v>
      </c>
      <c r="C48" s="33" t="s">
        <v>1379</v>
      </c>
      <c r="D48" s="41">
        <f>IF($X48&gt;0,IF($Y48&gt;0,MAX(0,$Q48+$X48-$Y48)*3200,$X48*3200),40480)</f>
        <v>40480</v>
      </c>
      <c r="E48" s="41">
        <f>IF($X48&gt;0,IF($Y48&gt;0,$S48*3200,0),18173)</f>
        <v>18173</v>
      </c>
      <c r="F48" s="41">
        <f>IF($X48&gt;0,IF($Y48&gt;0,$V48*3200,0),69913)</f>
        <v>69913</v>
      </c>
      <c r="G48" s="41">
        <f>IF($X48&gt;0,IF($Y48&gt;0,$R48*3200,0),8077)</f>
        <v>8077</v>
      </c>
      <c r="H48" s="41">
        <f>IF($X48&gt;0,IF($Y48&gt;0,($T48+$W48)*3200,0),8057)</f>
        <v>8057</v>
      </c>
      <c r="I48" s="41">
        <f>IF($X48&gt;0,IF($Y48&gt;0,$U48*3200,0),5000)</f>
        <v>5000</v>
      </c>
      <c r="J48" s="35">
        <v>4000</v>
      </c>
      <c r="K48" s="42">
        <v>0.8</v>
      </c>
      <c r="L48" s="36" t="str">
        <f>IF($X48&gt;0,IF($P48&lt;&gt;1,$AB48,IFERROR(INDEX('JLR Machines'!$D$2:$D$20001,MATCH($O48,'JLR Machines'!$A$2:$A$20001,0)),$AB48)),$AB48)</f>
        <v>2026-09-29</v>
      </c>
      <c r="M48" s="36" t="str">
        <f>IF($X48&gt;0,IF($Y48&gt;0,"JLR machine "&amp;$O48&amp;" at "&amp;TEXT($X48,"0.00")&amp;" per hr — build-up as supplied","JLR machine "&amp;$O48&amp;" at "&amp;TEXT($X48,"0.00")&amp;" per hr — build-up not supplied"),$AA48)</f>
        <v>UK plastics benchmark, Jun 2026</v>
      </c>
      <c r="N48" s="33" t="s">
        <v>1380</v>
      </c>
      <c r="O48" s="37" t="str">
        <f>IFERROR(INDEX(Mapping!$C$2:$C$549,MATCH($A48,Mapping!$A$2:$A$549,0)),"")</f>
        <v/>
      </c>
      <c r="P48" s="37">
        <f>IF($O48="",0,COUNTIFS('JLR Machines'!$A$2:$A$20001,$O48,'JLR Machines'!$C$2:$C$20001,IF(Settings!$B$2="","&lt;&gt;",Settings!$B$2),'JLR Machines'!$D$2:$D$20001,IF(Settings!$B$3="","&lt;&gt;",Settings!$B$3)))</f>
        <v>0</v>
      </c>
      <c r="Q48" s="39">
        <f>IF($P48&lt;&gt;1,0,SUMIFS('JLR Machines'!$G$2:$G$20001,'JLR Machines'!$A$2:$A$20001,$O48,'JLR Machines'!$C$2:$C$20001,IF(Settings!$B$2="","&lt;&gt;",Settings!$B$2),'JLR Machines'!$D$2:$D$20001,IF(Settings!$B$3="","&lt;&gt;",Settings!$B$3)))</f>
        <v>0</v>
      </c>
      <c r="R48" s="39">
        <f>IF($P48&lt;&gt;1,0,SUMIFS('JLR Machines'!$H$2:$H$20001,'JLR Machines'!$A$2:$A$20001,$O48,'JLR Machines'!$C$2:$C$20001,IF(Settings!$B$2="","&lt;&gt;",Settings!$B$2),'JLR Machines'!$D$2:$D$20001,IF(Settings!$B$3="","&lt;&gt;",Settings!$B$3)))</f>
        <v>0</v>
      </c>
      <c r="S48" s="39">
        <f>IF($P48&lt;&gt;1,0,SUMIFS('JLR Machines'!$I$2:$I$20001,'JLR Machines'!$A$2:$A$20001,$O48,'JLR Machines'!$C$2:$C$20001,IF(Settings!$B$2="","&lt;&gt;",Settings!$B$2),'JLR Machines'!$D$2:$D$20001,IF(Settings!$B$3="","&lt;&gt;",Settings!$B$3)))</f>
        <v>0</v>
      </c>
      <c r="T48" s="39">
        <f>IF($P48&lt;&gt;1,0,SUMIFS('JLR Machines'!$J$2:$J$20001,'JLR Machines'!$A$2:$A$20001,$O48,'JLR Machines'!$C$2:$C$20001,IF(Settings!$B$2="","&lt;&gt;",Settings!$B$2),'JLR Machines'!$D$2:$D$20001,IF(Settings!$B$3="","&lt;&gt;",Settings!$B$3)))</f>
        <v>0</v>
      </c>
      <c r="U48" s="39">
        <f>IF($P48&lt;&gt;1,0,SUMIFS('JLR Machines'!$K$2:$K$20001,'JLR Machines'!$A$2:$A$20001,$O48,'JLR Machines'!$C$2:$C$20001,IF(Settings!$B$2="","&lt;&gt;",Settings!$B$2),'JLR Machines'!$D$2:$D$20001,IF(Settings!$B$3="","&lt;&gt;",Settings!$B$3)))</f>
        <v>0</v>
      </c>
      <c r="V48" s="39">
        <f>IF($P48&lt;&gt;1,0,SUMIFS('JLR Machines'!$L$2:$L$20001,'JLR Machines'!$A$2:$A$20001,$O48,'JLR Machines'!$C$2:$C$20001,IF(Settings!$B$2="","&lt;&gt;",Settings!$B$2),'JLR Machines'!$D$2:$D$20001,IF(Settings!$B$3="","&lt;&gt;",Settings!$B$3)))</f>
        <v>0</v>
      </c>
      <c r="W48" s="39">
        <f>IF($P48&lt;&gt;1,0,SUMIFS('JLR Machines'!$M$2:$M$20001,'JLR Machines'!$A$2:$A$20001,$O48,'JLR Machines'!$C$2:$C$20001,IF(Settings!$B$2="","&lt;&gt;",Settings!$B$2),'JLR Machines'!$D$2:$D$20001,IF(Settings!$B$3="","&lt;&gt;",Settings!$B$3)))</f>
        <v>0</v>
      </c>
      <c r="X48" s="39">
        <f>IF($P48&lt;&gt;1,0,SUMIFS('JLR Machines'!$N$2:$N$20001,'JLR Machines'!$A$2:$A$20001,$O48,'JLR Machines'!$C$2:$C$20001,IF(Settings!$B$2="","&lt;&gt;",Settings!$B$2),'JLR Machines'!$D$2:$D$20001,IF(Settings!$B$3="","&lt;&gt;",Settings!$B$3)))</f>
        <v>0</v>
      </c>
      <c r="Y48" s="39">
        <f>$Q48+$R48+$S48+$T48+$U48+$V48+$W48</f>
        <v>0</v>
      </c>
      <c r="Z48" s="38">
        <f>IF($X48&lt;=0,0,ROUND((D48+E48+F48+G48+H48+I48)/3200-$X48,4))</f>
        <v>0</v>
      </c>
      <c r="AA48" s="40" t="s">
        <v>2182</v>
      </c>
      <c r="AB48" s="40" t="s">
        <v>2099</v>
      </c>
    </row>
    <row r="49" spans="1:28" x14ac:dyDescent="0.25">
      <c r="A49" s="32" t="s">
        <v>1018</v>
      </c>
      <c r="B49" s="33" t="s">
        <v>2186</v>
      </c>
      <c r="C49" s="33" t="s">
        <v>1379</v>
      </c>
      <c r="D49" s="41">
        <f>IF($X49&gt;0,IF($Y49&gt;0,MAX(0,$Q49+$X49-$Y49)*3200,$X49*3200),50600)</f>
        <v>50600</v>
      </c>
      <c r="E49" s="41">
        <f>IF($X49&gt;0,IF($Y49&gt;0,$S49*3200,0),22211)</f>
        <v>22211</v>
      </c>
      <c r="F49" s="41">
        <f>IF($X49&gt;0,IF($Y49&gt;0,$V49*3200,0),83896)</f>
        <v>83896</v>
      </c>
      <c r="G49" s="41">
        <f>IF($X49&gt;0,IF($Y49&gt;0,$R49*3200,0),9591)</f>
        <v>9591</v>
      </c>
      <c r="H49" s="41">
        <f>IF($X49&gt;0,IF($Y49&gt;0,($T49+$W49)*3200,0),10072)</f>
        <v>10072</v>
      </c>
      <c r="I49" s="41">
        <f>IF($X49&gt;0,IF($Y49&gt;0,$U49*3200,0),6250)</f>
        <v>6250</v>
      </c>
      <c r="J49" s="35">
        <v>4000</v>
      </c>
      <c r="K49" s="42">
        <v>0.8</v>
      </c>
      <c r="L49" s="36" t="str">
        <f>IF($X49&gt;0,IF($P49&lt;&gt;1,$AB49,IFERROR(INDEX('JLR Machines'!$D$2:$D$20001,MATCH($O49,'JLR Machines'!$A$2:$A$20001,0)),$AB49)),$AB49)</f>
        <v>2026-09-29</v>
      </c>
      <c r="M49" s="36" t="str">
        <f>IF($X49&gt;0,IF($Y49&gt;0,"JLR machine "&amp;$O49&amp;" at "&amp;TEXT($X49,"0.00")&amp;" per hr — build-up as supplied","JLR machine "&amp;$O49&amp;" at "&amp;TEXT($X49,"0.00")&amp;" per hr — build-up not supplied"),$AA49)</f>
        <v>UK plastics benchmark, Jun 2026</v>
      </c>
      <c r="N49" s="33" t="s">
        <v>1380</v>
      </c>
      <c r="O49" s="37" t="str">
        <f>IFERROR(INDEX(Mapping!$C$2:$C$549,MATCH($A49,Mapping!$A$2:$A$549,0)),"")</f>
        <v/>
      </c>
      <c r="P49" s="37">
        <f>IF($O49="",0,COUNTIFS('JLR Machines'!$A$2:$A$20001,$O49,'JLR Machines'!$C$2:$C$20001,IF(Settings!$B$2="","&lt;&gt;",Settings!$B$2),'JLR Machines'!$D$2:$D$20001,IF(Settings!$B$3="","&lt;&gt;",Settings!$B$3)))</f>
        <v>0</v>
      </c>
      <c r="Q49" s="39">
        <f>IF($P49&lt;&gt;1,0,SUMIFS('JLR Machines'!$G$2:$G$20001,'JLR Machines'!$A$2:$A$20001,$O49,'JLR Machines'!$C$2:$C$20001,IF(Settings!$B$2="","&lt;&gt;",Settings!$B$2),'JLR Machines'!$D$2:$D$20001,IF(Settings!$B$3="","&lt;&gt;",Settings!$B$3)))</f>
        <v>0</v>
      </c>
      <c r="R49" s="39">
        <f>IF($P49&lt;&gt;1,0,SUMIFS('JLR Machines'!$H$2:$H$20001,'JLR Machines'!$A$2:$A$20001,$O49,'JLR Machines'!$C$2:$C$20001,IF(Settings!$B$2="","&lt;&gt;",Settings!$B$2),'JLR Machines'!$D$2:$D$20001,IF(Settings!$B$3="","&lt;&gt;",Settings!$B$3)))</f>
        <v>0</v>
      </c>
      <c r="S49" s="39">
        <f>IF($P49&lt;&gt;1,0,SUMIFS('JLR Machines'!$I$2:$I$20001,'JLR Machines'!$A$2:$A$20001,$O49,'JLR Machines'!$C$2:$C$20001,IF(Settings!$B$2="","&lt;&gt;",Settings!$B$2),'JLR Machines'!$D$2:$D$20001,IF(Settings!$B$3="","&lt;&gt;",Settings!$B$3)))</f>
        <v>0</v>
      </c>
      <c r="T49" s="39">
        <f>IF($P49&lt;&gt;1,0,SUMIFS('JLR Machines'!$J$2:$J$20001,'JLR Machines'!$A$2:$A$20001,$O49,'JLR Machines'!$C$2:$C$20001,IF(Settings!$B$2="","&lt;&gt;",Settings!$B$2),'JLR Machines'!$D$2:$D$20001,IF(Settings!$B$3="","&lt;&gt;",Settings!$B$3)))</f>
        <v>0</v>
      </c>
      <c r="U49" s="39">
        <f>IF($P49&lt;&gt;1,0,SUMIFS('JLR Machines'!$K$2:$K$20001,'JLR Machines'!$A$2:$A$20001,$O49,'JLR Machines'!$C$2:$C$20001,IF(Settings!$B$2="","&lt;&gt;",Settings!$B$2),'JLR Machines'!$D$2:$D$20001,IF(Settings!$B$3="","&lt;&gt;",Settings!$B$3)))</f>
        <v>0</v>
      </c>
      <c r="V49" s="39">
        <f>IF($P49&lt;&gt;1,0,SUMIFS('JLR Machines'!$L$2:$L$20001,'JLR Machines'!$A$2:$A$20001,$O49,'JLR Machines'!$C$2:$C$20001,IF(Settings!$B$2="","&lt;&gt;",Settings!$B$2),'JLR Machines'!$D$2:$D$20001,IF(Settings!$B$3="","&lt;&gt;",Settings!$B$3)))</f>
        <v>0</v>
      </c>
      <c r="W49" s="39">
        <f>IF($P49&lt;&gt;1,0,SUMIFS('JLR Machines'!$M$2:$M$20001,'JLR Machines'!$A$2:$A$20001,$O49,'JLR Machines'!$C$2:$C$20001,IF(Settings!$B$2="","&lt;&gt;",Settings!$B$2),'JLR Machines'!$D$2:$D$20001,IF(Settings!$B$3="","&lt;&gt;",Settings!$B$3)))</f>
        <v>0</v>
      </c>
      <c r="X49" s="39">
        <f>IF($P49&lt;&gt;1,0,SUMIFS('JLR Machines'!$N$2:$N$20001,'JLR Machines'!$A$2:$A$20001,$O49,'JLR Machines'!$C$2:$C$20001,IF(Settings!$B$2="","&lt;&gt;",Settings!$B$2),'JLR Machines'!$D$2:$D$20001,IF(Settings!$B$3="","&lt;&gt;",Settings!$B$3)))</f>
        <v>0</v>
      </c>
      <c r="Y49" s="39">
        <f>$Q49+$R49+$S49+$T49+$U49+$V49+$W49</f>
        <v>0</v>
      </c>
      <c r="Z49" s="38">
        <f>IF($X49&lt;=0,0,ROUND((D49+E49+F49+G49+H49+I49)/3200-$X49,4))</f>
        <v>0</v>
      </c>
      <c r="AA49" s="40" t="s">
        <v>2182</v>
      </c>
      <c r="AB49" s="40" t="s">
        <v>2099</v>
      </c>
    </row>
    <row r="50" spans="1:28" x14ac:dyDescent="0.25">
      <c r="A50" s="32" t="s">
        <v>1020</v>
      </c>
      <c r="B50" s="33" t="s">
        <v>2187</v>
      </c>
      <c r="C50" s="33" t="s">
        <v>1379</v>
      </c>
      <c r="D50" s="41">
        <f>IF($X50&gt;0,IF($Y50&gt;0,MAX(0,$Q50+$X50-$Y50)*3120,$X50*3120),70840)</f>
        <v>70840</v>
      </c>
      <c r="E50" s="41">
        <f>IF($X50&gt;0,IF($Y50&gt;0,$S50*3120,0),32307)</f>
        <v>32307</v>
      </c>
      <c r="F50" s="41">
        <f>IF($X50&gt;0,IF($Y50&gt;0,$V50*3120,0),122348)</f>
        <v>122348</v>
      </c>
      <c r="G50" s="41">
        <f>IF($X50&gt;0,IF($Y50&gt;0,$R50*3120,0),14135)</f>
        <v>14135</v>
      </c>
      <c r="H50" s="41">
        <f>IF($X50&gt;0,IF($Y50&gt;0,($T50+$W50)*3120,0),14100)</f>
        <v>14100</v>
      </c>
      <c r="I50" s="41">
        <f>IF($X50&gt;0,IF($Y50&gt;0,$U50*3120,0),8750)</f>
        <v>8750</v>
      </c>
      <c r="J50" s="35">
        <v>4000</v>
      </c>
      <c r="K50" s="42">
        <v>0.78</v>
      </c>
      <c r="L50" s="36" t="str">
        <f>IF($X50&gt;0,IF($P50&lt;&gt;1,$AB50,IFERROR(INDEX('JLR Machines'!$D$2:$D$20001,MATCH($O50,'JLR Machines'!$A$2:$A$20001,0)),$AB50)),$AB50)</f>
        <v>2026-09-29</v>
      </c>
      <c r="M50" s="36" t="str">
        <f>IF($X50&gt;0,IF($Y50&gt;0,"JLR machine "&amp;$O50&amp;" at "&amp;TEXT($X50,"0.00")&amp;" per hr — build-up as supplied","JLR machine "&amp;$O50&amp;" at "&amp;TEXT($X50,"0.00")&amp;" per hr — build-up not supplied"),$AA50)</f>
        <v>UK plastics benchmark, Jun 2026</v>
      </c>
      <c r="N50" s="33" t="s">
        <v>1380</v>
      </c>
      <c r="O50" s="37" t="str">
        <f>IFERROR(INDEX(Mapping!$C$2:$C$549,MATCH($A50,Mapping!$A$2:$A$549,0)),"")</f>
        <v/>
      </c>
      <c r="P50" s="37">
        <f>IF($O50="",0,COUNTIFS('JLR Machines'!$A$2:$A$20001,$O50,'JLR Machines'!$C$2:$C$20001,IF(Settings!$B$2="","&lt;&gt;",Settings!$B$2),'JLR Machines'!$D$2:$D$20001,IF(Settings!$B$3="","&lt;&gt;",Settings!$B$3)))</f>
        <v>0</v>
      </c>
      <c r="Q50" s="39">
        <f>IF($P50&lt;&gt;1,0,SUMIFS('JLR Machines'!$G$2:$G$20001,'JLR Machines'!$A$2:$A$20001,$O50,'JLR Machines'!$C$2:$C$20001,IF(Settings!$B$2="","&lt;&gt;",Settings!$B$2),'JLR Machines'!$D$2:$D$20001,IF(Settings!$B$3="","&lt;&gt;",Settings!$B$3)))</f>
        <v>0</v>
      </c>
      <c r="R50" s="39">
        <f>IF($P50&lt;&gt;1,0,SUMIFS('JLR Machines'!$H$2:$H$20001,'JLR Machines'!$A$2:$A$20001,$O50,'JLR Machines'!$C$2:$C$20001,IF(Settings!$B$2="","&lt;&gt;",Settings!$B$2),'JLR Machines'!$D$2:$D$20001,IF(Settings!$B$3="","&lt;&gt;",Settings!$B$3)))</f>
        <v>0</v>
      </c>
      <c r="S50" s="39">
        <f>IF($P50&lt;&gt;1,0,SUMIFS('JLR Machines'!$I$2:$I$20001,'JLR Machines'!$A$2:$A$20001,$O50,'JLR Machines'!$C$2:$C$20001,IF(Settings!$B$2="","&lt;&gt;",Settings!$B$2),'JLR Machines'!$D$2:$D$20001,IF(Settings!$B$3="","&lt;&gt;",Settings!$B$3)))</f>
        <v>0</v>
      </c>
      <c r="T50" s="39">
        <f>IF($P50&lt;&gt;1,0,SUMIFS('JLR Machines'!$J$2:$J$20001,'JLR Machines'!$A$2:$A$20001,$O50,'JLR Machines'!$C$2:$C$20001,IF(Settings!$B$2="","&lt;&gt;",Settings!$B$2),'JLR Machines'!$D$2:$D$20001,IF(Settings!$B$3="","&lt;&gt;",Settings!$B$3)))</f>
        <v>0</v>
      </c>
      <c r="U50" s="39">
        <f>IF($P50&lt;&gt;1,0,SUMIFS('JLR Machines'!$K$2:$K$20001,'JLR Machines'!$A$2:$A$20001,$O50,'JLR Machines'!$C$2:$C$20001,IF(Settings!$B$2="","&lt;&gt;",Settings!$B$2),'JLR Machines'!$D$2:$D$20001,IF(Settings!$B$3="","&lt;&gt;",Settings!$B$3)))</f>
        <v>0</v>
      </c>
      <c r="V50" s="39">
        <f>IF($P50&lt;&gt;1,0,SUMIFS('JLR Machines'!$L$2:$L$20001,'JLR Machines'!$A$2:$A$20001,$O50,'JLR Machines'!$C$2:$C$20001,IF(Settings!$B$2="","&lt;&gt;",Settings!$B$2),'JLR Machines'!$D$2:$D$20001,IF(Settings!$B$3="","&lt;&gt;",Settings!$B$3)))</f>
        <v>0</v>
      </c>
      <c r="W50" s="39">
        <f>IF($P50&lt;&gt;1,0,SUMIFS('JLR Machines'!$M$2:$M$20001,'JLR Machines'!$A$2:$A$20001,$O50,'JLR Machines'!$C$2:$C$20001,IF(Settings!$B$2="","&lt;&gt;",Settings!$B$2),'JLR Machines'!$D$2:$D$20001,IF(Settings!$B$3="","&lt;&gt;",Settings!$B$3)))</f>
        <v>0</v>
      </c>
      <c r="X50" s="39">
        <f>IF($P50&lt;&gt;1,0,SUMIFS('JLR Machines'!$N$2:$N$20001,'JLR Machines'!$A$2:$A$20001,$O50,'JLR Machines'!$C$2:$C$20001,IF(Settings!$B$2="","&lt;&gt;",Settings!$B$2),'JLR Machines'!$D$2:$D$20001,IF(Settings!$B$3="","&lt;&gt;",Settings!$B$3)))</f>
        <v>0</v>
      </c>
      <c r="Y50" s="39">
        <f>$Q50+$R50+$S50+$T50+$U50+$V50+$W50</f>
        <v>0</v>
      </c>
      <c r="Z50" s="38">
        <f>IF($X50&lt;=0,0,ROUND((D50+E50+F50+G50+H50+I50)/3120-$X50,4))</f>
        <v>0</v>
      </c>
      <c r="AA50" s="40" t="s">
        <v>2182</v>
      </c>
      <c r="AB50" s="40" t="s">
        <v>2099</v>
      </c>
    </row>
    <row r="51" spans="1:28" x14ac:dyDescent="0.25">
      <c r="A51" s="32" t="s">
        <v>1022</v>
      </c>
      <c r="B51" s="33" t="s">
        <v>2188</v>
      </c>
      <c r="C51" s="33" t="s">
        <v>1379</v>
      </c>
      <c r="D51" s="41">
        <f>IF($X51&gt;0,IF($Y51&gt;0,MAX(0,$Q51+$X51-$Y51)*3120,$X51*3120),101200)</f>
        <v>101200</v>
      </c>
      <c r="E51" s="41">
        <f>IF($X51&gt;0,IF($Y51&gt;0,$S51*3120,0),46441)</f>
        <v>46441</v>
      </c>
      <c r="F51" s="41">
        <f>IF($X51&gt;0,IF($Y51&gt;0,$V51*3120,0),174783)</f>
        <v>174783</v>
      </c>
      <c r="G51" s="41">
        <f>IF($X51&gt;0,IF($Y51&gt;0,$R51*3120,0),20192)</f>
        <v>20192</v>
      </c>
      <c r="H51" s="41">
        <f>IF($X51&gt;0,IF($Y51&gt;0,($T51+$W51)*3120,0),20143)</f>
        <v>20143</v>
      </c>
      <c r="I51" s="41">
        <f>IF($X51&gt;0,IF($Y51&gt;0,$U51*3120,0),12500)</f>
        <v>12500</v>
      </c>
      <c r="J51" s="35">
        <v>4000</v>
      </c>
      <c r="K51" s="42">
        <v>0.78</v>
      </c>
      <c r="L51" s="36" t="str">
        <f>IF($X51&gt;0,IF($P51&lt;&gt;1,$AB51,IFERROR(INDEX('JLR Machines'!$D$2:$D$20001,MATCH($O51,'JLR Machines'!$A$2:$A$20001,0)),$AB51)),$AB51)</f>
        <v>2026-09-29</v>
      </c>
      <c r="M51" s="36" t="str">
        <f>IF($X51&gt;0,IF($Y51&gt;0,"JLR machine "&amp;$O51&amp;" at "&amp;TEXT($X51,"0.00")&amp;" per hr — build-up as supplied","JLR machine "&amp;$O51&amp;" at "&amp;TEXT($X51,"0.00")&amp;" per hr — build-up not supplied"),$AA51)</f>
        <v>UK plastics benchmark (large structural mouldings), Jun 2026</v>
      </c>
      <c r="N51" s="33" t="s">
        <v>1380</v>
      </c>
      <c r="O51" s="37" t="str">
        <f>IFERROR(INDEX(Mapping!$C$2:$C$549,MATCH($A51,Mapping!$A$2:$A$549,0)),"")</f>
        <v/>
      </c>
      <c r="P51" s="37">
        <f>IF($O51="",0,COUNTIFS('JLR Machines'!$A$2:$A$20001,$O51,'JLR Machines'!$C$2:$C$20001,IF(Settings!$B$2="","&lt;&gt;",Settings!$B$2),'JLR Machines'!$D$2:$D$20001,IF(Settings!$B$3="","&lt;&gt;",Settings!$B$3)))</f>
        <v>0</v>
      </c>
      <c r="Q51" s="39">
        <f>IF($P51&lt;&gt;1,0,SUMIFS('JLR Machines'!$G$2:$G$20001,'JLR Machines'!$A$2:$A$20001,$O51,'JLR Machines'!$C$2:$C$20001,IF(Settings!$B$2="","&lt;&gt;",Settings!$B$2),'JLR Machines'!$D$2:$D$20001,IF(Settings!$B$3="","&lt;&gt;",Settings!$B$3)))</f>
        <v>0</v>
      </c>
      <c r="R51" s="39">
        <f>IF($P51&lt;&gt;1,0,SUMIFS('JLR Machines'!$H$2:$H$20001,'JLR Machines'!$A$2:$A$20001,$O51,'JLR Machines'!$C$2:$C$20001,IF(Settings!$B$2="","&lt;&gt;",Settings!$B$2),'JLR Machines'!$D$2:$D$20001,IF(Settings!$B$3="","&lt;&gt;",Settings!$B$3)))</f>
        <v>0</v>
      </c>
      <c r="S51" s="39">
        <f>IF($P51&lt;&gt;1,0,SUMIFS('JLR Machines'!$I$2:$I$20001,'JLR Machines'!$A$2:$A$20001,$O51,'JLR Machines'!$C$2:$C$20001,IF(Settings!$B$2="","&lt;&gt;",Settings!$B$2),'JLR Machines'!$D$2:$D$20001,IF(Settings!$B$3="","&lt;&gt;",Settings!$B$3)))</f>
        <v>0</v>
      </c>
      <c r="T51" s="39">
        <f>IF($P51&lt;&gt;1,0,SUMIFS('JLR Machines'!$J$2:$J$20001,'JLR Machines'!$A$2:$A$20001,$O51,'JLR Machines'!$C$2:$C$20001,IF(Settings!$B$2="","&lt;&gt;",Settings!$B$2),'JLR Machines'!$D$2:$D$20001,IF(Settings!$B$3="","&lt;&gt;",Settings!$B$3)))</f>
        <v>0</v>
      </c>
      <c r="U51" s="39">
        <f>IF($P51&lt;&gt;1,0,SUMIFS('JLR Machines'!$K$2:$K$20001,'JLR Machines'!$A$2:$A$20001,$O51,'JLR Machines'!$C$2:$C$20001,IF(Settings!$B$2="","&lt;&gt;",Settings!$B$2),'JLR Machines'!$D$2:$D$20001,IF(Settings!$B$3="","&lt;&gt;",Settings!$B$3)))</f>
        <v>0</v>
      </c>
      <c r="V51" s="39">
        <f>IF($P51&lt;&gt;1,0,SUMIFS('JLR Machines'!$L$2:$L$20001,'JLR Machines'!$A$2:$A$20001,$O51,'JLR Machines'!$C$2:$C$20001,IF(Settings!$B$2="","&lt;&gt;",Settings!$B$2),'JLR Machines'!$D$2:$D$20001,IF(Settings!$B$3="","&lt;&gt;",Settings!$B$3)))</f>
        <v>0</v>
      </c>
      <c r="W51" s="39">
        <f>IF($P51&lt;&gt;1,0,SUMIFS('JLR Machines'!$M$2:$M$20001,'JLR Machines'!$A$2:$A$20001,$O51,'JLR Machines'!$C$2:$C$20001,IF(Settings!$B$2="","&lt;&gt;",Settings!$B$2),'JLR Machines'!$D$2:$D$20001,IF(Settings!$B$3="","&lt;&gt;",Settings!$B$3)))</f>
        <v>0</v>
      </c>
      <c r="X51" s="39">
        <f>IF($P51&lt;&gt;1,0,SUMIFS('JLR Machines'!$N$2:$N$20001,'JLR Machines'!$A$2:$A$20001,$O51,'JLR Machines'!$C$2:$C$20001,IF(Settings!$B$2="","&lt;&gt;",Settings!$B$2),'JLR Machines'!$D$2:$D$20001,IF(Settings!$B$3="","&lt;&gt;",Settings!$B$3)))</f>
        <v>0</v>
      </c>
      <c r="Y51" s="39">
        <f>$Q51+$R51+$S51+$T51+$U51+$V51+$W51</f>
        <v>0</v>
      </c>
      <c r="Z51" s="38">
        <f>IF($X51&lt;=0,0,ROUND((D51+E51+F51+G51+H51+I51)/3120-$X51,4))</f>
        <v>0</v>
      </c>
      <c r="AA51" s="40" t="s">
        <v>2189</v>
      </c>
      <c r="AB51" s="40" t="s">
        <v>2099</v>
      </c>
    </row>
    <row r="52" spans="1:28" x14ac:dyDescent="0.25">
      <c r="A52" s="32" t="s">
        <v>1024</v>
      </c>
      <c r="B52" s="33" t="s">
        <v>2190</v>
      </c>
      <c r="C52" s="33" t="s">
        <v>1379</v>
      </c>
      <c r="D52" s="41">
        <f>IF($X52&gt;0,IF($Y52&gt;0,MAX(0,$Q52+$X52-$Y52)*3040,$X52*3040),159896)</f>
        <v>159896</v>
      </c>
      <c r="E52" s="41">
        <f>IF($X52&gt;0,IF($Y52&gt;0,$S52*3040,0),72690)</f>
        <v>72690</v>
      </c>
      <c r="F52" s="41">
        <f>IF($X52&gt;0,IF($Y52&gt;0,$V52*3040,0),270331)</f>
        <v>270331</v>
      </c>
      <c r="G52" s="41">
        <f>IF($X52&gt;0,IF($Y52&gt;0,$R52*3040,0),30288)</f>
        <v>30288</v>
      </c>
      <c r="H52" s="41">
        <f>IF($X52&gt;0,IF($Y52&gt;0,($T52+$W52)*3040,0),31222)</f>
        <v>31222</v>
      </c>
      <c r="I52" s="41">
        <f>IF($X52&gt;0,IF($Y52&gt;0,$U52*3040,0),19750)</f>
        <v>19750</v>
      </c>
      <c r="J52" s="35">
        <v>4000</v>
      </c>
      <c r="K52" s="42">
        <v>0.76</v>
      </c>
      <c r="L52" s="36" t="str">
        <f>IF($X52&gt;0,IF($P52&lt;&gt;1,$AB52,IFERROR(INDEX('JLR Machines'!$D$2:$D$20001,MATCH($O52,'JLR Machines'!$A$2:$A$20001,0)),$AB52)),$AB52)</f>
        <v>2026-09-29</v>
      </c>
      <c r="M52" s="36" t="str">
        <f>IF($X52&gt;0,IF($Y52&gt;0,"JLR machine "&amp;$O52&amp;" at "&amp;TEXT($X52,"0.00")&amp;" per hr — build-up as supplied","JLR machine "&amp;$O52&amp;" at "&amp;TEXT($X52,"0.00")&amp;" per hr — build-up not supplied"),$AA52)</f>
        <v>UK plastics benchmark (large automotive mouldings — door panels, cladding), Jun 2026</v>
      </c>
      <c r="N52" s="33" t="s">
        <v>1380</v>
      </c>
      <c r="O52" s="37" t="str">
        <f>IFERROR(INDEX(Mapping!$C$2:$C$549,MATCH($A52,Mapping!$A$2:$A$549,0)),"")</f>
        <v/>
      </c>
      <c r="P52" s="37">
        <f>IF($O52="",0,COUNTIFS('JLR Machines'!$A$2:$A$20001,$O52,'JLR Machines'!$C$2:$C$20001,IF(Settings!$B$2="","&lt;&gt;",Settings!$B$2),'JLR Machines'!$D$2:$D$20001,IF(Settings!$B$3="","&lt;&gt;",Settings!$B$3)))</f>
        <v>0</v>
      </c>
      <c r="Q52" s="39">
        <f>IF($P52&lt;&gt;1,0,SUMIFS('JLR Machines'!$G$2:$G$20001,'JLR Machines'!$A$2:$A$20001,$O52,'JLR Machines'!$C$2:$C$20001,IF(Settings!$B$2="","&lt;&gt;",Settings!$B$2),'JLR Machines'!$D$2:$D$20001,IF(Settings!$B$3="","&lt;&gt;",Settings!$B$3)))</f>
        <v>0</v>
      </c>
      <c r="R52" s="39">
        <f>IF($P52&lt;&gt;1,0,SUMIFS('JLR Machines'!$H$2:$H$20001,'JLR Machines'!$A$2:$A$20001,$O52,'JLR Machines'!$C$2:$C$20001,IF(Settings!$B$2="","&lt;&gt;",Settings!$B$2),'JLR Machines'!$D$2:$D$20001,IF(Settings!$B$3="","&lt;&gt;",Settings!$B$3)))</f>
        <v>0</v>
      </c>
      <c r="S52" s="39">
        <f>IF($P52&lt;&gt;1,0,SUMIFS('JLR Machines'!$I$2:$I$20001,'JLR Machines'!$A$2:$A$20001,$O52,'JLR Machines'!$C$2:$C$20001,IF(Settings!$B$2="","&lt;&gt;",Settings!$B$2),'JLR Machines'!$D$2:$D$20001,IF(Settings!$B$3="","&lt;&gt;",Settings!$B$3)))</f>
        <v>0</v>
      </c>
      <c r="T52" s="39">
        <f>IF($P52&lt;&gt;1,0,SUMIFS('JLR Machines'!$J$2:$J$20001,'JLR Machines'!$A$2:$A$20001,$O52,'JLR Machines'!$C$2:$C$20001,IF(Settings!$B$2="","&lt;&gt;",Settings!$B$2),'JLR Machines'!$D$2:$D$20001,IF(Settings!$B$3="","&lt;&gt;",Settings!$B$3)))</f>
        <v>0</v>
      </c>
      <c r="U52" s="39">
        <f>IF($P52&lt;&gt;1,0,SUMIFS('JLR Machines'!$K$2:$K$20001,'JLR Machines'!$A$2:$A$20001,$O52,'JLR Machines'!$C$2:$C$20001,IF(Settings!$B$2="","&lt;&gt;",Settings!$B$2),'JLR Machines'!$D$2:$D$20001,IF(Settings!$B$3="","&lt;&gt;",Settings!$B$3)))</f>
        <v>0</v>
      </c>
      <c r="V52" s="39">
        <f>IF($P52&lt;&gt;1,0,SUMIFS('JLR Machines'!$L$2:$L$20001,'JLR Machines'!$A$2:$A$20001,$O52,'JLR Machines'!$C$2:$C$20001,IF(Settings!$B$2="","&lt;&gt;",Settings!$B$2),'JLR Machines'!$D$2:$D$20001,IF(Settings!$B$3="","&lt;&gt;",Settings!$B$3)))</f>
        <v>0</v>
      </c>
      <c r="W52" s="39">
        <f>IF($P52&lt;&gt;1,0,SUMIFS('JLR Machines'!$M$2:$M$20001,'JLR Machines'!$A$2:$A$20001,$O52,'JLR Machines'!$C$2:$C$20001,IF(Settings!$B$2="","&lt;&gt;",Settings!$B$2),'JLR Machines'!$D$2:$D$20001,IF(Settings!$B$3="","&lt;&gt;",Settings!$B$3)))</f>
        <v>0</v>
      </c>
      <c r="X52" s="39">
        <f>IF($P52&lt;&gt;1,0,SUMIFS('JLR Machines'!$N$2:$N$20001,'JLR Machines'!$A$2:$A$20001,$O52,'JLR Machines'!$C$2:$C$20001,IF(Settings!$B$2="","&lt;&gt;",Settings!$B$2),'JLR Machines'!$D$2:$D$20001,IF(Settings!$B$3="","&lt;&gt;",Settings!$B$3)))</f>
        <v>0</v>
      </c>
      <c r="Y52" s="39">
        <f>$Q52+$R52+$S52+$T52+$U52+$V52+$W52</f>
        <v>0</v>
      </c>
      <c r="Z52" s="38">
        <f>IF($X52&lt;=0,0,ROUND((D52+E52+F52+G52+H52+I52)/3040-$X52,4))</f>
        <v>0</v>
      </c>
      <c r="AA52" s="40" t="s">
        <v>2191</v>
      </c>
      <c r="AB52" s="40" t="s">
        <v>2099</v>
      </c>
    </row>
    <row r="53" spans="1:28" x14ac:dyDescent="0.25">
      <c r="A53" s="32" t="s">
        <v>1026</v>
      </c>
      <c r="B53" s="33" t="s">
        <v>2192</v>
      </c>
      <c r="C53" s="33" t="s">
        <v>1379</v>
      </c>
      <c r="D53" s="41">
        <f>IF($X53&gt;0,IF($Y53&gt;0,MAX(0,$Q53+$X53-$Y53)*2960,$X53*2960),268180)</f>
        <v>268180</v>
      </c>
      <c r="E53" s="41">
        <f>IF($X53&gt;0,IF($Y53&gt;0,$S53*2960,0),121150)</f>
        <v>121150</v>
      </c>
      <c r="F53" s="41">
        <f>IF($X53&gt;0,IF($Y53&gt;0,$V53*2960,0),454436)</f>
        <v>454436</v>
      </c>
      <c r="G53" s="41">
        <f>IF($X53&gt;0,IF($Y53&gt;0,$R53*2960,0),48461)</f>
        <v>48461</v>
      </c>
      <c r="H53" s="41">
        <f>IF($X53&gt;0,IF($Y53&gt;0,($T53+$W53)*2960,0),50358)</f>
        <v>50358</v>
      </c>
      <c r="I53" s="41">
        <f>IF($X53&gt;0,IF($Y53&gt;0,$U53*2960,0),33125)</f>
        <v>33125</v>
      </c>
      <c r="J53" s="35">
        <v>4000</v>
      </c>
      <c r="K53" s="42">
        <v>0.74</v>
      </c>
      <c r="L53" s="36" t="str">
        <f>IF($X53&gt;0,IF($P53&lt;&gt;1,$AB53,IFERROR(INDEX('JLR Machines'!$D$2:$D$20001,MATCH($O53,'JLR Machines'!$A$2:$A$20001,0)),$AB53)),$AB53)</f>
        <v>2026-09-29</v>
      </c>
      <c r="M53" s="36" t="str">
        <f>IF($X53&gt;0,IF($Y53&gt;0,"JLR machine "&amp;$O53&amp;" at "&amp;TEXT($X53,"0.00")&amp;" per hr — build-up as supplied","JLR machine "&amp;$O53&amp;" at "&amp;TEXT($X53,"0.00")&amp;" per hr — build-up not supplied"),$AA53)</f>
        <v>UK plastics benchmark (very large automotive — bumpers, IPs, tailgates; high clamp tonnage), Jun 2026</v>
      </c>
      <c r="N53" s="33" t="s">
        <v>1380</v>
      </c>
      <c r="O53" s="37" t="str">
        <f>IFERROR(INDEX(Mapping!$C$2:$C$549,MATCH($A53,Mapping!$A$2:$A$549,0)),"")</f>
        <v/>
      </c>
      <c r="P53" s="37">
        <f>IF($O53="",0,COUNTIFS('JLR Machines'!$A$2:$A$20001,$O53,'JLR Machines'!$C$2:$C$20001,IF(Settings!$B$2="","&lt;&gt;",Settings!$B$2),'JLR Machines'!$D$2:$D$20001,IF(Settings!$B$3="","&lt;&gt;",Settings!$B$3)))</f>
        <v>0</v>
      </c>
      <c r="Q53" s="39">
        <f>IF($P53&lt;&gt;1,0,SUMIFS('JLR Machines'!$G$2:$G$20001,'JLR Machines'!$A$2:$A$20001,$O53,'JLR Machines'!$C$2:$C$20001,IF(Settings!$B$2="","&lt;&gt;",Settings!$B$2),'JLR Machines'!$D$2:$D$20001,IF(Settings!$B$3="","&lt;&gt;",Settings!$B$3)))</f>
        <v>0</v>
      </c>
      <c r="R53" s="39">
        <f>IF($P53&lt;&gt;1,0,SUMIFS('JLR Machines'!$H$2:$H$20001,'JLR Machines'!$A$2:$A$20001,$O53,'JLR Machines'!$C$2:$C$20001,IF(Settings!$B$2="","&lt;&gt;",Settings!$B$2),'JLR Machines'!$D$2:$D$20001,IF(Settings!$B$3="","&lt;&gt;",Settings!$B$3)))</f>
        <v>0</v>
      </c>
      <c r="S53" s="39">
        <f>IF($P53&lt;&gt;1,0,SUMIFS('JLR Machines'!$I$2:$I$20001,'JLR Machines'!$A$2:$A$20001,$O53,'JLR Machines'!$C$2:$C$20001,IF(Settings!$B$2="","&lt;&gt;",Settings!$B$2),'JLR Machines'!$D$2:$D$20001,IF(Settings!$B$3="","&lt;&gt;",Settings!$B$3)))</f>
        <v>0</v>
      </c>
      <c r="T53" s="39">
        <f>IF($P53&lt;&gt;1,0,SUMIFS('JLR Machines'!$J$2:$J$20001,'JLR Machines'!$A$2:$A$20001,$O53,'JLR Machines'!$C$2:$C$20001,IF(Settings!$B$2="","&lt;&gt;",Settings!$B$2),'JLR Machines'!$D$2:$D$20001,IF(Settings!$B$3="","&lt;&gt;",Settings!$B$3)))</f>
        <v>0</v>
      </c>
      <c r="U53" s="39">
        <f>IF($P53&lt;&gt;1,0,SUMIFS('JLR Machines'!$K$2:$K$20001,'JLR Machines'!$A$2:$A$20001,$O53,'JLR Machines'!$C$2:$C$20001,IF(Settings!$B$2="","&lt;&gt;",Settings!$B$2),'JLR Machines'!$D$2:$D$20001,IF(Settings!$B$3="","&lt;&gt;",Settings!$B$3)))</f>
        <v>0</v>
      </c>
      <c r="V53" s="39">
        <f>IF($P53&lt;&gt;1,0,SUMIFS('JLR Machines'!$L$2:$L$20001,'JLR Machines'!$A$2:$A$20001,$O53,'JLR Machines'!$C$2:$C$20001,IF(Settings!$B$2="","&lt;&gt;",Settings!$B$2),'JLR Machines'!$D$2:$D$20001,IF(Settings!$B$3="","&lt;&gt;",Settings!$B$3)))</f>
        <v>0</v>
      </c>
      <c r="W53" s="39">
        <f>IF($P53&lt;&gt;1,0,SUMIFS('JLR Machines'!$M$2:$M$20001,'JLR Machines'!$A$2:$A$20001,$O53,'JLR Machines'!$C$2:$C$20001,IF(Settings!$B$2="","&lt;&gt;",Settings!$B$2),'JLR Machines'!$D$2:$D$20001,IF(Settings!$B$3="","&lt;&gt;",Settings!$B$3)))</f>
        <v>0</v>
      </c>
      <c r="X53" s="39">
        <f>IF($P53&lt;&gt;1,0,SUMIFS('JLR Machines'!$N$2:$N$20001,'JLR Machines'!$A$2:$A$20001,$O53,'JLR Machines'!$C$2:$C$20001,IF(Settings!$B$2="","&lt;&gt;",Settings!$B$2),'JLR Machines'!$D$2:$D$20001,IF(Settings!$B$3="","&lt;&gt;",Settings!$B$3)))</f>
        <v>0</v>
      </c>
      <c r="Y53" s="39">
        <f>$Q53+$R53+$S53+$T53+$U53+$V53+$W53</f>
        <v>0</v>
      </c>
      <c r="Z53" s="38">
        <f>IF($X53&lt;=0,0,ROUND((D53+E53+F53+G53+H53+I53)/2960-$X53,4))</f>
        <v>0</v>
      </c>
      <c r="AA53" s="40" t="s">
        <v>2193</v>
      </c>
      <c r="AB53" s="40" t="s">
        <v>2099</v>
      </c>
    </row>
    <row r="54" spans="1:28" x14ac:dyDescent="0.25">
      <c r="A54" s="32" t="s">
        <v>1028</v>
      </c>
      <c r="B54" s="33" t="s">
        <v>2194</v>
      </c>
      <c r="C54" s="33" t="s">
        <v>1379</v>
      </c>
      <c r="D54" s="41">
        <f>IF($X54&gt;0,IF($Y54&gt;0,MAX(0,$Q54+$X54-$Y54)*2730,$X54*2730),50600)</f>
        <v>50600</v>
      </c>
      <c r="E54" s="41">
        <f>IF($X54&gt;0,IF($Y54&gt;0,$S54*2730,0),25240)</f>
        <v>25240</v>
      </c>
      <c r="F54" s="41">
        <f>IF($X54&gt;0,IF($Y54&gt;0,$V54*2730,0),46609)</f>
        <v>46609</v>
      </c>
      <c r="G54" s="41">
        <f>IF($X54&gt;0,IF($Y54&gt;0,$R54*2730,0),12115)</f>
        <v>12115</v>
      </c>
      <c r="H54" s="41">
        <f>IF($X54&gt;0,IF($Y54&gt;0,($T54+$W54)*2730,0),10072)</f>
        <v>10072</v>
      </c>
      <c r="I54" s="41">
        <f>IF($X54&gt;0,IF($Y54&gt;0,$U54*2730,0),6250)</f>
        <v>6250</v>
      </c>
      <c r="J54" s="35">
        <v>3500</v>
      </c>
      <c r="K54" s="42">
        <v>0.78</v>
      </c>
      <c r="L54" s="36" t="str">
        <f>IF($X54&gt;0,IF($P54&lt;&gt;1,$AB54,IFERROR(INDEX('JLR Machines'!$D$2:$D$20001,MATCH($O54,'JLR Machines'!$A$2:$A$20001,0)),$AB54)),$AB54)</f>
        <v>2026-09-29</v>
      </c>
      <c r="M54" s="36" t="str">
        <f>IF($X54&gt;0,IF($Y54&gt;0,"JLR machine "&amp;$O54&amp;" at "&amp;TEXT($X54,"0.00")&amp;" per hr — build-up as supplied","JLR machine "&amp;$O54&amp;" at "&amp;TEXT($X54,"0.00")&amp;" per hr — build-up not supplied"),$AA54)</f>
        <v>UK foundry benchmark, Jun 2026</v>
      </c>
      <c r="N54" s="33" t="s">
        <v>1380</v>
      </c>
      <c r="O54" s="37" t="str">
        <f>IFERROR(INDEX(Mapping!$C$2:$C$549,MATCH($A54,Mapping!$A$2:$A$549,0)),"")</f>
        <v/>
      </c>
      <c r="P54" s="37">
        <f>IF($O54="",0,COUNTIFS('JLR Machines'!$A$2:$A$20001,$O54,'JLR Machines'!$C$2:$C$20001,IF(Settings!$B$2="","&lt;&gt;",Settings!$B$2),'JLR Machines'!$D$2:$D$20001,IF(Settings!$B$3="","&lt;&gt;",Settings!$B$3)))</f>
        <v>0</v>
      </c>
      <c r="Q54" s="39">
        <f>IF($P54&lt;&gt;1,0,SUMIFS('JLR Machines'!$G$2:$G$20001,'JLR Machines'!$A$2:$A$20001,$O54,'JLR Machines'!$C$2:$C$20001,IF(Settings!$B$2="","&lt;&gt;",Settings!$B$2),'JLR Machines'!$D$2:$D$20001,IF(Settings!$B$3="","&lt;&gt;",Settings!$B$3)))</f>
        <v>0</v>
      </c>
      <c r="R54" s="39">
        <f>IF($P54&lt;&gt;1,0,SUMIFS('JLR Machines'!$H$2:$H$20001,'JLR Machines'!$A$2:$A$20001,$O54,'JLR Machines'!$C$2:$C$20001,IF(Settings!$B$2="","&lt;&gt;",Settings!$B$2),'JLR Machines'!$D$2:$D$20001,IF(Settings!$B$3="","&lt;&gt;",Settings!$B$3)))</f>
        <v>0</v>
      </c>
      <c r="S54" s="39">
        <f>IF($P54&lt;&gt;1,0,SUMIFS('JLR Machines'!$I$2:$I$20001,'JLR Machines'!$A$2:$A$20001,$O54,'JLR Machines'!$C$2:$C$20001,IF(Settings!$B$2="","&lt;&gt;",Settings!$B$2),'JLR Machines'!$D$2:$D$20001,IF(Settings!$B$3="","&lt;&gt;",Settings!$B$3)))</f>
        <v>0</v>
      </c>
      <c r="T54" s="39">
        <f>IF($P54&lt;&gt;1,0,SUMIFS('JLR Machines'!$J$2:$J$20001,'JLR Machines'!$A$2:$A$20001,$O54,'JLR Machines'!$C$2:$C$20001,IF(Settings!$B$2="","&lt;&gt;",Settings!$B$2),'JLR Machines'!$D$2:$D$20001,IF(Settings!$B$3="","&lt;&gt;",Settings!$B$3)))</f>
        <v>0</v>
      </c>
      <c r="U54" s="39">
        <f>IF($P54&lt;&gt;1,0,SUMIFS('JLR Machines'!$K$2:$K$20001,'JLR Machines'!$A$2:$A$20001,$O54,'JLR Machines'!$C$2:$C$20001,IF(Settings!$B$2="","&lt;&gt;",Settings!$B$2),'JLR Machines'!$D$2:$D$20001,IF(Settings!$B$3="","&lt;&gt;",Settings!$B$3)))</f>
        <v>0</v>
      </c>
      <c r="V54" s="39">
        <f>IF($P54&lt;&gt;1,0,SUMIFS('JLR Machines'!$L$2:$L$20001,'JLR Machines'!$A$2:$A$20001,$O54,'JLR Machines'!$C$2:$C$20001,IF(Settings!$B$2="","&lt;&gt;",Settings!$B$2),'JLR Machines'!$D$2:$D$20001,IF(Settings!$B$3="","&lt;&gt;",Settings!$B$3)))</f>
        <v>0</v>
      </c>
      <c r="W54" s="39">
        <f>IF($P54&lt;&gt;1,0,SUMIFS('JLR Machines'!$M$2:$M$20001,'JLR Machines'!$A$2:$A$20001,$O54,'JLR Machines'!$C$2:$C$20001,IF(Settings!$B$2="","&lt;&gt;",Settings!$B$2),'JLR Machines'!$D$2:$D$20001,IF(Settings!$B$3="","&lt;&gt;",Settings!$B$3)))</f>
        <v>0</v>
      </c>
      <c r="X54" s="39">
        <f>IF($P54&lt;&gt;1,0,SUMIFS('JLR Machines'!$N$2:$N$20001,'JLR Machines'!$A$2:$A$20001,$O54,'JLR Machines'!$C$2:$C$20001,IF(Settings!$B$2="","&lt;&gt;",Settings!$B$2),'JLR Machines'!$D$2:$D$20001,IF(Settings!$B$3="","&lt;&gt;",Settings!$B$3)))</f>
        <v>0</v>
      </c>
      <c r="Y54" s="39">
        <f>$Q54+$R54+$S54+$T54+$U54+$V54+$W54</f>
        <v>0</v>
      </c>
      <c r="Z54" s="38">
        <f>IF($X54&lt;=0,0,ROUND((D54+E54+F54+G54+H54+I54)/2730-$X54,4))</f>
        <v>0</v>
      </c>
      <c r="AA54" s="40" t="s">
        <v>2195</v>
      </c>
      <c r="AB54" s="40" t="s">
        <v>2099</v>
      </c>
    </row>
    <row r="55" spans="1:28" x14ac:dyDescent="0.25">
      <c r="A55" s="32" t="s">
        <v>1030</v>
      </c>
      <c r="B55" s="33" t="s">
        <v>2196</v>
      </c>
      <c r="C55" s="33" t="s">
        <v>1379</v>
      </c>
      <c r="D55" s="41">
        <f>IF($X55&gt;0,IF($Y55&gt;0,MAX(0,$Q55+$X55-$Y55)*2730,$X55*2730),80960)</f>
        <v>80960</v>
      </c>
      <c r="E55" s="41">
        <f>IF($X55&gt;0,IF($Y55&gt;0,$S55*2730,0),38364)</f>
        <v>38364</v>
      </c>
      <c r="F55" s="41">
        <f>IF($X55&gt;0,IF($Y55&gt;0,$V55*2730,0),64087)</f>
        <v>64087</v>
      </c>
      <c r="G55" s="41">
        <f>IF($X55&gt;0,IF($Y55&gt;0,$R55*2730,0),18173)</f>
        <v>18173</v>
      </c>
      <c r="H55" s="41">
        <f>IF($X55&gt;0,IF($Y55&gt;0,($T55+$W55)*2730,0),15108)</f>
        <v>15108</v>
      </c>
      <c r="I55" s="41">
        <f>IF($X55&gt;0,IF($Y55&gt;0,$U55*2730,0),10000)</f>
        <v>10000</v>
      </c>
      <c r="J55" s="35">
        <v>3500</v>
      </c>
      <c r="K55" s="42">
        <v>0.78</v>
      </c>
      <c r="L55" s="36" t="str">
        <f>IF($X55&gt;0,IF($P55&lt;&gt;1,$AB55,IFERROR(INDEX('JLR Machines'!$D$2:$D$20001,MATCH($O55,'JLR Machines'!$A$2:$A$20001,0)),$AB55)),$AB55)</f>
        <v>2026-09-29</v>
      </c>
      <c r="M55" s="36" t="str">
        <f>IF($X55&gt;0,IF($Y55&gt;0,"JLR machine "&amp;$O55&amp;" at "&amp;TEXT($X55,"0.00")&amp;" per hr — build-up as supplied","JLR machine "&amp;$O55&amp;" at "&amp;TEXT($X55,"0.00")&amp;" per hr — build-up not supplied"),$AA55)</f>
        <v>UK foundry benchmark, Jun 2026</v>
      </c>
      <c r="N55" s="33" t="s">
        <v>1380</v>
      </c>
      <c r="O55" s="37" t="str">
        <f>IFERROR(INDEX(Mapping!$C$2:$C$549,MATCH($A55,Mapping!$A$2:$A$549,0)),"")</f>
        <v/>
      </c>
      <c r="P55" s="37">
        <f>IF($O55="",0,COUNTIFS('JLR Machines'!$A$2:$A$20001,$O55,'JLR Machines'!$C$2:$C$20001,IF(Settings!$B$2="","&lt;&gt;",Settings!$B$2),'JLR Machines'!$D$2:$D$20001,IF(Settings!$B$3="","&lt;&gt;",Settings!$B$3)))</f>
        <v>0</v>
      </c>
      <c r="Q55" s="39">
        <f>IF($P55&lt;&gt;1,0,SUMIFS('JLR Machines'!$G$2:$G$20001,'JLR Machines'!$A$2:$A$20001,$O55,'JLR Machines'!$C$2:$C$20001,IF(Settings!$B$2="","&lt;&gt;",Settings!$B$2),'JLR Machines'!$D$2:$D$20001,IF(Settings!$B$3="","&lt;&gt;",Settings!$B$3)))</f>
        <v>0</v>
      </c>
      <c r="R55" s="39">
        <f>IF($P55&lt;&gt;1,0,SUMIFS('JLR Machines'!$H$2:$H$20001,'JLR Machines'!$A$2:$A$20001,$O55,'JLR Machines'!$C$2:$C$20001,IF(Settings!$B$2="","&lt;&gt;",Settings!$B$2),'JLR Machines'!$D$2:$D$20001,IF(Settings!$B$3="","&lt;&gt;",Settings!$B$3)))</f>
        <v>0</v>
      </c>
      <c r="S55" s="39">
        <f>IF($P55&lt;&gt;1,0,SUMIFS('JLR Machines'!$I$2:$I$20001,'JLR Machines'!$A$2:$A$20001,$O55,'JLR Machines'!$C$2:$C$20001,IF(Settings!$B$2="","&lt;&gt;",Settings!$B$2),'JLR Machines'!$D$2:$D$20001,IF(Settings!$B$3="","&lt;&gt;",Settings!$B$3)))</f>
        <v>0</v>
      </c>
      <c r="T55" s="39">
        <f>IF($P55&lt;&gt;1,0,SUMIFS('JLR Machines'!$J$2:$J$20001,'JLR Machines'!$A$2:$A$20001,$O55,'JLR Machines'!$C$2:$C$20001,IF(Settings!$B$2="","&lt;&gt;",Settings!$B$2),'JLR Machines'!$D$2:$D$20001,IF(Settings!$B$3="","&lt;&gt;",Settings!$B$3)))</f>
        <v>0</v>
      </c>
      <c r="U55" s="39">
        <f>IF($P55&lt;&gt;1,0,SUMIFS('JLR Machines'!$K$2:$K$20001,'JLR Machines'!$A$2:$A$20001,$O55,'JLR Machines'!$C$2:$C$20001,IF(Settings!$B$2="","&lt;&gt;",Settings!$B$2),'JLR Machines'!$D$2:$D$20001,IF(Settings!$B$3="","&lt;&gt;",Settings!$B$3)))</f>
        <v>0</v>
      </c>
      <c r="V55" s="39">
        <f>IF($P55&lt;&gt;1,0,SUMIFS('JLR Machines'!$L$2:$L$20001,'JLR Machines'!$A$2:$A$20001,$O55,'JLR Machines'!$C$2:$C$20001,IF(Settings!$B$2="","&lt;&gt;",Settings!$B$2),'JLR Machines'!$D$2:$D$20001,IF(Settings!$B$3="","&lt;&gt;",Settings!$B$3)))</f>
        <v>0</v>
      </c>
      <c r="W55" s="39">
        <f>IF($P55&lt;&gt;1,0,SUMIFS('JLR Machines'!$M$2:$M$20001,'JLR Machines'!$A$2:$A$20001,$O55,'JLR Machines'!$C$2:$C$20001,IF(Settings!$B$2="","&lt;&gt;",Settings!$B$2),'JLR Machines'!$D$2:$D$20001,IF(Settings!$B$3="","&lt;&gt;",Settings!$B$3)))</f>
        <v>0</v>
      </c>
      <c r="X55" s="39">
        <f>IF($P55&lt;&gt;1,0,SUMIFS('JLR Machines'!$N$2:$N$20001,'JLR Machines'!$A$2:$A$20001,$O55,'JLR Machines'!$C$2:$C$20001,IF(Settings!$B$2="","&lt;&gt;",Settings!$B$2),'JLR Machines'!$D$2:$D$20001,IF(Settings!$B$3="","&lt;&gt;",Settings!$B$3)))</f>
        <v>0</v>
      </c>
      <c r="Y55" s="39">
        <f>$Q55+$R55+$S55+$T55+$U55+$V55+$W55</f>
        <v>0</v>
      </c>
      <c r="Z55" s="38">
        <f>IF($X55&lt;=0,0,ROUND((D55+E55+F55+G55+H55+I55)/2730-$X55,4))</f>
        <v>0</v>
      </c>
      <c r="AA55" s="40" t="s">
        <v>2195</v>
      </c>
      <c r="AB55" s="40" t="s">
        <v>2099</v>
      </c>
    </row>
    <row r="56" spans="1:28" x14ac:dyDescent="0.25">
      <c r="A56" s="32" t="s">
        <v>1032</v>
      </c>
      <c r="B56" s="33" t="s">
        <v>2197</v>
      </c>
      <c r="C56" s="33" t="s">
        <v>1379</v>
      </c>
      <c r="D56" s="41">
        <f>IF($X56&gt;0,IF($Y56&gt;0,MAX(0,$Q56+$X56-$Y56)*2730,$X56*2730),141680)</f>
        <v>141680</v>
      </c>
      <c r="E56" s="41">
        <f>IF($X56&gt;0,IF($Y56&gt;0,$S56*2730,0),65623)</f>
        <v>65623</v>
      </c>
      <c r="F56" s="41">
        <f>IF($X56&gt;0,IF($Y56&gt;0,$V56*2730,0),116522)</f>
        <v>116522</v>
      </c>
      <c r="G56" s="41">
        <f>IF($X56&gt;0,IF($Y56&gt;0,$R56*2730,0),28269)</f>
        <v>28269</v>
      </c>
      <c r="H56" s="41">
        <f>IF($X56&gt;0,IF($Y56&gt;0,($T56+$W56)*2730,0),25179)</f>
        <v>25179</v>
      </c>
      <c r="I56" s="41">
        <f>IF($X56&gt;0,IF($Y56&gt;0,$U56*2730,0),17500)</f>
        <v>17500</v>
      </c>
      <c r="J56" s="35">
        <v>3500</v>
      </c>
      <c r="K56" s="42">
        <v>0.78</v>
      </c>
      <c r="L56" s="36" t="str">
        <f>IF($X56&gt;0,IF($P56&lt;&gt;1,$AB56,IFERROR(INDEX('JLR Machines'!$D$2:$D$20001,MATCH($O56,'JLR Machines'!$A$2:$A$20001,0)),$AB56)),$AB56)</f>
        <v>2026-09-29</v>
      </c>
      <c r="M56" s="36" t="str">
        <f>IF($X56&gt;0,IF($Y56&gt;0,"JLR machine "&amp;$O56&amp;" at "&amp;TEXT($X56,"0.00")&amp;" per hr — build-up as supplied","JLR machine "&amp;$O56&amp;" at "&amp;TEXT($X56,"0.00")&amp;" per hr — build-up not supplied"),$AA56)</f>
        <v>UK foundry benchmark, Jun 2026</v>
      </c>
      <c r="N56" s="33" t="s">
        <v>1380</v>
      </c>
      <c r="O56" s="37" t="str">
        <f>IFERROR(INDEX(Mapping!$C$2:$C$549,MATCH($A56,Mapping!$A$2:$A$549,0)),"")</f>
        <v/>
      </c>
      <c r="P56" s="37">
        <f>IF($O56="",0,COUNTIFS('JLR Machines'!$A$2:$A$20001,$O56,'JLR Machines'!$C$2:$C$20001,IF(Settings!$B$2="","&lt;&gt;",Settings!$B$2),'JLR Machines'!$D$2:$D$20001,IF(Settings!$B$3="","&lt;&gt;",Settings!$B$3)))</f>
        <v>0</v>
      </c>
      <c r="Q56" s="39">
        <f>IF($P56&lt;&gt;1,0,SUMIFS('JLR Machines'!$G$2:$G$20001,'JLR Machines'!$A$2:$A$20001,$O56,'JLR Machines'!$C$2:$C$20001,IF(Settings!$B$2="","&lt;&gt;",Settings!$B$2),'JLR Machines'!$D$2:$D$20001,IF(Settings!$B$3="","&lt;&gt;",Settings!$B$3)))</f>
        <v>0</v>
      </c>
      <c r="R56" s="39">
        <f>IF($P56&lt;&gt;1,0,SUMIFS('JLR Machines'!$H$2:$H$20001,'JLR Machines'!$A$2:$A$20001,$O56,'JLR Machines'!$C$2:$C$20001,IF(Settings!$B$2="","&lt;&gt;",Settings!$B$2),'JLR Machines'!$D$2:$D$20001,IF(Settings!$B$3="","&lt;&gt;",Settings!$B$3)))</f>
        <v>0</v>
      </c>
      <c r="S56" s="39">
        <f>IF($P56&lt;&gt;1,0,SUMIFS('JLR Machines'!$I$2:$I$20001,'JLR Machines'!$A$2:$A$20001,$O56,'JLR Machines'!$C$2:$C$20001,IF(Settings!$B$2="","&lt;&gt;",Settings!$B$2),'JLR Machines'!$D$2:$D$20001,IF(Settings!$B$3="","&lt;&gt;",Settings!$B$3)))</f>
        <v>0</v>
      </c>
      <c r="T56" s="39">
        <f>IF($P56&lt;&gt;1,0,SUMIFS('JLR Machines'!$J$2:$J$20001,'JLR Machines'!$A$2:$A$20001,$O56,'JLR Machines'!$C$2:$C$20001,IF(Settings!$B$2="","&lt;&gt;",Settings!$B$2),'JLR Machines'!$D$2:$D$20001,IF(Settings!$B$3="","&lt;&gt;",Settings!$B$3)))</f>
        <v>0</v>
      </c>
      <c r="U56" s="39">
        <f>IF($P56&lt;&gt;1,0,SUMIFS('JLR Machines'!$K$2:$K$20001,'JLR Machines'!$A$2:$A$20001,$O56,'JLR Machines'!$C$2:$C$20001,IF(Settings!$B$2="","&lt;&gt;",Settings!$B$2),'JLR Machines'!$D$2:$D$20001,IF(Settings!$B$3="","&lt;&gt;",Settings!$B$3)))</f>
        <v>0</v>
      </c>
      <c r="V56" s="39">
        <f>IF($P56&lt;&gt;1,0,SUMIFS('JLR Machines'!$L$2:$L$20001,'JLR Machines'!$A$2:$A$20001,$O56,'JLR Machines'!$C$2:$C$20001,IF(Settings!$B$2="","&lt;&gt;",Settings!$B$2),'JLR Machines'!$D$2:$D$20001,IF(Settings!$B$3="","&lt;&gt;",Settings!$B$3)))</f>
        <v>0</v>
      </c>
      <c r="W56" s="39">
        <f>IF($P56&lt;&gt;1,0,SUMIFS('JLR Machines'!$M$2:$M$20001,'JLR Machines'!$A$2:$A$20001,$O56,'JLR Machines'!$C$2:$C$20001,IF(Settings!$B$2="","&lt;&gt;",Settings!$B$2),'JLR Machines'!$D$2:$D$20001,IF(Settings!$B$3="","&lt;&gt;",Settings!$B$3)))</f>
        <v>0</v>
      </c>
      <c r="X56" s="39">
        <f>IF($P56&lt;&gt;1,0,SUMIFS('JLR Machines'!$N$2:$N$20001,'JLR Machines'!$A$2:$A$20001,$O56,'JLR Machines'!$C$2:$C$20001,IF(Settings!$B$2="","&lt;&gt;",Settings!$B$2),'JLR Machines'!$D$2:$D$20001,IF(Settings!$B$3="","&lt;&gt;",Settings!$B$3)))</f>
        <v>0</v>
      </c>
      <c r="Y56" s="39">
        <f>$Q56+$R56+$S56+$T56+$U56+$V56+$W56</f>
        <v>0</v>
      </c>
      <c r="Z56" s="38">
        <f>IF($X56&lt;=0,0,ROUND((D56+E56+F56+G56+H56+I56)/2730-$X56,4))</f>
        <v>0</v>
      </c>
      <c r="AA56" s="40" t="s">
        <v>2195</v>
      </c>
      <c r="AB56" s="40" t="s">
        <v>2099</v>
      </c>
    </row>
    <row r="57" spans="1:28" x14ac:dyDescent="0.25">
      <c r="A57" s="32" t="s">
        <v>1034</v>
      </c>
      <c r="B57" s="33" t="s">
        <v>2198</v>
      </c>
      <c r="C57" s="33" t="s">
        <v>1379</v>
      </c>
      <c r="D57" s="41">
        <f>IF($X57&gt;0,IF($Y57&gt;0,MAX(0,$Q57+$X57-$Y57)*3200,$X57*3200),526240)</f>
        <v>526240</v>
      </c>
      <c r="E57" s="41">
        <f>IF($X57&gt;0,IF($Y57&gt;0,$S57*3200,0),242300)</f>
        <v>242300</v>
      </c>
      <c r="F57" s="41">
        <f>IF($X57&gt;0,IF($Y57&gt;0,$V57*3200,0),372870)</f>
        <v>372870</v>
      </c>
      <c r="G57" s="41">
        <f>IF($X57&gt;0,IF($Y57&gt;0,$R57*3200,0),121153)</f>
        <v>121153</v>
      </c>
      <c r="H57" s="41">
        <f>IF($X57&gt;0,IF($Y57&gt;0,($T57+$W57)*3200,0),90645)</f>
        <v>90645</v>
      </c>
      <c r="I57" s="41">
        <f>IF($X57&gt;0,IF($Y57&gt;0,$U57*3200,0),65000)</f>
        <v>65000</v>
      </c>
      <c r="J57" s="35">
        <v>4000</v>
      </c>
      <c r="K57" s="42">
        <v>0.8</v>
      </c>
      <c r="L57" s="36" t="str">
        <f>IF($X57&gt;0,IF($P57&lt;&gt;1,$AB57,IFERROR(INDEX('JLR Machines'!$D$2:$D$20001,MATCH($O57,'JLR Machines'!$A$2:$A$20001,0)),$AB57)),$AB57)</f>
        <v>2026-09-29</v>
      </c>
      <c r="M57" s="36" t="str">
        <f>IF($X57&gt;0,IF($Y57&gt;0,"JLR machine "&amp;$O57&amp;" at "&amp;TEXT($X57,"0.00")&amp;" per hr — build-up as supplied","JLR machine "&amp;$O57&amp;" at "&amp;TEXT($X57,"0.00")&amp;" per hr — build-up not supplied"),$AA57)</f>
        <v>Giga-press benchmark. 6,100T locking force — single-piece rear/front underbody megacastings (Tesla-class, BYD). Very high capital; huge cell (vacuum, thermal control, laser trim). Jun 2026</v>
      </c>
      <c r="N57" s="33" t="s">
        <v>1380</v>
      </c>
      <c r="O57" s="37" t="str">
        <f>IFERROR(INDEX(Mapping!$C$2:$C$549,MATCH($A57,Mapping!$A$2:$A$549,0)),"")</f>
        <v/>
      </c>
      <c r="P57" s="37">
        <f>IF($O57="",0,COUNTIFS('JLR Machines'!$A$2:$A$20001,$O57,'JLR Machines'!$C$2:$C$20001,IF(Settings!$B$2="","&lt;&gt;",Settings!$B$2),'JLR Machines'!$D$2:$D$20001,IF(Settings!$B$3="","&lt;&gt;",Settings!$B$3)))</f>
        <v>0</v>
      </c>
      <c r="Q57" s="39">
        <f>IF($P57&lt;&gt;1,0,SUMIFS('JLR Machines'!$G$2:$G$20001,'JLR Machines'!$A$2:$A$20001,$O57,'JLR Machines'!$C$2:$C$20001,IF(Settings!$B$2="","&lt;&gt;",Settings!$B$2),'JLR Machines'!$D$2:$D$20001,IF(Settings!$B$3="","&lt;&gt;",Settings!$B$3)))</f>
        <v>0</v>
      </c>
      <c r="R57" s="39">
        <f>IF($P57&lt;&gt;1,0,SUMIFS('JLR Machines'!$H$2:$H$20001,'JLR Machines'!$A$2:$A$20001,$O57,'JLR Machines'!$C$2:$C$20001,IF(Settings!$B$2="","&lt;&gt;",Settings!$B$2),'JLR Machines'!$D$2:$D$20001,IF(Settings!$B$3="","&lt;&gt;",Settings!$B$3)))</f>
        <v>0</v>
      </c>
      <c r="S57" s="39">
        <f>IF($P57&lt;&gt;1,0,SUMIFS('JLR Machines'!$I$2:$I$20001,'JLR Machines'!$A$2:$A$20001,$O57,'JLR Machines'!$C$2:$C$20001,IF(Settings!$B$2="","&lt;&gt;",Settings!$B$2),'JLR Machines'!$D$2:$D$20001,IF(Settings!$B$3="","&lt;&gt;",Settings!$B$3)))</f>
        <v>0</v>
      </c>
      <c r="T57" s="39">
        <f>IF($P57&lt;&gt;1,0,SUMIFS('JLR Machines'!$J$2:$J$20001,'JLR Machines'!$A$2:$A$20001,$O57,'JLR Machines'!$C$2:$C$20001,IF(Settings!$B$2="","&lt;&gt;",Settings!$B$2),'JLR Machines'!$D$2:$D$20001,IF(Settings!$B$3="","&lt;&gt;",Settings!$B$3)))</f>
        <v>0</v>
      </c>
      <c r="U57" s="39">
        <f>IF($P57&lt;&gt;1,0,SUMIFS('JLR Machines'!$K$2:$K$20001,'JLR Machines'!$A$2:$A$20001,$O57,'JLR Machines'!$C$2:$C$20001,IF(Settings!$B$2="","&lt;&gt;",Settings!$B$2),'JLR Machines'!$D$2:$D$20001,IF(Settings!$B$3="","&lt;&gt;",Settings!$B$3)))</f>
        <v>0</v>
      </c>
      <c r="V57" s="39">
        <f>IF($P57&lt;&gt;1,0,SUMIFS('JLR Machines'!$L$2:$L$20001,'JLR Machines'!$A$2:$A$20001,$O57,'JLR Machines'!$C$2:$C$20001,IF(Settings!$B$2="","&lt;&gt;",Settings!$B$2),'JLR Machines'!$D$2:$D$20001,IF(Settings!$B$3="","&lt;&gt;",Settings!$B$3)))</f>
        <v>0</v>
      </c>
      <c r="W57" s="39">
        <f>IF($P57&lt;&gt;1,0,SUMIFS('JLR Machines'!$M$2:$M$20001,'JLR Machines'!$A$2:$A$20001,$O57,'JLR Machines'!$C$2:$C$20001,IF(Settings!$B$2="","&lt;&gt;",Settings!$B$2),'JLR Machines'!$D$2:$D$20001,IF(Settings!$B$3="","&lt;&gt;",Settings!$B$3)))</f>
        <v>0</v>
      </c>
      <c r="X57" s="39">
        <f>IF($P57&lt;&gt;1,0,SUMIFS('JLR Machines'!$N$2:$N$20001,'JLR Machines'!$A$2:$A$20001,$O57,'JLR Machines'!$C$2:$C$20001,IF(Settings!$B$2="","&lt;&gt;",Settings!$B$2),'JLR Machines'!$D$2:$D$20001,IF(Settings!$B$3="","&lt;&gt;",Settings!$B$3)))</f>
        <v>0</v>
      </c>
      <c r="Y57" s="39">
        <f>$Q57+$R57+$S57+$T57+$U57+$V57+$W57</f>
        <v>0</v>
      </c>
      <c r="Z57" s="38">
        <f>IF($X57&lt;=0,0,ROUND((D57+E57+F57+G57+H57+I57)/3200-$X57,4))</f>
        <v>0</v>
      </c>
      <c r="AA57" s="40" t="s">
        <v>2199</v>
      </c>
      <c r="AB57" s="40" t="s">
        <v>2099</v>
      </c>
    </row>
    <row r="58" spans="1:28" x14ac:dyDescent="0.25">
      <c r="A58" s="32" t="s">
        <v>1036</v>
      </c>
      <c r="B58" s="33" t="s">
        <v>2200</v>
      </c>
      <c r="C58" s="33" t="s">
        <v>1379</v>
      </c>
      <c r="D58" s="41">
        <f>IF($X58&gt;0,IF($Y58&gt;0,MAX(0,$Q58+$X58-$Y58)*3200,$X58*3200),789360)</f>
        <v>789360</v>
      </c>
      <c r="E58" s="41">
        <f>IF($X58&gt;0,IF($Y58&gt;0,$S58*3200,0),363451)</f>
        <v>363451</v>
      </c>
      <c r="F58" s="41">
        <f>IF($X58&gt;0,IF($Y58&gt;0,$V58*3200,0),559306)</f>
        <v>559306</v>
      </c>
      <c r="G58" s="41">
        <f>IF($X58&gt;0,IF($Y58&gt;0,$R58*3200,0),181730)</f>
        <v>181730</v>
      </c>
      <c r="H58" s="41">
        <f>IF($X58&gt;0,IF($Y58&gt;0,($T58+$W58)*3200,0),141004)</f>
        <v>141004</v>
      </c>
      <c r="I58" s="41">
        <f>IF($X58&gt;0,IF($Y58&gt;0,$U58*3200,0),97500)</f>
        <v>97500</v>
      </c>
      <c r="J58" s="35">
        <v>4000</v>
      </c>
      <c r="K58" s="42">
        <v>0.8</v>
      </c>
      <c r="L58" s="36" t="str">
        <f>IF($X58&gt;0,IF($P58&lt;&gt;1,$AB58,IFERROR(INDEX('JLR Machines'!$D$2:$D$20001,MATCH($O58,'JLR Machines'!$A$2:$A$20001,0)),$AB58)),$AB58)</f>
        <v>2026-09-29</v>
      </c>
      <c r="M58" s="36" t="str">
        <f>IF($X58&gt;0,IF($Y58&gt;0,"JLR machine "&amp;$O58&amp;" at "&amp;TEXT($X58,"0.00")&amp;" per hr — build-up as supplied","JLR machine "&amp;$O58&amp;" at "&amp;TEXT($X58,"0.00")&amp;" per hr — build-up not supplied"),$AA58)</f>
        <v>Giga-press benchmark. 9,000T+ locking force (Xiaomi 9,100T "die-casting cluster", Tesla, largest OEM presses) — full one-piece underbody. Highest capital in the tool. Jun 2026</v>
      </c>
      <c r="N58" s="33" t="s">
        <v>1380</v>
      </c>
      <c r="O58" s="37" t="str">
        <f>IFERROR(INDEX(Mapping!$C$2:$C$549,MATCH($A58,Mapping!$A$2:$A$549,0)),"")</f>
        <v/>
      </c>
      <c r="P58" s="37">
        <f>IF($O58="",0,COUNTIFS('JLR Machines'!$A$2:$A$20001,$O58,'JLR Machines'!$C$2:$C$20001,IF(Settings!$B$2="","&lt;&gt;",Settings!$B$2),'JLR Machines'!$D$2:$D$20001,IF(Settings!$B$3="","&lt;&gt;",Settings!$B$3)))</f>
        <v>0</v>
      </c>
      <c r="Q58" s="39">
        <f>IF($P58&lt;&gt;1,0,SUMIFS('JLR Machines'!$G$2:$G$20001,'JLR Machines'!$A$2:$A$20001,$O58,'JLR Machines'!$C$2:$C$20001,IF(Settings!$B$2="","&lt;&gt;",Settings!$B$2),'JLR Machines'!$D$2:$D$20001,IF(Settings!$B$3="","&lt;&gt;",Settings!$B$3)))</f>
        <v>0</v>
      </c>
      <c r="R58" s="39">
        <f>IF($P58&lt;&gt;1,0,SUMIFS('JLR Machines'!$H$2:$H$20001,'JLR Machines'!$A$2:$A$20001,$O58,'JLR Machines'!$C$2:$C$20001,IF(Settings!$B$2="","&lt;&gt;",Settings!$B$2),'JLR Machines'!$D$2:$D$20001,IF(Settings!$B$3="","&lt;&gt;",Settings!$B$3)))</f>
        <v>0</v>
      </c>
      <c r="S58" s="39">
        <f>IF($P58&lt;&gt;1,0,SUMIFS('JLR Machines'!$I$2:$I$20001,'JLR Machines'!$A$2:$A$20001,$O58,'JLR Machines'!$C$2:$C$20001,IF(Settings!$B$2="","&lt;&gt;",Settings!$B$2),'JLR Machines'!$D$2:$D$20001,IF(Settings!$B$3="","&lt;&gt;",Settings!$B$3)))</f>
        <v>0</v>
      </c>
      <c r="T58" s="39">
        <f>IF($P58&lt;&gt;1,0,SUMIFS('JLR Machines'!$J$2:$J$20001,'JLR Machines'!$A$2:$A$20001,$O58,'JLR Machines'!$C$2:$C$20001,IF(Settings!$B$2="","&lt;&gt;",Settings!$B$2),'JLR Machines'!$D$2:$D$20001,IF(Settings!$B$3="","&lt;&gt;",Settings!$B$3)))</f>
        <v>0</v>
      </c>
      <c r="U58" s="39">
        <f>IF($P58&lt;&gt;1,0,SUMIFS('JLR Machines'!$K$2:$K$20001,'JLR Machines'!$A$2:$A$20001,$O58,'JLR Machines'!$C$2:$C$20001,IF(Settings!$B$2="","&lt;&gt;",Settings!$B$2),'JLR Machines'!$D$2:$D$20001,IF(Settings!$B$3="","&lt;&gt;",Settings!$B$3)))</f>
        <v>0</v>
      </c>
      <c r="V58" s="39">
        <f>IF($P58&lt;&gt;1,0,SUMIFS('JLR Machines'!$L$2:$L$20001,'JLR Machines'!$A$2:$A$20001,$O58,'JLR Machines'!$C$2:$C$20001,IF(Settings!$B$2="","&lt;&gt;",Settings!$B$2),'JLR Machines'!$D$2:$D$20001,IF(Settings!$B$3="","&lt;&gt;",Settings!$B$3)))</f>
        <v>0</v>
      </c>
      <c r="W58" s="39">
        <f>IF($P58&lt;&gt;1,0,SUMIFS('JLR Machines'!$M$2:$M$20001,'JLR Machines'!$A$2:$A$20001,$O58,'JLR Machines'!$C$2:$C$20001,IF(Settings!$B$2="","&lt;&gt;",Settings!$B$2),'JLR Machines'!$D$2:$D$20001,IF(Settings!$B$3="","&lt;&gt;",Settings!$B$3)))</f>
        <v>0</v>
      </c>
      <c r="X58" s="39">
        <f>IF($P58&lt;&gt;1,0,SUMIFS('JLR Machines'!$N$2:$N$20001,'JLR Machines'!$A$2:$A$20001,$O58,'JLR Machines'!$C$2:$C$20001,IF(Settings!$B$2="","&lt;&gt;",Settings!$B$2),'JLR Machines'!$D$2:$D$20001,IF(Settings!$B$3="","&lt;&gt;",Settings!$B$3)))</f>
        <v>0</v>
      </c>
      <c r="Y58" s="39">
        <f>$Q58+$R58+$S58+$T58+$U58+$V58+$W58</f>
        <v>0</v>
      </c>
      <c r="Z58" s="38">
        <f>IF($X58&lt;=0,0,ROUND((D58+E58+F58+G58+H58+I58)/3200-$X58,4))</f>
        <v>0</v>
      </c>
      <c r="AA58" s="40" t="s">
        <v>2201</v>
      </c>
      <c r="AB58" s="40" t="s">
        <v>2099</v>
      </c>
    </row>
    <row r="59" spans="1:28" x14ac:dyDescent="0.25">
      <c r="A59" s="32" t="s">
        <v>1038</v>
      </c>
      <c r="B59" s="33" t="s">
        <v>2202</v>
      </c>
      <c r="C59" s="33" t="s">
        <v>1379</v>
      </c>
      <c r="D59" s="41">
        <f>IF($X59&gt;0,IF($Y59&gt;0,MAX(0,$Q59+$X59-$Y59)*2625,$X59*2625),25300)</f>
        <v>25300</v>
      </c>
      <c r="E59" s="41">
        <f>IF($X59&gt;0,IF($Y59&gt;0,$S59*2625,0),12115)</f>
        <v>12115</v>
      </c>
      <c r="F59" s="41">
        <f>IF($X59&gt;0,IF($Y59&gt;0,$V59*2625,0),29130)</f>
        <v>29130</v>
      </c>
      <c r="G59" s="41">
        <f>IF($X59&gt;0,IF($Y59&gt;0,$R59*2625,0),10096)</f>
        <v>10096</v>
      </c>
      <c r="H59" s="41">
        <f>IF($X59&gt;0,IF($Y59&gt;0,($T59+$W59)*2625,0),8057)</f>
        <v>8057</v>
      </c>
      <c r="I59" s="41">
        <f>IF($X59&gt;0,IF($Y59&gt;0,$U59*2625,0),3125)</f>
        <v>3125</v>
      </c>
      <c r="J59" s="35">
        <v>3500</v>
      </c>
      <c r="K59" s="42">
        <v>0.75</v>
      </c>
      <c r="L59" s="36" t="str">
        <f>IF($X59&gt;0,IF($P59&lt;&gt;1,$AB59,IFERROR(INDEX('JLR Machines'!$D$2:$D$20001,MATCH($O59,'JLR Machines'!$A$2:$A$20001,0)),$AB59)),$AB59)</f>
        <v>2026-09-29</v>
      </c>
      <c r="M59" s="36" t="str">
        <f>IF($X59&gt;0,IF($Y59&gt;0,"JLR machine "&amp;$O59&amp;" at "&amp;TEXT($X59,"0.00")&amp;" per hr — build-up as supplied","JLR machine "&amp;$O59&amp;" at "&amp;TEXT($X59,"0.00")&amp;" per hr — build-up not supplied"),$AA59)</f>
        <v>UK foundry benchmark, Jun 2026</v>
      </c>
      <c r="N59" s="33" t="s">
        <v>1380</v>
      </c>
      <c r="O59" s="37" t="str">
        <f>IFERROR(INDEX(Mapping!$C$2:$C$549,MATCH($A59,Mapping!$A$2:$A$549,0)),"")</f>
        <v/>
      </c>
      <c r="P59" s="37">
        <f>IF($O59="",0,COUNTIFS('JLR Machines'!$A$2:$A$20001,$O59,'JLR Machines'!$C$2:$C$20001,IF(Settings!$B$2="","&lt;&gt;",Settings!$B$2),'JLR Machines'!$D$2:$D$20001,IF(Settings!$B$3="","&lt;&gt;",Settings!$B$3)))</f>
        <v>0</v>
      </c>
      <c r="Q59" s="39">
        <f>IF($P59&lt;&gt;1,0,SUMIFS('JLR Machines'!$G$2:$G$20001,'JLR Machines'!$A$2:$A$20001,$O59,'JLR Machines'!$C$2:$C$20001,IF(Settings!$B$2="","&lt;&gt;",Settings!$B$2),'JLR Machines'!$D$2:$D$20001,IF(Settings!$B$3="","&lt;&gt;",Settings!$B$3)))</f>
        <v>0</v>
      </c>
      <c r="R59" s="39">
        <f>IF($P59&lt;&gt;1,0,SUMIFS('JLR Machines'!$H$2:$H$20001,'JLR Machines'!$A$2:$A$20001,$O59,'JLR Machines'!$C$2:$C$20001,IF(Settings!$B$2="","&lt;&gt;",Settings!$B$2),'JLR Machines'!$D$2:$D$20001,IF(Settings!$B$3="","&lt;&gt;",Settings!$B$3)))</f>
        <v>0</v>
      </c>
      <c r="S59" s="39">
        <f>IF($P59&lt;&gt;1,0,SUMIFS('JLR Machines'!$I$2:$I$20001,'JLR Machines'!$A$2:$A$20001,$O59,'JLR Machines'!$C$2:$C$20001,IF(Settings!$B$2="","&lt;&gt;",Settings!$B$2),'JLR Machines'!$D$2:$D$20001,IF(Settings!$B$3="","&lt;&gt;",Settings!$B$3)))</f>
        <v>0</v>
      </c>
      <c r="T59" s="39">
        <f>IF($P59&lt;&gt;1,0,SUMIFS('JLR Machines'!$J$2:$J$20001,'JLR Machines'!$A$2:$A$20001,$O59,'JLR Machines'!$C$2:$C$20001,IF(Settings!$B$2="","&lt;&gt;",Settings!$B$2),'JLR Machines'!$D$2:$D$20001,IF(Settings!$B$3="","&lt;&gt;",Settings!$B$3)))</f>
        <v>0</v>
      </c>
      <c r="U59" s="39">
        <f>IF($P59&lt;&gt;1,0,SUMIFS('JLR Machines'!$K$2:$K$20001,'JLR Machines'!$A$2:$A$20001,$O59,'JLR Machines'!$C$2:$C$20001,IF(Settings!$B$2="","&lt;&gt;",Settings!$B$2),'JLR Machines'!$D$2:$D$20001,IF(Settings!$B$3="","&lt;&gt;",Settings!$B$3)))</f>
        <v>0</v>
      </c>
      <c r="V59" s="39">
        <f>IF($P59&lt;&gt;1,0,SUMIFS('JLR Machines'!$L$2:$L$20001,'JLR Machines'!$A$2:$A$20001,$O59,'JLR Machines'!$C$2:$C$20001,IF(Settings!$B$2="","&lt;&gt;",Settings!$B$2),'JLR Machines'!$D$2:$D$20001,IF(Settings!$B$3="","&lt;&gt;",Settings!$B$3)))</f>
        <v>0</v>
      </c>
      <c r="W59" s="39">
        <f>IF($P59&lt;&gt;1,0,SUMIFS('JLR Machines'!$M$2:$M$20001,'JLR Machines'!$A$2:$A$20001,$O59,'JLR Machines'!$C$2:$C$20001,IF(Settings!$B$2="","&lt;&gt;",Settings!$B$2),'JLR Machines'!$D$2:$D$20001,IF(Settings!$B$3="","&lt;&gt;",Settings!$B$3)))</f>
        <v>0</v>
      </c>
      <c r="X59" s="39">
        <f>IF($P59&lt;&gt;1,0,SUMIFS('JLR Machines'!$N$2:$N$20001,'JLR Machines'!$A$2:$A$20001,$O59,'JLR Machines'!$C$2:$C$20001,IF(Settings!$B$2="","&lt;&gt;",Settings!$B$2),'JLR Machines'!$D$2:$D$20001,IF(Settings!$B$3="","&lt;&gt;",Settings!$B$3)))</f>
        <v>0</v>
      </c>
      <c r="Y59" s="39">
        <f>$Q59+$R59+$S59+$T59+$U59+$V59+$W59</f>
        <v>0</v>
      </c>
      <c r="Z59" s="38">
        <f>IF($X59&lt;=0,0,ROUND((D59+E59+F59+G59+H59+I59)/2625-$X59,4))</f>
        <v>0</v>
      </c>
      <c r="AA59" s="40" t="s">
        <v>2195</v>
      </c>
      <c r="AB59" s="40" t="s">
        <v>2099</v>
      </c>
    </row>
    <row r="60" spans="1:28" x14ac:dyDescent="0.25">
      <c r="A60" s="32" t="s">
        <v>1040</v>
      </c>
      <c r="B60" s="33" t="s">
        <v>2203</v>
      </c>
      <c r="C60" s="33" t="s">
        <v>1379</v>
      </c>
      <c r="D60" s="41">
        <f>IF($X60&gt;0,IF($Y60&gt;0,MAX(0,$Q60+$X60-$Y60)*2800,$X60*2800),18216)</f>
        <v>18216</v>
      </c>
      <c r="E60" s="41">
        <f>IF($X60&gt;0,IF($Y60&gt;0,$S60*2800,0),9086)</f>
        <v>9086</v>
      </c>
      <c r="F60" s="41">
        <f>IF($X60&gt;0,IF($Y60&gt;0,$V60*2800,0),16313)</f>
        <v>16313</v>
      </c>
      <c r="G60" s="41">
        <f>IF($X60&gt;0,IF($Y60&gt;0,$R60*2800,0),5048)</f>
        <v>5048</v>
      </c>
      <c r="H60" s="41">
        <f>IF($X60&gt;0,IF($Y60&gt;0,($T60+$W60)*2800,0),4029)</f>
        <v>4029</v>
      </c>
      <c r="I60" s="41">
        <f>IF($X60&gt;0,IF($Y60&gt;0,$U60*2800,0),2250)</f>
        <v>2250</v>
      </c>
      <c r="J60" s="35">
        <v>3500</v>
      </c>
      <c r="K60" s="42">
        <v>0.8</v>
      </c>
      <c r="L60" s="36" t="str">
        <f>IF($X60&gt;0,IF($P60&lt;&gt;1,$AB60,IFERROR(INDEX('JLR Machines'!$D$2:$D$20001,MATCH($O60,'JLR Machines'!$A$2:$A$20001,0)),$AB60)),$AB60)</f>
        <v>2026-09-29</v>
      </c>
      <c r="M60" s="36" t="str">
        <f>IF($X60&gt;0,IF($Y60&gt;0,"JLR machine "&amp;$O60&amp;" at "&amp;TEXT($X60,"0.00")&amp;" per hr — build-up as supplied","JLR machine "&amp;$O60&amp;" at "&amp;TEXT($X60,"0.00")&amp;" per hr — build-up not supplied"),$AA60)</f>
        <v>Small HPDC / zinc die casting machine, UK foundry benchmark</v>
      </c>
      <c r="N60" s="33" t="s">
        <v>1380</v>
      </c>
      <c r="O60" s="37" t="str">
        <f>IFERROR(INDEX(Mapping!$C$2:$C$549,MATCH($A60,Mapping!$A$2:$A$549,0)),"")</f>
        <v/>
      </c>
      <c r="P60" s="37">
        <f>IF($O60="",0,COUNTIFS('JLR Machines'!$A$2:$A$20001,$O60,'JLR Machines'!$C$2:$C$20001,IF(Settings!$B$2="","&lt;&gt;",Settings!$B$2),'JLR Machines'!$D$2:$D$20001,IF(Settings!$B$3="","&lt;&gt;",Settings!$B$3)))</f>
        <v>0</v>
      </c>
      <c r="Q60" s="39">
        <f>IF($P60&lt;&gt;1,0,SUMIFS('JLR Machines'!$G$2:$G$20001,'JLR Machines'!$A$2:$A$20001,$O60,'JLR Machines'!$C$2:$C$20001,IF(Settings!$B$2="","&lt;&gt;",Settings!$B$2),'JLR Machines'!$D$2:$D$20001,IF(Settings!$B$3="","&lt;&gt;",Settings!$B$3)))</f>
        <v>0</v>
      </c>
      <c r="R60" s="39">
        <f>IF($P60&lt;&gt;1,0,SUMIFS('JLR Machines'!$H$2:$H$20001,'JLR Machines'!$A$2:$A$20001,$O60,'JLR Machines'!$C$2:$C$20001,IF(Settings!$B$2="","&lt;&gt;",Settings!$B$2),'JLR Machines'!$D$2:$D$20001,IF(Settings!$B$3="","&lt;&gt;",Settings!$B$3)))</f>
        <v>0</v>
      </c>
      <c r="S60" s="39">
        <f>IF($P60&lt;&gt;1,0,SUMIFS('JLR Machines'!$I$2:$I$20001,'JLR Machines'!$A$2:$A$20001,$O60,'JLR Machines'!$C$2:$C$20001,IF(Settings!$B$2="","&lt;&gt;",Settings!$B$2),'JLR Machines'!$D$2:$D$20001,IF(Settings!$B$3="","&lt;&gt;",Settings!$B$3)))</f>
        <v>0</v>
      </c>
      <c r="T60" s="39">
        <f>IF($P60&lt;&gt;1,0,SUMIFS('JLR Machines'!$J$2:$J$20001,'JLR Machines'!$A$2:$A$20001,$O60,'JLR Machines'!$C$2:$C$20001,IF(Settings!$B$2="","&lt;&gt;",Settings!$B$2),'JLR Machines'!$D$2:$D$20001,IF(Settings!$B$3="","&lt;&gt;",Settings!$B$3)))</f>
        <v>0</v>
      </c>
      <c r="U60" s="39">
        <f>IF($P60&lt;&gt;1,0,SUMIFS('JLR Machines'!$K$2:$K$20001,'JLR Machines'!$A$2:$A$20001,$O60,'JLR Machines'!$C$2:$C$20001,IF(Settings!$B$2="","&lt;&gt;",Settings!$B$2),'JLR Machines'!$D$2:$D$20001,IF(Settings!$B$3="","&lt;&gt;",Settings!$B$3)))</f>
        <v>0</v>
      </c>
      <c r="V60" s="39">
        <f>IF($P60&lt;&gt;1,0,SUMIFS('JLR Machines'!$L$2:$L$20001,'JLR Machines'!$A$2:$A$20001,$O60,'JLR Machines'!$C$2:$C$20001,IF(Settings!$B$2="","&lt;&gt;",Settings!$B$2),'JLR Machines'!$D$2:$D$20001,IF(Settings!$B$3="","&lt;&gt;",Settings!$B$3)))</f>
        <v>0</v>
      </c>
      <c r="W60" s="39">
        <f>IF($P60&lt;&gt;1,0,SUMIFS('JLR Machines'!$M$2:$M$20001,'JLR Machines'!$A$2:$A$20001,$O60,'JLR Machines'!$C$2:$C$20001,IF(Settings!$B$2="","&lt;&gt;",Settings!$B$2),'JLR Machines'!$D$2:$D$20001,IF(Settings!$B$3="","&lt;&gt;",Settings!$B$3)))</f>
        <v>0</v>
      </c>
      <c r="X60" s="39">
        <f>IF($P60&lt;&gt;1,0,SUMIFS('JLR Machines'!$N$2:$N$20001,'JLR Machines'!$A$2:$A$20001,$O60,'JLR Machines'!$C$2:$C$20001,IF(Settings!$B$2="","&lt;&gt;",Settings!$B$2),'JLR Machines'!$D$2:$D$20001,IF(Settings!$B$3="","&lt;&gt;",Settings!$B$3)))</f>
        <v>0</v>
      </c>
      <c r="Y60" s="39">
        <f>$Q60+$R60+$S60+$T60+$U60+$V60+$W60</f>
        <v>0</v>
      </c>
      <c r="Z60" s="38">
        <f>IF($X60&lt;=0,0,ROUND((D60+E60+F60+G60+H60+I60)/2800-$X60,4))</f>
        <v>0</v>
      </c>
      <c r="AA60" s="40" t="s">
        <v>2204</v>
      </c>
      <c r="AB60" s="40" t="s">
        <v>2099</v>
      </c>
    </row>
    <row r="61" spans="1:28" x14ac:dyDescent="0.25">
      <c r="A61" s="32" t="s">
        <v>1042</v>
      </c>
      <c r="B61" s="33" t="s">
        <v>2205</v>
      </c>
      <c r="C61" s="33" t="s">
        <v>1379</v>
      </c>
      <c r="D61" s="41">
        <f>IF($X61&gt;0,IF($Y61&gt;0,MAX(0,$Q61+$X61-$Y61)*2730,$X61*2730),45540)</f>
        <v>45540</v>
      </c>
      <c r="E61" s="41">
        <f>IF($X61&gt;0,IF($Y61&gt;0,$S61*2730,0),22211)</f>
        <v>22211</v>
      </c>
      <c r="F61" s="41">
        <f>IF($X61&gt;0,IF($Y61&gt;0,$V61*2730,0),64087)</f>
        <v>64087</v>
      </c>
      <c r="G61" s="41">
        <f>IF($X61&gt;0,IF($Y61&gt;0,$R61*2730,0),12115)</f>
        <v>12115</v>
      </c>
      <c r="H61" s="41">
        <f>IF($X61&gt;0,IF($Y61&gt;0,($T61+$W61)*2730,0),10072)</f>
        <v>10072</v>
      </c>
      <c r="I61" s="41">
        <f>IF($X61&gt;0,IF($Y61&gt;0,$U61*2730,0),5625)</f>
        <v>5625</v>
      </c>
      <c r="J61" s="35">
        <v>3500</v>
      </c>
      <c r="K61" s="42">
        <v>0.78</v>
      </c>
      <c r="L61" s="36" t="str">
        <f>IF($X61&gt;0,IF($P61&lt;&gt;1,$AB61,IFERROR(INDEX('JLR Machines'!$D$2:$D$20001,MATCH($O61,'JLR Machines'!$A$2:$A$20001,0)),$AB61)),$AB61)</f>
        <v>2026-09-29</v>
      </c>
      <c r="M61" s="36" t="str">
        <f>IF($X61&gt;0,IF($Y61&gt;0,"JLR machine "&amp;$O61&amp;" at "&amp;TEXT($X61,"0.00")&amp;" per hr — build-up as supplied","JLR machine "&amp;$O61&amp;" at "&amp;TEXT($X61,"0.00")&amp;" per hr — build-up not supplied"),$AA61)</f>
        <v>UK forge shop benchmark, Jun 2026</v>
      </c>
      <c r="N61" s="33" t="s">
        <v>1380</v>
      </c>
      <c r="O61" s="37" t="str">
        <f>IFERROR(INDEX(Mapping!$C$2:$C$549,MATCH($A61,Mapping!$A$2:$A$549,0)),"")</f>
        <v/>
      </c>
      <c r="P61" s="37">
        <f>IF($O61="",0,COUNTIFS('JLR Machines'!$A$2:$A$20001,$O61,'JLR Machines'!$C$2:$C$20001,IF(Settings!$B$2="","&lt;&gt;",Settings!$B$2),'JLR Machines'!$D$2:$D$20001,IF(Settings!$B$3="","&lt;&gt;",Settings!$B$3)))</f>
        <v>0</v>
      </c>
      <c r="Q61" s="39">
        <f>IF($P61&lt;&gt;1,0,SUMIFS('JLR Machines'!$G$2:$G$20001,'JLR Machines'!$A$2:$A$20001,$O61,'JLR Machines'!$C$2:$C$20001,IF(Settings!$B$2="","&lt;&gt;",Settings!$B$2),'JLR Machines'!$D$2:$D$20001,IF(Settings!$B$3="","&lt;&gt;",Settings!$B$3)))</f>
        <v>0</v>
      </c>
      <c r="R61" s="39">
        <f>IF($P61&lt;&gt;1,0,SUMIFS('JLR Machines'!$H$2:$H$20001,'JLR Machines'!$A$2:$A$20001,$O61,'JLR Machines'!$C$2:$C$20001,IF(Settings!$B$2="","&lt;&gt;",Settings!$B$2),'JLR Machines'!$D$2:$D$20001,IF(Settings!$B$3="","&lt;&gt;",Settings!$B$3)))</f>
        <v>0</v>
      </c>
      <c r="S61" s="39">
        <f>IF($P61&lt;&gt;1,0,SUMIFS('JLR Machines'!$I$2:$I$20001,'JLR Machines'!$A$2:$A$20001,$O61,'JLR Machines'!$C$2:$C$20001,IF(Settings!$B$2="","&lt;&gt;",Settings!$B$2),'JLR Machines'!$D$2:$D$20001,IF(Settings!$B$3="","&lt;&gt;",Settings!$B$3)))</f>
        <v>0</v>
      </c>
      <c r="T61" s="39">
        <f>IF($P61&lt;&gt;1,0,SUMIFS('JLR Machines'!$J$2:$J$20001,'JLR Machines'!$A$2:$A$20001,$O61,'JLR Machines'!$C$2:$C$20001,IF(Settings!$B$2="","&lt;&gt;",Settings!$B$2),'JLR Machines'!$D$2:$D$20001,IF(Settings!$B$3="","&lt;&gt;",Settings!$B$3)))</f>
        <v>0</v>
      </c>
      <c r="U61" s="39">
        <f>IF($P61&lt;&gt;1,0,SUMIFS('JLR Machines'!$K$2:$K$20001,'JLR Machines'!$A$2:$A$20001,$O61,'JLR Machines'!$C$2:$C$20001,IF(Settings!$B$2="","&lt;&gt;",Settings!$B$2),'JLR Machines'!$D$2:$D$20001,IF(Settings!$B$3="","&lt;&gt;",Settings!$B$3)))</f>
        <v>0</v>
      </c>
      <c r="V61" s="39">
        <f>IF($P61&lt;&gt;1,0,SUMIFS('JLR Machines'!$L$2:$L$20001,'JLR Machines'!$A$2:$A$20001,$O61,'JLR Machines'!$C$2:$C$20001,IF(Settings!$B$2="","&lt;&gt;",Settings!$B$2),'JLR Machines'!$D$2:$D$20001,IF(Settings!$B$3="","&lt;&gt;",Settings!$B$3)))</f>
        <v>0</v>
      </c>
      <c r="W61" s="39">
        <f>IF($P61&lt;&gt;1,0,SUMIFS('JLR Machines'!$M$2:$M$20001,'JLR Machines'!$A$2:$A$20001,$O61,'JLR Machines'!$C$2:$C$20001,IF(Settings!$B$2="","&lt;&gt;",Settings!$B$2),'JLR Machines'!$D$2:$D$20001,IF(Settings!$B$3="","&lt;&gt;",Settings!$B$3)))</f>
        <v>0</v>
      </c>
      <c r="X61" s="39">
        <f>IF($P61&lt;&gt;1,0,SUMIFS('JLR Machines'!$N$2:$N$20001,'JLR Machines'!$A$2:$A$20001,$O61,'JLR Machines'!$C$2:$C$20001,IF(Settings!$B$2="","&lt;&gt;",Settings!$B$2),'JLR Machines'!$D$2:$D$20001,IF(Settings!$B$3="","&lt;&gt;",Settings!$B$3)))</f>
        <v>0</v>
      </c>
      <c r="Y61" s="39">
        <f>$Q61+$R61+$S61+$T61+$U61+$V61+$W61</f>
        <v>0</v>
      </c>
      <c r="Z61" s="38">
        <f>IF($X61&lt;=0,0,ROUND((D61+E61+F61+G61+H61+I61)/2730-$X61,4))</f>
        <v>0</v>
      </c>
      <c r="AA61" s="40" t="s">
        <v>2206</v>
      </c>
      <c r="AB61" s="40" t="s">
        <v>2099</v>
      </c>
    </row>
    <row r="62" spans="1:28" x14ac:dyDescent="0.25">
      <c r="A62" s="32" t="s">
        <v>1044</v>
      </c>
      <c r="B62" s="33" t="s">
        <v>2207</v>
      </c>
      <c r="C62" s="33" t="s">
        <v>1379</v>
      </c>
      <c r="D62" s="41">
        <f>IF($X62&gt;0,IF($Y62&gt;0,MAX(0,$Q62+$X62-$Y62)*2730,$X62*2730),91080)</f>
        <v>91080</v>
      </c>
      <c r="E62" s="41">
        <f>IF($X62&gt;0,IF($Y62&gt;0,$S62*2730,0),42403)</f>
        <v>42403</v>
      </c>
      <c r="F62" s="41">
        <f>IF($X62&gt;0,IF($Y62&gt;0,$V62*2730,0),99044)</f>
        <v>99044</v>
      </c>
      <c r="G62" s="41">
        <f>IF($X62&gt;0,IF($Y62&gt;0,$R62*2730,0),20192)</f>
        <v>20192</v>
      </c>
      <c r="H62" s="41">
        <f>IF($X62&gt;0,IF($Y62&gt;0,($T62+$W62)*2730,0),18129)</f>
        <v>18129</v>
      </c>
      <c r="I62" s="41">
        <f>IF($X62&gt;0,IF($Y62&gt;0,$U62*2730,0),11250)</f>
        <v>11250</v>
      </c>
      <c r="J62" s="35">
        <v>3500</v>
      </c>
      <c r="K62" s="42">
        <v>0.78</v>
      </c>
      <c r="L62" s="36" t="str">
        <f>IF($X62&gt;0,IF($P62&lt;&gt;1,$AB62,IFERROR(INDEX('JLR Machines'!$D$2:$D$20001,MATCH($O62,'JLR Machines'!$A$2:$A$20001,0)),$AB62)),$AB62)</f>
        <v>2026-09-29</v>
      </c>
      <c r="M62" s="36" t="str">
        <f>IF($X62&gt;0,IF($Y62&gt;0,"JLR machine "&amp;$O62&amp;" at "&amp;TEXT($X62,"0.00")&amp;" per hr — build-up as supplied","JLR machine "&amp;$O62&amp;" at "&amp;TEXT($X62,"0.00")&amp;" per hr — build-up not supplied"),$AA62)</f>
        <v>UK forge shop benchmark (mid-size crank press), Jun 2026</v>
      </c>
      <c r="N62" s="33" t="s">
        <v>1380</v>
      </c>
      <c r="O62" s="37" t="str">
        <f>IFERROR(INDEX(Mapping!$C$2:$C$549,MATCH($A62,Mapping!$A$2:$A$549,0)),"")</f>
        <v/>
      </c>
      <c r="P62" s="37">
        <f>IF($O62="",0,COUNTIFS('JLR Machines'!$A$2:$A$20001,$O62,'JLR Machines'!$C$2:$C$20001,IF(Settings!$B$2="","&lt;&gt;",Settings!$B$2),'JLR Machines'!$D$2:$D$20001,IF(Settings!$B$3="","&lt;&gt;",Settings!$B$3)))</f>
        <v>0</v>
      </c>
      <c r="Q62" s="39">
        <f>IF($P62&lt;&gt;1,0,SUMIFS('JLR Machines'!$G$2:$G$20001,'JLR Machines'!$A$2:$A$20001,$O62,'JLR Machines'!$C$2:$C$20001,IF(Settings!$B$2="","&lt;&gt;",Settings!$B$2),'JLR Machines'!$D$2:$D$20001,IF(Settings!$B$3="","&lt;&gt;",Settings!$B$3)))</f>
        <v>0</v>
      </c>
      <c r="R62" s="39">
        <f>IF($P62&lt;&gt;1,0,SUMIFS('JLR Machines'!$H$2:$H$20001,'JLR Machines'!$A$2:$A$20001,$O62,'JLR Machines'!$C$2:$C$20001,IF(Settings!$B$2="","&lt;&gt;",Settings!$B$2),'JLR Machines'!$D$2:$D$20001,IF(Settings!$B$3="","&lt;&gt;",Settings!$B$3)))</f>
        <v>0</v>
      </c>
      <c r="S62" s="39">
        <f>IF($P62&lt;&gt;1,0,SUMIFS('JLR Machines'!$I$2:$I$20001,'JLR Machines'!$A$2:$A$20001,$O62,'JLR Machines'!$C$2:$C$20001,IF(Settings!$B$2="","&lt;&gt;",Settings!$B$2),'JLR Machines'!$D$2:$D$20001,IF(Settings!$B$3="","&lt;&gt;",Settings!$B$3)))</f>
        <v>0</v>
      </c>
      <c r="T62" s="39">
        <f>IF($P62&lt;&gt;1,0,SUMIFS('JLR Machines'!$J$2:$J$20001,'JLR Machines'!$A$2:$A$20001,$O62,'JLR Machines'!$C$2:$C$20001,IF(Settings!$B$2="","&lt;&gt;",Settings!$B$2),'JLR Machines'!$D$2:$D$20001,IF(Settings!$B$3="","&lt;&gt;",Settings!$B$3)))</f>
        <v>0</v>
      </c>
      <c r="U62" s="39">
        <f>IF($P62&lt;&gt;1,0,SUMIFS('JLR Machines'!$K$2:$K$20001,'JLR Machines'!$A$2:$A$20001,$O62,'JLR Machines'!$C$2:$C$20001,IF(Settings!$B$2="","&lt;&gt;",Settings!$B$2),'JLR Machines'!$D$2:$D$20001,IF(Settings!$B$3="","&lt;&gt;",Settings!$B$3)))</f>
        <v>0</v>
      </c>
      <c r="V62" s="39">
        <f>IF($P62&lt;&gt;1,0,SUMIFS('JLR Machines'!$L$2:$L$20001,'JLR Machines'!$A$2:$A$20001,$O62,'JLR Machines'!$C$2:$C$20001,IF(Settings!$B$2="","&lt;&gt;",Settings!$B$2),'JLR Machines'!$D$2:$D$20001,IF(Settings!$B$3="","&lt;&gt;",Settings!$B$3)))</f>
        <v>0</v>
      </c>
      <c r="W62" s="39">
        <f>IF($P62&lt;&gt;1,0,SUMIFS('JLR Machines'!$M$2:$M$20001,'JLR Machines'!$A$2:$A$20001,$O62,'JLR Machines'!$C$2:$C$20001,IF(Settings!$B$2="","&lt;&gt;",Settings!$B$2),'JLR Machines'!$D$2:$D$20001,IF(Settings!$B$3="","&lt;&gt;",Settings!$B$3)))</f>
        <v>0</v>
      </c>
      <c r="X62" s="39">
        <f>IF($P62&lt;&gt;1,0,SUMIFS('JLR Machines'!$N$2:$N$20001,'JLR Machines'!$A$2:$A$20001,$O62,'JLR Machines'!$C$2:$C$20001,IF(Settings!$B$2="","&lt;&gt;",Settings!$B$2),'JLR Machines'!$D$2:$D$20001,IF(Settings!$B$3="","&lt;&gt;",Settings!$B$3)))</f>
        <v>0</v>
      </c>
      <c r="Y62" s="39">
        <f>$Q62+$R62+$S62+$T62+$U62+$V62+$W62</f>
        <v>0</v>
      </c>
      <c r="Z62" s="38">
        <f>IF($X62&lt;=0,0,ROUND((D62+E62+F62+G62+H62+I62)/2730-$X62,4))</f>
        <v>0</v>
      </c>
      <c r="AA62" s="40" t="s">
        <v>2208</v>
      </c>
      <c r="AB62" s="40" t="s">
        <v>2099</v>
      </c>
    </row>
    <row r="63" spans="1:28" x14ac:dyDescent="0.25">
      <c r="A63" s="32" t="s">
        <v>1046</v>
      </c>
      <c r="B63" s="33" t="s">
        <v>2209</v>
      </c>
      <c r="C63" s="33" t="s">
        <v>1379</v>
      </c>
      <c r="D63" s="41">
        <f>IF($X63&gt;0,IF($Y63&gt;0,MAX(0,$Q63+$X63-$Y63)*2730,$X63*2730),131560)</f>
        <v>131560</v>
      </c>
      <c r="E63" s="41">
        <f>IF($X63&gt;0,IF($Y63&gt;0,$S63*2730,0),60575)</f>
        <v>60575</v>
      </c>
      <c r="F63" s="41">
        <f>IF($X63&gt;0,IF($Y63&gt;0,$V63*2730,0),139826)</f>
        <v>139826</v>
      </c>
      <c r="G63" s="41">
        <f>IF($X63&gt;0,IF($Y63&gt;0,$R63*2730,0),28269)</f>
        <v>28269</v>
      </c>
      <c r="H63" s="41">
        <f>IF($X63&gt;0,IF($Y63&gt;0,($T63+$W63)*2730,0),26186)</f>
        <v>26186</v>
      </c>
      <c r="I63" s="41">
        <f>IF($X63&gt;0,IF($Y63&gt;0,$U63*2730,0),16250)</f>
        <v>16250</v>
      </c>
      <c r="J63" s="35">
        <v>3500</v>
      </c>
      <c r="K63" s="42">
        <v>0.78</v>
      </c>
      <c r="L63" s="36" t="str">
        <f>IF($X63&gt;0,IF($P63&lt;&gt;1,$AB63,IFERROR(INDEX('JLR Machines'!$D$2:$D$20001,MATCH($O63,'JLR Machines'!$A$2:$A$20001,0)),$AB63)),$AB63)</f>
        <v>2026-09-29</v>
      </c>
      <c r="M63" s="36" t="str">
        <f>IF($X63&gt;0,IF($Y63&gt;0,"JLR machine "&amp;$O63&amp;" at "&amp;TEXT($X63,"0.00")&amp;" per hr — build-up as supplied","JLR machine "&amp;$O63&amp;" at "&amp;TEXT($X63,"0.00")&amp;" per hr — build-up not supplied"),$AA63)</f>
        <v>UK forge shop benchmark (automotive crank/con-rod press), Jun 2026</v>
      </c>
      <c r="N63" s="33" t="s">
        <v>1380</v>
      </c>
      <c r="O63" s="37" t="str">
        <f>IFERROR(INDEX(Mapping!$C$2:$C$549,MATCH($A63,Mapping!$A$2:$A$549,0)),"")</f>
        <v/>
      </c>
      <c r="P63" s="37">
        <f>IF($O63="",0,COUNTIFS('JLR Machines'!$A$2:$A$20001,$O63,'JLR Machines'!$C$2:$C$20001,IF(Settings!$B$2="","&lt;&gt;",Settings!$B$2),'JLR Machines'!$D$2:$D$20001,IF(Settings!$B$3="","&lt;&gt;",Settings!$B$3)))</f>
        <v>0</v>
      </c>
      <c r="Q63" s="39">
        <f>IF($P63&lt;&gt;1,0,SUMIFS('JLR Machines'!$G$2:$G$20001,'JLR Machines'!$A$2:$A$20001,$O63,'JLR Machines'!$C$2:$C$20001,IF(Settings!$B$2="","&lt;&gt;",Settings!$B$2),'JLR Machines'!$D$2:$D$20001,IF(Settings!$B$3="","&lt;&gt;",Settings!$B$3)))</f>
        <v>0</v>
      </c>
      <c r="R63" s="39">
        <f>IF($P63&lt;&gt;1,0,SUMIFS('JLR Machines'!$H$2:$H$20001,'JLR Machines'!$A$2:$A$20001,$O63,'JLR Machines'!$C$2:$C$20001,IF(Settings!$B$2="","&lt;&gt;",Settings!$B$2),'JLR Machines'!$D$2:$D$20001,IF(Settings!$B$3="","&lt;&gt;",Settings!$B$3)))</f>
        <v>0</v>
      </c>
      <c r="S63" s="39">
        <f>IF($P63&lt;&gt;1,0,SUMIFS('JLR Machines'!$I$2:$I$20001,'JLR Machines'!$A$2:$A$20001,$O63,'JLR Machines'!$C$2:$C$20001,IF(Settings!$B$2="","&lt;&gt;",Settings!$B$2),'JLR Machines'!$D$2:$D$20001,IF(Settings!$B$3="","&lt;&gt;",Settings!$B$3)))</f>
        <v>0</v>
      </c>
      <c r="T63" s="39">
        <f>IF($P63&lt;&gt;1,0,SUMIFS('JLR Machines'!$J$2:$J$20001,'JLR Machines'!$A$2:$A$20001,$O63,'JLR Machines'!$C$2:$C$20001,IF(Settings!$B$2="","&lt;&gt;",Settings!$B$2),'JLR Machines'!$D$2:$D$20001,IF(Settings!$B$3="","&lt;&gt;",Settings!$B$3)))</f>
        <v>0</v>
      </c>
      <c r="U63" s="39">
        <f>IF($P63&lt;&gt;1,0,SUMIFS('JLR Machines'!$K$2:$K$20001,'JLR Machines'!$A$2:$A$20001,$O63,'JLR Machines'!$C$2:$C$20001,IF(Settings!$B$2="","&lt;&gt;",Settings!$B$2),'JLR Machines'!$D$2:$D$20001,IF(Settings!$B$3="","&lt;&gt;",Settings!$B$3)))</f>
        <v>0</v>
      </c>
      <c r="V63" s="39">
        <f>IF($P63&lt;&gt;1,0,SUMIFS('JLR Machines'!$L$2:$L$20001,'JLR Machines'!$A$2:$A$20001,$O63,'JLR Machines'!$C$2:$C$20001,IF(Settings!$B$2="","&lt;&gt;",Settings!$B$2),'JLR Machines'!$D$2:$D$20001,IF(Settings!$B$3="","&lt;&gt;",Settings!$B$3)))</f>
        <v>0</v>
      </c>
      <c r="W63" s="39">
        <f>IF($P63&lt;&gt;1,0,SUMIFS('JLR Machines'!$M$2:$M$20001,'JLR Machines'!$A$2:$A$20001,$O63,'JLR Machines'!$C$2:$C$20001,IF(Settings!$B$2="","&lt;&gt;",Settings!$B$2),'JLR Machines'!$D$2:$D$20001,IF(Settings!$B$3="","&lt;&gt;",Settings!$B$3)))</f>
        <v>0</v>
      </c>
      <c r="X63" s="39">
        <f>IF($P63&lt;&gt;1,0,SUMIFS('JLR Machines'!$N$2:$N$20001,'JLR Machines'!$A$2:$A$20001,$O63,'JLR Machines'!$C$2:$C$20001,IF(Settings!$B$2="","&lt;&gt;",Settings!$B$2),'JLR Machines'!$D$2:$D$20001,IF(Settings!$B$3="","&lt;&gt;",Settings!$B$3)))</f>
        <v>0</v>
      </c>
      <c r="Y63" s="39">
        <f>$Q63+$R63+$S63+$T63+$U63+$V63+$W63</f>
        <v>0</v>
      </c>
      <c r="Z63" s="38">
        <f>IF($X63&lt;=0,0,ROUND((D63+E63+F63+G63+H63+I63)/2730-$X63,4))</f>
        <v>0</v>
      </c>
      <c r="AA63" s="40" t="s">
        <v>2210</v>
      </c>
      <c r="AB63" s="40" t="s">
        <v>2099</v>
      </c>
    </row>
    <row r="64" spans="1:28" x14ac:dyDescent="0.25">
      <c r="A64" s="32" t="s">
        <v>1048</v>
      </c>
      <c r="B64" s="33" t="s">
        <v>2211</v>
      </c>
      <c r="C64" s="33" t="s">
        <v>1379</v>
      </c>
      <c r="D64" s="41">
        <f>IF($X64&gt;0,IF($Y64&gt;0,MAX(0,$Q64+$X64-$Y64)*2730,$X64*2730),202400)</f>
        <v>202400</v>
      </c>
      <c r="E64" s="41">
        <f>IF($X64&gt;0,IF($Y64&gt;0,$S64*2730,0),90863)</f>
        <v>90863</v>
      </c>
      <c r="F64" s="41">
        <f>IF($X64&gt;0,IF($Y64&gt;0,$V64*2730,0),203914)</f>
        <v>203914</v>
      </c>
      <c r="G64" s="41">
        <f>IF($X64&gt;0,IF($Y64&gt;0,$R64*2730,0),40384)</f>
        <v>40384</v>
      </c>
      <c r="H64" s="41">
        <f>IF($X64&gt;0,IF($Y64&gt;0,($T64+$W64)*2730,0),40287)</f>
        <v>40287</v>
      </c>
      <c r="I64" s="41">
        <f>IF($X64&gt;0,IF($Y64&gt;0,$U64*2730,0),25000)</f>
        <v>25000</v>
      </c>
      <c r="J64" s="35">
        <v>3500</v>
      </c>
      <c r="K64" s="42">
        <v>0.78</v>
      </c>
      <c r="L64" s="36" t="str">
        <f>IF($X64&gt;0,IF($P64&lt;&gt;1,$AB64,IFERROR(INDEX('JLR Machines'!$D$2:$D$20001,MATCH($O64,'JLR Machines'!$A$2:$A$20001,0)),$AB64)),$AB64)</f>
        <v>2026-09-29</v>
      </c>
      <c r="M64" s="36" t="str">
        <f>IF($X64&gt;0,IF($Y64&gt;0,"JLR machine "&amp;$O64&amp;" at "&amp;TEXT($X64,"0.00")&amp;" per hr — build-up as supplied","JLR machine "&amp;$O64&amp;" at "&amp;TEXT($X64,"0.00")&amp;" per hr — build-up not supplied"),$AA64)</f>
        <v>UK forge shop benchmark (large hydraulic press), Jun 2026</v>
      </c>
      <c r="N64" s="33" t="s">
        <v>1380</v>
      </c>
      <c r="O64" s="37" t="str">
        <f>IFERROR(INDEX(Mapping!$C$2:$C$549,MATCH($A64,Mapping!$A$2:$A$549,0)),"")</f>
        <v/>
      </c>
      <c r="P64" s="37">
        <f>IF($O64="",0,COUNTIFS('JLR Machines'!$A$2:$A$20001,$O64,'JLR Machines'!$C$2:$C$20001,IF(Settings!$B$2="","&lt;&gt;",Settings!$B$2),'JLR Machines'!$D$2:$D$20001,IF(Settings!$B$3="","&lt;&gt;",Settings!$B$3)))</f>
        <v>0</v>
      </c>
      <c r="Q64" s="39">
        <f>IF($P64&lt;&gt;1,0,SUMIFS('JLR Machines'!$G$2:$G$20001,'JLR Machines'!$A$2:$A$20001,$O64,'JLR Machines'!$C$2:$C$20001,IF(Settings!$B$2="","&lt;&gt;",Settings!$B$2),'JLR Machines'!$D$2:$D$20001,IF(Settings!$B$3="","&lt;&gt;",Settings!$B$3)))</f>
        <v>0</v>
      </c>
      <c r="R64" s="39">
        <f>IF($P64&lt;&gt;1,0,SUMIFS('JLR Machines'!$H$2:$H$20001,'JLR Machines'!$A$2:$A$20001,$O64,'JLR Machines'!$C$2:$C$20001,IF(Settings!$B$2="","&lt;&gt;",Settings!$B$2),'JLR Machines'!$D$2:$D$20001,IF(Settings!$B$3="","&lt;&gt;",Settings!$B$3)))</f>
        <v>0</v>
      </c>
      <c r="S64" s="39">
        <f>IF($P64&lt;&gt;1,0,SUMIFS('JLR Machines'!$I$2:$I$20001,'JLR Machines'!$A$2:$A$20001,$O64,'JLR Machines'!$C$2:$C$20001,IF(Settings!$B$2="","&lt;&gt;",Settings!$B$2),'JLR Machines'!$D$2:$D$20001,IF(Settings!$B$3="","&lt;&gt;",Settings!$B$3)))</f>
        <v>0</v>
      </c>
      <c r="T64" s="39">
        <f>IF($P64&lt;&gt;1,0,SUMIFS('JLR Machines'!$J$2:$J$20001,'JLR Machines'!$A$2:$A$20001,$O64,'JLR Machines'!$C$2:$C$20001,IF(Settings!$B$2="","&lt;&gt;",Settings!$B$2),'JLR Machines'!$D$2:$D$20001,IF(Settings!$B$3="","&lt;&gt;",Settings!$B$3)))</f>
        <v>0</v>
      </c>
      <c r="U64" s="39">
        <f>IF($P64&lt;&gt;1,0,SUMIFS('JLR Machines'!$K$2:$K$20001,'JLR Machines'!$A$2:$A$20001,$O64,'JLR Machines'!$C$2:$C$20001,IF(Settings!$B$2="","&lt;&gt;",Settings!$B$2),'JLR Machines'!$D$2:$D$20001,IF(Settings!$B$3="","&lt;&gt;",Settings!$B$3)))</f>
        <v>0</v>
      </c>
      <c r="V64" s="39">
        <f>IF($P64&lt;&gt;1,0,SUMIFS('JLR Machines'!$L$2:$L$20001,'JLR Machines'!$A$2:$A$20001,$O64,'JLR Machines'!$C$2:$C$20001,IF(Settings!$B$2="","&lt;&gt;",Settings!$B$2),'JLR Machines'!$D$2:$D$20001,IF(Settings!$B$3="","&lt;&gt;",Settings!$B$3)))</f>
        <v>0</v>
      </c>
      <c r="W64" s="39">
        <f>IF($P64&lt;&gt;1,0,SUMIFS('JLR Machines'!$M$2:$M$20001,'JLR Machines'!$A$2:$A$20001,$O64,'JLR Machines'!$C$2:$C$20001,IF(Settings!$B$2="","&lt;&gt;",Settings!$B$2),'JLR Machines'!$D$2:$D$20001,IF(Settings!$B$3="","&lt;&gt;",Settings!$B$3)))</f>
        <v>0</v>
      </c>
      <c r="X64" s="39">
        <f>IF($P64&lt;&gt;1,0,SUMIFS('JLR Machines'!$N$2:$N$20001,'JLR Machines'!$A$2:$A$20001,$O64,'JLR Machines'!$C$2:$C$20001,IF(Settings!$B$2="","&lt;&gt;",Settings!$B$2),'JLR Machines'!$D$2:$D$20001,IF(Settings!$B$3="","&lt;&gt;",Settings!$B$3)))</f>
        <v>0</v>
      </c>
      <c r="Y64" s="39">
        <f>$Q64+$R64+$S64+$T64+$U64+$V64+$W64</f>
        <v>0</v>
      </c>
      <c r="Z64" s="38">
        <f>IF($X64&lt;=0,0,ROUND((D64+E64+F64+G64+H64+I64)/2730-$X64,4))</f>
        <v>0</v>
      </c>
      <c r="AA64" s="40" t="s">
        <v>2212</v>
      </c>
      <c r="AB64" s="40" t="s">
        <v>2099</v>
      </c>
    </row>
    <row r="65" spans="1:28" x14ac:dyDescent="0.25">
      <c r="A65" s="32" t="s">
        <v>1050</v>
      </c>
      <c r="B65" s="33" t="s">
        <v>2213</v>
      </c>
      <c r="C65" s="33" t="s">
        <v>1379</v>
      </c>
      <c r="D65" s="41">
        <f>IF($X65&gt;0,IF($Y65&gt;0,MAX(0,$Q65+$X65-$Y65)*2625,$X65*2625),384560)</f>
        <v>384560</v>
      </c>
      <c r="E65" s="41">
        <f>IF($X65&gt;0,IF($Y65&gt;0,$S65*2625,0),171629)</f>
        <v>171629</v>
      </c>
      <c r="F65" s="41">
        <f>IF($X65&gt;0,IF($Y65&gt;0,$V65*2625,0),372870)</f>
        <v>372870</v>
      </c>
      <c r="G65" s="41">
        <f>IF($X65&gt;0,IF($Y65&gt;0,$R65*2625,0),70673)</f>
        <v>70673</v>
      </c>
      <c r="H65" s="41">
        <f>IF($X65&gt;0,IF($Y65&gt;0,($T65+$W65)*2625,0),75538)</f>
        <v>75538</v>
      </c>
      <c r="I65" s="41">
        <f>IF($X65&gt;0,IF($Y65&gt;0,$U65*2625,0),47500)</f>
        <v>47500</v>
      </c>
      <c r="J65" s="35">
        <v>3500</v>
      </c>
      <c r="K65" s="42">
        <v>0.75</v>
      </c>
      <c r="L65" s="36" t="str">
        <f>IF($X65&gt;0,IF($P65&lt;&gt;1,$AB65,IFERROR(INDEX('JLR Machines'!$D$2:$D$20001,MATCH($O65,'JLR Machines'!$A$2:$A$20001,0)),$AB65)),$AB65)</f>
        <v>2026-09-29</v>
      </c>
      <c r="M65" s="36" t="str">
        <f>IF($X65&gt;0,IF($Y65&gt;0,"JLR machine "&amp;$O65&amp;" at "&amp;TEXT($X65,"0.00")&amp;" per hr — build-up as supplied","JLR machine "&amp;$O65&amp;" at "&amp;TEXT($X65,"0.00")&amp;" per hr — build-up not supplied"),$AA65)</f>
        <v>UK forge shop benchmark (heavy structural/aero press), Jun 2026</v>
      </c>
      <c r="N65" s="33" t="s">
        <v>1380</v>
      </c>
      <c r="O65" s="37" t="str">
        <f>IFERROR(INDEX(Mapping!$C$2:$C$549,MATCH($A65,Mapping!$A$2:$A$549,0)),"")</f>
        <v/>
      </c>
      <c r="P65" s="37">
        <f>IF($O65="",0,COUNTIFS('JLR Machines'!$A$2:$A$20001,$O65,'JLR Machines'!$C$2:$C$20001,IF(Settings!$B$2="","&lt;&gt;",Settings!$B$2),'JLR Machines'!$D$2:$D$20001,IF(Settings!$B$3="","&lt;&gt;",Settings!$B$3)))</f>
        <v>0</v>
      </c>
      <c r="Q65" s="39">
        <f>IF($P65&lt;&gt;1,0,SUMIFS('JLR Machines'!$G$2:$G$20001,'JLR Machines'!$A$2:$A$20001,$O65,'JLR Machines'!$C$2:$C$20001,IF(Settings!$B$2="","&lt;&gt;",Settings!$B$2),'JLR Machines'!$D$2:$D$20001,IF(Settings!$B$3="","&lt;&gt;",Settings!$B$3)))</f>
        <v>0</v>
      </c>
      <c r="R65" s="39">
        <f>IF($P65&lt;&gt;1,0,SUMIFS('JLR Machines'!$H$2:$H$20001,'JLR Machines'!$A$2:$A$20001,$O65,'JLR Machines'!$C$2:$C$20001,IF(Settings!$B$2="","&lt;&gt;",Settings!$B$2),'JLR Machines'!$D$2:$D$20001,IF(Settings!$B$3="","&lt;&gt;",Settings!$B$3)))</f>
        <v>0</v>
      </c>
      <c r="S65" s="39">
        <f>IF($P65&lt;&gt;1,0,SUMIFS('JLR Machines'!$I$2:$I$20001,'JLR Machines'!$A$2:$A$20001,$O65,'JLR Machines'!$C$2:$C$20001,IF(Settings!$B$2="","&lt;&gt;",Settings!$B$2),'JLR Machines'!$D$2:$D$20001,IF(Settings!$B$3="","&lt;&gt;",Settings!$B$3)))</f>
        <v>0</v>
      </c>
      <c r="T65" s="39">
        <f>IF($P65&lt;&gt;1,0,SUMIFS('JLR Machines'!$J$2:$J$20001,'JLR Machines'!$A$2:$A$20001,$O65,'JLR Machines'!$C$2:$C$20001,IF(Settings!$B$2="","&lt;&gt;",Settings!$B$2),'JLR Machines'!$D$2:$D$20001,IF(Settings!$B$3="","&lt;&gt;",Settings!$B$3)))</f>
        <v>0</v>
      </c>
      <c r="U65" s="39">
        <f>IF($P65&lt;&gt;1,0,SUMIFS('JLR Machines'!$K$2:$K$20001,'JLR Machines'!$A$2:$A$20001,$O65,'JLR Machines'!$C$2:$C$20001,IF(Settings!$B$2="","&lt;&gt;",Settings!$B$2),'JLR Machines'!$D$2:$D$20001,IF(Settings!$B$3="","&lt;&gt;",Settings!$B$3)))</f>
        <v>0</v>
      </c>
      <c r="V65" s="39">
        <f>IF($P65&lt;&gt;1,0,SUMIFS('JLR Machines'!$L$2:$L$20001,'JLR Machines'!$A$2:$A$20001,$O65,'JLR Machines'!$C$2:$C$20001,IF(Settings!$B$2="","&lt;&gt;",Settings!$B$2),'JLR Machines'!$D$2:$D$20001,IF(Settings!$B$3="","&lt;&gt;",Settings!$B$3)))</f>
        <v>0</v>
      </c>
      <c r="W65" s="39">
        <f>IF($P65&lt;&gt;1,0,SUMIFS('JLR Machines'!$M$2:$M$20001,'JLR Machines'!$A$2:$A$20001,$O65,'JLR Machines'!$C$2:$C$20001,IF(Settings!$B$2="","&lt;&gt;",Settings!$B$2),'JLR Machines'!$D$2:$D$20001,IF(Settings!$B$3="","&lt;&gt;",Settings!$B$3)))</f>
        <v>0</v>
      </c>
      <c r="X65" s="39">
        <f>IF($P65&lt;&gt;1,0,SUMIFS('JLR Machines'!$N$2:$N$20001,'JLR Machines'!$A$2:$A$20001,$O65,'JLR Machines'!$C$2:$C$20001,IF(Settings!$B$2="","&lt;&gt;",Settings!$B$2),'JLR Machines'!$D$2:$D$20001,IF(Settings!$B$3="","&lt;&gt;",Settings!$B$3)))</f>
        <v>0</v>
      </c>
      <c r="Y65" s="39">
        <f>$Q65+$R65+$S65+$T65+$U65+$V65+$W65</f>
        <v>0</v>
      </c>
      <c r="Z65" s="38">
        <f>IF($X65&lt;=0,0,ROUND((D65+E65+F65+G65+H65+I65)/2625-$X65,4))</f>
        <v>0</v>
      </c>
      <c r="AA65" s="40" t="s">
        <v>2214</v>
      </c>
      <c r="AB65" s="40" t="s">
        <v>2099</v>
      </c>
    </row>
    <row r="66" spans="1:28" x14ac:dyDescent="0.25">
      <c r="A66" s="32" t="s">
        <v>1052</v>
      </c>
      <c r="B66" s="33" t="s">
        <v>2215</v>
      </c>
      <c r="C66" s="33" t="s">
        <v>1379</v>
      </c>
      <c r="D66" s="41">
        <f>IF($X66&gt;0,IF($Y66&gt;0,MAX(0,$Q66+$X66-$Y66)*2730,$X66*2730),70840)</f>
        <v>70840</v>
      </c>
      <c r="E66" s="41">
        <f>IF($X66&gt;0,IF($Y66&gt;0,$S66*2730,0),32307)</f>
        <v>32307</v>
      </c>
      <c r="F66" s="41">
        <f>IF($X66&gt;0,IF($Y66&gt;0,$V66*2730,0),69913)</f>
        <v>69913</v>
      </c>
      <c r="G66" s="41">
        <f>IF($X66&gt;0,IF($Y66&gt;0,$R66*2730,0),16154)</f>
        <v>16154</v>
      </c>
      <c r="H66" s="41">
        <f>IF($X66&gt;0,IF($Y66&gt;0,($T66+$W66)*2730,0),14100)</f>
        <v>14100</v>
      </c>
      <c r="I66" s="41">
        <f>IF($X66&gt;0,IF($Y66&gt;0,$U66*2730,0),8750)</f>
        <v>8750</v>
      </c>
      <c r="J66" s="35">
        <v>3500</v>
      </c>
      <c r="K66" s="42">
        <v>0.78</v>
      </c>
      <c r="L66" s="36" t="str">
        <f>IF($X66&gt;0,IF($P66&lt;&gt;1,$AB66,IFERROR(INDEX('JLR Machines'!$D$2:$D$20001,MATCH($O66,'JLR Machines'!$A$2:$A$20001,0)),$AB66)),$AB66)</f>
        <v>2026-09-29</v>
      </c>
      <c r="M66" s="36" t="str">
        <f>IF($X66&gt;0,IF($Y66&gt;0,"JLR machine "&amp;$O66&amp;" at "&amp;TEXT($X66,"0.00")&amp;" per hr — build-up as supplied","JLR machine "&amp;$O66&amp;" at "&amp;TEXT($X66,"0.00")&amp;" per hr — build-up not supplied"),$AA66)</f>
        <v>UK forge shop benchmark (screw press — precision/near-net), Jun 2026</v>
      </c>
      <c r="N66" s="33" t="s">
        <v>1380</v>
      </c>
      <c r="O66" s="37" t="str">
        <f>IFERROR(INDEX(Mapping!$C$2:$C$549,MATCH($A66,Mapping!$A$2:$A$549,0)),"")</f>
        <v/>
      </c>
      <c r="P66" s="37">
        <f>IF($O66="",0,COUNTIFS('JLR Machines'!$A$2:$A$20001,$O66,'JLR Machines'!$C$2:$C$20001,IF(Settings!$B$2="","&lt;&gt;",Settings!$B$2),'JLR Machines'!$D$2:$D$20001,IF(Settings!$B$3="","&lt;&gt;",Settings!$B$3)))</f>
        <v>0</v>
      </c>
      <c r="Q66" s="39">
        <f>IF($P66&lt;&gt;1,0,SUMIFS('JLR Machines'!$G$2:$G$20001,'JLR Machines'!$A$2:$A$20001,$O66,'JLR Machines'!$C$2:$C$20001,IF(Settings!$B$2="","&lt;&gt;",Settings!$B$2),'JLR Machines'!$D$2:$D$20001,IF(Settings!$B$3="","&lt;&gt;",Settings!$B$3)))</f>
        <v>0</v>
      </c>
      <c r="R66" s="39">
        <f>IF($P66&lt;&gt;1,0,SUMIFS('JLR Machines'!$H$2:$H$20001,'JLR Machines'!$A$2:$A$20001,$O66,'JLR Machines'!$C$2:$C$20001,IF(Settings!$B$2="","&lt;&gt;",Settings!$B$2),'JLR Machines'!$D$2:$D$20001,IF(Settings!$B$3="","&lt;&gt;",Settings!$B$3)))</f>
        <v>0</v>
      </c>
      <c r="S66" s="39">
        <f>IF($P66&lt;&gt;1,0,SUMIFS('JLR Machines'!$I$2:$I$20001,'JLR Machines'!$A$2:$A$20001,$O66,'JLR Machines'!$C$2:$C$20001,IF(Settings!$B$2="","&lt;&gt;",Settings!$B$2),'JLR Machines'!$D$2:$D$20001,IF(Settings!$B$3="","&lt;&gt;",Settings!$B$3)))</f>
        <v>0</v>
      </c>
      <c r="T66" s="39">
        <f>IF($P66&lt;&gt;1,0,SUMIFS('JLR Machines'!$J$2:$J$20001,'JLR Machines'!$A$2:$A$20001,$O66,'JLR Machines'!$C$2:$C$20001,IF(Settings!$B$2="","&lt;&gt;",Settings!$B$2),'JLR Machines'!$D$2:$D$20001,IF(Settings!$B$3="","&lt;&gt;",Settings!$B$3)))</f>
        <v>0</v>
      </c>
      <c r="U66" s="39">
        <f>IF($P66&lt;&gt;1,0,SUMIFS('JLR Machines'!$K$2:$K$20001,'JLR Machines'!$A$2:$A$20001,$O66,'JLR Machines'!$C$2:$C$20001,IF(Settings!$B$2="","&lt;&gt;",Settings!$B$2),'JLR Machines'!$D$2:$D$20001,IF(Settings!$B$3="","&lt;&gt;",Settings!$B$3)))</f>
        <v>0</v>
      </c>
      <c r="V66" s="39">
        <f>IF($P66&lt;&gt;1,0,SUMIFS('JLR Machines'!$L$2:$L$20001,'JLR Machines'!$A$2:$A$20001,$O66,'JLR Machines'!$C$2:$C$20001,IF(Settings!$B$2="","&lt;&gt;",Settings!$B$2),'JLR Machines'!$D$2:$D$20001,IF(Settings!$B$3="","&lt;&gt;",Settings!$B$3)))</f>
        <v>0</v>
      </c>
      <c r="W66" s="39">
        <f>IF($P66&lt;&gt;1,0,SUMIFS('JLR Machines'!$M$2:$M$20001,'JLR Machines'!$A$2:$A$20001,$O66,'JLR Machines'!$C$2:$C$20001,IF(Settings!$B$2="","&lt;&gt;",Settings!$B$2),'JLR Machines'!$D$2:$D$20001,IF(Settings!$B$3="","&lt;&gt;",Settings!$B$3)))</f>
        <v>0</v>
      </c>
      <c r="X66" s="39">
        <f>IF($P66&lt;&gt;1,0,SUMIFS('JLR Machines'!$N$2:$N$20001,'JLR Machines'!$A$2:$A$20001,$O66,'JLR Machines'!$C$2:$C$20001,IF(Settings!$B$2="","&lt;&gt;",Settings!$B$2),'JLR Machines'!$D$2:$D$20001,IF(Settings!$B$3="","&lt;&gt;",Settings!$B$3)))</f>
        <v>0</v>
      </c>
      <c r="Y66" s="39">
        <f>$Q66+$R66+$S66+$T66+$U66+$V66+$W66</f>
        <v>0</v>
      </c>
      <c r="Z66" s="38">
        <f>IF($X66&lt;=0,0,ROUND((D66+E66+F66+G66+H66+I66)/2730-$X66,4))</f>
        <v>0</v>
      </c>
      <c r="AA66" s="40" t="s">
        <v>2216</v>
      </c>
      <c r="AB66" s="40" t="s">
        <v>2099</v>
      </c>
    </row>
    <row r="67" spans="1:28" x14ac:dyDescent="0.25">
      <c r="A67" s="32" t="s">
        <v>1054</v>
      </c>
      <c r="B67" s="33" t="s">
        <v>2217</v>
      </c>
      <c r="C67" s="33" t="s">
        <v>1379</v>
      </c>
      <c r="D67" s="41">
        <f>IF($X67&gt;0,IF($Y67&gt;0,MAX(0,$Q67+$X67-$Y67)*2730,$X67*2730),60720)</f>
        <v>60720</v>
      </c>
      <c r="E67" s="41">
        <f>IF($X67&gt;0,IF($Y67&gt;0,$S67*2730,0),28268)</f>
        <v>28268</v>
      </c>
      <c r="F67" s="41">
        <f>IF($X67&gt;0,IF($Y67&gt;0,$V67*2730,0),46609)</f>
        <v>46609</v>
      </c>
      <c r="G67" s="41">
        <f>IF($X67&gt;0,IF($Y67&gt;0,$R67*2730,0),14135)</f>
        <v>14135</v>
      </c>
      <c r="H67" s="41">
        <f>IF($X67&gt;0,IF($Y67&gt;0,($T67+$W67)*2730,0),12086)</f>
        <v>12086</v>
      </c>
      <c r="I67" s="41">
        <f>IF($X67&gt;0,IF($Y67&gt;0,$U67*2730,0),7500)</f>
        <v>7500</v>
      </c>
      <c r="J67" s="35">
        <v>3500</v>
      </c>
      <c r="K67" s="42">
        <v>0.78</v>
      </c>
      <c r="L67" s="36" t="str">
        <f>IF($X67&gt;0,IF($P67&lt;&gt;1,$AB67,IFERROR(INDEX('JLR Machines'!$D$2:$D$20001,MATCH($O67,'JLR Machines'!$A$2:$A$20001,0)),$AB67)),$AB67)</f>
        <v>2026-09-29</v>
      </c>
      <c r="M67" s="36" t="str">
        <f>IF($X67&gt;0,IF($Y67&gt;0,"JLR machine "&amp;$O67&amp;" at "&amp;TEXT($X67,"0.00")&amp;" per hr — build-up as supplied","JLR machine "&amp;$O67&amp;" at "&amp;TEXT($X67,"0.00")&amp;" per hr — build-up not supplied"),$AA67)</f>
        <v>UK forge shop benchmark (upset forging — gears, valves, flanges), Jun 2026</v>
      </c>
      <c r="N67" s="33" t="s">
        <v>1380</v>
      </c>
      <c r="O67" s="37" t="str">
        <f>IFERROR(INDEX(Mapping!$C$2:$C$549,MATCH($A67,Mapping!$A$2:$A$549,0)),"")</f>
        <v/>
      </c>
      <c r="P67" s="37">
        <f>IF($O67="",0,COUNTIFS('JLR Machines'!$A$2:$A$20001,$O67,'JLR Machines'!$C$2:$C$20001,IF(Settings!$B$2="","&lt;&gt;",Settings!$B$2),'JLR Machines'!$D$2:$D$20001,IF(Settings!$B$3="","&lt;&gt;",Settings!$B$3)))</f>
        <v>0</v>
      </c>
      <c r="Q67" s="39">
        <f>IF($P67&lt;&gt;1,0,SUMIFS('JLR Machines'!$G$2:$G$20001,'JLR Machines'!$A$2:$A$20001,$O67,'JLR Machines'!$C$2:$C$20001,IF(Settings!$B$2="","&lt;&gt;",Settings!$B$2),'JLR Machines'!$D$2:$D$20001,IF(Settings!$B$3="","&lt;&gt;",Settings!$B$3)))</f>
        <v>0</v>
      </c>
      <c r="R67" s="39">
        <f>IF($P67&lt;&gt;1,0,SUMIFS('JLR Machines'!$H$2:$H$20001,'JLR Machines'!$A$2:$A$20001,$O67,'JLR Machines'!$C$2:$C$20001,IF(Settings!$B$2="","&lt;&gt;",Settings!$B$2),'JLR Machines'!$D$2:$D$20001,IF(Settings!$B$3="","&lt;&gt;",Settings!$B$3)))</f>
        <v>0</v>
      </c>
      <c r="S67" s="39">
        <f>IF($P67&lt;&gt;1,0,SUMIFS('JLR Machines'!$I$2:$I$20001,'JLR Machines'!$A$2:$A$20001,$O67,'JLR Machines'!$C$2:$C$20001,IF(Settings!$B$2="","&lt;&gt;",Settings!$B$2),'JLR Machines'!$D$2:$D$20001,IF(Settings!$B$3="","&lt;&gt;",Settings!$B$3)))</f>
        <v>0</v>
      </c>
      <c r="T67" s="39">
        <f>IF($P67&lt;&gt;1,0,SUMIFS('JLR Machines'!$J$2:$J$20001,'JLR Machines'!$A$2:$A$20001,$O67,'JLR Machines'!$C$2:$C$20001,IF(Settings!$B$2="","&lt;&gt;",Settings!$B$2),'JLR Machines'!$D$2:$D$20001,IF(Settings!$B$3="","&lt;&gt;",Settings!$B$3)))</f>
        <v>0</v>
      </c>
      <c r="U67" s="39">
        <f>IF($P67&lt;&gt;1,0,SUMIFS('JLR Machines'!$K$2:$K$20001,'JLR Machines'!$A$2:$A$20001,$O67,'JLR Machines'!$C$2:$C$20001,IF(Settings!$B$2="","&lt;&gt;",Settings!$B$2),'JLR Machines'!$D$2:$D$20001,IF(Settings!$B$3="","&lt;&gt;",Settings!$B$3)))</f>
        <v>0</v>
      </c>
      <c r="V67" s="39">
        <f>IF($P67&lt;&gt;1,0,SUMIFS('JLR Machines'!$L$2:$L$20001,'JLR Machines'!$A$2:$A$20001,$O67,'JLR Machines'!$C$2:$C$20001,IF(Settings!$B$2="","&lt;&gt;",Settings!$B$2),'JLR Machines'!$D$2:$D$20001,IF(Settings!$B$3="","&lt;&gt;",Settings!$B$3)))</f>
        <v>0</v>
      </c>
      <c r="W67" s="39">
        <f>IF($P67&lt;&gt;1,0,SUMIFS('JLR Machines'!$M$2:$M$20001,'JLR Machines'!$A$2:$A$20001,$O67,'JLR Machines'!$C$2:$C$20001,IF(Settings!$B$2="","&lt;&gt;",Settings!$B$2),'JLR Machines'!$D$2:$D$20001,IF(Settings!$B$3="","&lt;&gt;",Settings!$B$3)))</f>
        <v>0</v>
      </c>
      <c r="X67" s="39">
        <f>IF($P67&lt;&gt;1,0,SUMIFS('JLR Machines'!$N$2:$N$20001,'JLR Machines'!$A$2:$A$20001,$O67,'JLR Machines'!$C$2:$C$20001,IF(Settings!$B$2="","&lt;&gt;",Settings!$B$2),'JLR Machines'!$D$2:$D$20001,IF(Settings!$B$3="","&lt;&gt;",Settings!$B$3)))</f>
        <v>0</v>
      </c>
      <c r="Y67" s="39">
        <f>$Q67+$R67+$S67+$T67+$U67+$V67+$W67</f>
        <v>0</v>
      </c>
      <c r="Z67" s="38">
        <f>IF($X67&lt;=0,0,ROUND((D67+E67+F67+G67+H67+I67)/2730-$X67,4))</f>
        <v>0</v>
      </c>
      <c r="AA67" s="40" t="s">
        <v>2218</v>
      </c>
      <c r="AB67" s="40" t="s">
        <v>2099</v>
      </c>
    </row>
    <row r="68" spans="1:28" x14ac:dyDescent="0.25">
      <c r="A68" s="32" t="s">
        <v>1056</v>
      </c>
      <c r="B68" s="33" t="s">
        <v>2219</v>
      </c>
      <c r="C68" s="33" t="s">
        <v>1379</v>
      </c>
      <c r="D68" s="41">
        <f>IF($X68&gt;0,IF($Y68&gt;0,MAX(0,$Q68+$X68-$Y68)*2730,$X68*2730),20240)</f>
        <v>20240</v>
      </c>
      <c r="E68" s="41">
        <f>IF($X68&gt;0,IF($Y68&gt;0,$S68*2730,0),10096)</f>
        <v>10096</v>
      </c>
      <c r="F68" s="41">
        <f>IF($X68&gt;0,IF($Y68&gt;0,$V68*2730,0),32626)</f>
        <v>32626</v>
      </c>
      <c r="G68" s="41">
        <f>IF($X68&gt;0,IF($Y68&gt;0,$R68*2730,0),10096)</f>
        <v>10096</v>
      </c>
      <c r="H68" s="41">
        <f>IF($X68&gt;0,IF($Y68&gt;0,($T68+$W68)*2730,0),6043)</f>
        <v>6043</v>
      </c>
      <c r="I68" s="41">
        <f>IF($X68&gt;0,IF($Y68&gt;0,$U68*2730,0),2500)</f>
        <v>2500</v>
      </c>
      <c r="J68" s="35">
        <v>3500</v>
      </c>
      <c r="K68" s="42">
        <v>0.78</v>
      </c>
      <c r="L68" s="36" t="str">
        <f>IF($X68&gt;0,IF($P68&lt;&gt;1,$AB68,IFERROR(INDEX('JLR Machines'!$D$2:$D$20001,MATCH($O68,'JLR Machines'!$A$2:$A$20001,0)),$AB68)),$AB68)</f>
        <v>2026-09-29</v>
      </c>
      <c r="M68" s="36" t="str">
        <f>IF($X68&gt;0,IF($Y68&gt;0,"JLR machine "&amp;$O68&amp;" at "&amp;TEXT($X68,"0.00")&amp;" per hr — build-up as supplied","JLR machine "&amp;$O68&amp;" at "&amp;TEXT($X68,"0.00")&amp;" per hr — build-up not supplied"),$AA68)</f>
        <v>UK forge shop benchmark (small drop hammer), Jun 2026</v>
      </c>
      <c r="N68" s="33" t="s">
        <v>1380</v>
      </c>
      <c r="O68" s="37" t="str">
        <f>IFERROR(INDEX(Mapping!$C$2:$C$549,MATCH($A68,Mapping!$A$2:$A$549,0)),"")</f>
        <v/>
      </c>
      <c r="P68" s="37">
        <f>IF($O68="",0,COUNTIFS('JLR Machines'!$A$2:$A$20001,$O68,'JLR Machines'!$C$2:$C$20001,IF(Settings!$B$2="","&lt;&gt;",Settings!$B$2),'JLR Machines'!$D$2:$D$20001,IF(Settings!$B$3="","&lt;&gt;",Settings!$B$3)))</f>
        <v>0</v>
      </c>
      <c r="Q68" s="39">
        <f>IF($P68&lt;&gt;1,0,SUMIFS('JLR Machines'!$G$2:$G$20001,'JLR Machines'!$A$2:$A$20001,$O68,'JLR Machines'!$C$2:$C$20001,IF(Settings!$B$2="","&lt;&gt;",Settings!$B$2),'JLR Machines'!$D$2:$D$20001,IF(Settings!$B$3="","&lt;&gt;",Settings!$B$3)))</f>
        <v>0</v>
      </c>
      <c r="R68" s="39">
        <f>IF($P68&lt;&gt;1,0,SUMIFS('JLR Machines'!$H$2:$H$20001,'JLR Machines'!$A$2:$A$20001,$O68,'JLR Machines'!$C$2:$C$20001,IF(Settings!$B$2="","&lt;&gt;",Settings!$B$2),'JLR Machines'!$D$2:$D$20001,IF(Settings!$B$3="","&lt;&gt;",Settings!$B$3)))</f>
        <v>0</v>
      </c>
      <c r="S68" s="39">
        <f>IF($P68&lt;&gt;1,0,SUMIFS('JLR Machines'!$I$2:$I$20001,'JLR Machines'!$A$2:$A$20001,$O68,'JLR Machines'!$C$2:$C$20001,IF(Settings!$B$2="","&lt;&gt;",Settings!$B$2),'JLR Machines'!$D$2:$D$20001,IF(Settings!$B$3="","&lt;&gt;",Settings!$B$3)))</f>
        <v>0</v>
      </c>
      <c r="T68" s="39">
        <f>IF($P68&lt;&gt;1,0,SUMIFS('JLR Machines'!$J$2:$J$20001,'JLR Machines'!$A$2:$A$20001,$O68,'JLR Machines'!$C$2:$C$20001,IF(Settings!$B$2="","&lt;&gt;",Settings!$B$2),'JLR Machines'!$D$2:$D$20001,IF(Settings!$B$3="","&lt;&gt;",Settings!$B$3)))</f>
        <v>0</v>
      </c>
      <c r="U68" s="39">
        <f>IF($P68&lt;&gt;1,0,SUMIFS('JLR Machines'!$K$2:$K$20001,'JLR Machines'!$A$2:$A$20001,$O68,'JLR Machines'!$C$2:$C$20001,IF(Settings!$B$2="","&lt;&gt;",Settings!$B$2),'JLR Machines'!$D$2:$D$20001,IF(Settings!$B$3="","&lt;&gt;",Settings!$B$3)))</f>
        <v>0</v>
      </c>
      <c r="V68" s="39">
        <f>IF($P68&lt;&gt;1,0,SUMIFS('JLR Machines'!$L$2:$L$20001,'JLR Machines'!$A$2:$A$20001,$O68,'JLR Machines'!$C$2:$C$20001,IF(Settings!$B$2="","&lt;&gt;",Settings!$B$2),'JLR Machines'!$D$2:$D$20001,IF(Settings!$B$3="","&lt;&gt;",Settings!$B$3)))</f>
        <v>0</v>
      </c>
      <c r="W68" s="39">
        <f>IF($P68&lt;&gt;1,0,SUMIFS('JLR Machines'!$M$2:$M$20001,'JLR Machines'!$A$2:$A$20001,$O68,'JLR Machines'!$C$2:$C$20001,IF(Settings!$B$2="","&lt;&gt;",Settings!$B$2),'JLR Machines'!$D$2:$D$20001,IF(Settings!$B$3="","&lt;&gt;",Settings!$B$3)))</f>
        <v>0</v>
      </c>
      <c r="X68" s="39">
        <f>IF($P68&lt;&gt;1,0,SUMIFS('JLR Machines'!$N$2:$N$20001,'JLR Machines'!$A$2:$A$20001,$O68,'JLR Machines'!$C$2:$C$20001,IF(Settings!$B$2="","&lt;&gt;",Settings!$B$2),'JLR Machines'!$D$2:$D$20001,IF(Settings!$B$3="","&lt;&gt;",Settings!$B$3)))</f>
        <v>0</v>
      </c>
      <c r="Y68" s="39">
        <f>$Q68+$R68+$S68+$T68+$U68+$V68+$W68</f>
        <v>0</v>
      </c>
      <c r="Z68" s="38">
        <f>IF($X68&lt;=0,0,ROUND((D68+E68+F68+G68+H68+I68)/2730-$X68,4))</f>
        <v>0</v>
      </c>
      <c r="AA68" s="40" t="s">
        <v>2220</v>
      </c>
      <c r="AB68" s="40" t="s">
        <v>2099</v>
      </c>
    </row>
    <row r="69" spans="1:28" x14ac:dyDescent="0.25">
      <c r="A69" s="32" t="s">
        <v>1058</v>
      </c>
      <c r="B69" s="33" t="s">
        <v>2221</v>
      </c>
      <c r="C69" s="33" t="s">
        <v>1379</v>
      </c>
      <c r="D69" s="41">
        <f>IF($X69&gt;0,IF($Y69&gt;0,MAX(0,$Q69+$X69-$Y69)*2730,$X69*2730),35420)</f>
        <v>35420</v>
      </c>
      <c r="E69" s="41">
        <f>IF($X69&gt;0,IF($Y69&gt;0,$S69*2730,0),18173)</f>
        <v>18173</v>
      </c>
      <c r="F69" s="41">
        <f>IF($X69&gt;0,IF($Y69&gt;0,$V69*2730,0),52435)</f>
        <v>52435</v>
      </c>
      <c r="G69" s="41">
        <f>IF($X69&gt;0,IF($Y69&gt;0,$R69*2730,0),15144)</f>
        <v>15144</v>
      </c>
      <c r="H69" s="41">
        <f>IF($X69&gt;0,IF($Y69&gt;0,($T69+$W69)*2730,0),9065)</f>
        <v>9065</v>
      </c>
      <c r="I69" s="41">
        <f>IF($X69&gt;0,IF($Y69&gt;0,$U69*2730,0),4375)</f>
        <v>4375</v>
      </c>
      <c r="J69" s="35">
        <v>3500</v>
      </c>
      <c r="K69" s="42">
        <v>0.78</v>
      </c>
      <c r="L69" s="36" t="str">
        <f>IF($X69&gt;0,IF($P69&lt;&gt;1,$AB69,IFERROR(INDEX('JLR Machines'!$D$2:$D$20001,MATCH($O69,'JLR Machines'!$A$2:$A$20001,0)),$AB69)),$AB69)</f>
        <v>2026-09-29</v>
      </c>
      <c r="M69" s="36" t="str">
        <f>IF($X69&gt;0,IF($Y69&gt;0,"JLR machine "&amp;$O69&amp;" at "&amp;TEXT($X69,"0.00")&amp;" per hr — build-up as supplied","JLR machine "&amp;$O69&amp;" at "&amp;TEXT($X69,"0.00")&amp;" per hr — build-up not supplied"),$AA69)</f>
        <v>UK forge shop benchmark, Jun 2026</v>
      </c>
      <c r="N69" s="33" t="s">
        <v>1380</v>
      </c>
      <c r="O69" s="37" t="str">
        <f>IFERROR(INDEX(Mapping!$C$2:$C$549,MATCH($A69,Mapping!$A$2:$A$549,0)),"")</f>
        <v/>
      </c>
      <c r="P69" s="37">
        <f>IF($O69="",0,COUNTIFS('JLR Machines'!$A$2:$A$20001,$O69,'JLR Machines'!$C$2:$C$20001,IF(Settings!$B$2="","&lt;&gt;",Settings!$B$2),'JLR Machines'!$D$2:$D$20001,IF(Settings!$B$3="","&lt;&gt;",Settings!$B$3)))</f>
        <v>0</v>
      </c>
      <c r="Q69" s="39">
        <f>IF($P69&lt;&gt;1,0,SUMIFS('JLR Machines'!$G$2:$G$20001,'JLR Machines'!$A$2:$A$20001,$O69,'JLR Machines'!$C$2:$C$20001,IF(Settings!$B$2="","&lt;&gt;",Settings!$B$2),'JLR Machines'!$D$2:$D$20001,IF(Settings!$B$3="","&lt;&gt;",Settings!$B$3)))</f>
        <v>0</v>
      </c>
      <c r="R69" s="39">
        <f>IF($P69&lt;&gt;1,0,SUMIFS('JLR Machines'!$H$2:$H$20001,'JLR Machines'!$A$2:$A$20001,$O69,'JLR Machines'!$C$2:$C$20001,IF(Settings!$B$2="","&lt;&gt;",Settings!$B$2),'JLR Machines'!$D$2:$D$20001,IF(Settings!$B$3="","&lt;&gt;",Settings!$B$3)))</f>
        <v>0</v>
      </c>
      <c r="S69" s="39">
        <f>IF($P69&lt;&gt;1,0,SUMIFS('JLR Machines'!$I$2:$I$20001,'JLR Machines'!$A$2:$A$20001,$O69,'JLR Machines'!$C$2:$C$20001,IF(Settings!$B$2="","&lt;&gt;",Settings!$B$2),'JLR Machines'!$D$2:$D$20001,IF(Settings!$B$3="","&lt;&gt;",Settings!$B$3)))</f>
        <v>0</v>
      </c>
      <c r="T69" s="39">
        <f>IF($P69&lt;&gt;1,0,SUMIFS('JLR Machines'!$J$2:$J$20001,'JLR Machines'!$A$2:$A$20001,$O69,'JLR Machines'!$C$2:$C$20001,IF(Settings!$B$2="","&lt;&gt;",Settings!$B$2),'JLR Machines'!$D$2:$D$20001,IF(Settings!$B$3="","&lt;&gt;",Settings!$B$3)))</f>
        <v>0</v>
      </c>
      <c r="U69" s="39">
        <f>IF($P69&lt;&gt;1,0,SUMIFS('JLR Machines'!$K$2:$K$20001,'JLR Machines'!$A$2:$A$20001,$O69,'JLR Machines'!$C$2:$C$20001,IF(Settings!$B$2="","&lt;&gt;",Settings!$B$2),'JLR Machines'!$D$2:$D$20001,IF(Settings!$B$3="","&lt;&gt;",Settings!$B$3)))</f>
        <v>0</v>
      </c>
      <c r="V69" s="39">
        <f>IF($P69&lt;&gt;1,0,SUMIFS('JLR Machines'!$L$2:$L$20001,'JLR Machines'!$A$2:$A$20001,$O69,'JLR Machines'!$C$2:$C$20001,IF(Settings!$B$2="","&lt;&gt;",Settings!$B$2),'JLR Machines'!$D$2:$D$20001,IF(Settings!$B$3="","&lt;&gt;",Settings!$B$3)))</f>
        <v>0</v>
      </c>
      <c r="W69" s="39">
        <f>IF($P69&lt;&gt;1,0,SUMIFS('JLR Machines'!$M$2:$M$20001,'JLR Machines'!$A$2:$A$20001,$O69,'JLR Machines'!$C$2:$C$20001,IF(Settings!$B$2="","&lt;&gt;",Settings!$B$2),'JLR Machines'!$D$2:$D$20001,IF(Settings!$B$3="","&lt;&gt;",Settings!$B$3)))</f>
        <v>0</v>
      </c>
      <c r="X69" s="39">
        <f>IF($P69&lt;&gt;1,0,SUMIFS('JLR Machines'!$N$2:$N$20001,'JLR Machines'!$A$2:$A$20001,$O69,'JLR Machines'!$C$2:$C$20001,IF(Settings!$B$2="","&lt;&gt;",Settings!$B$2),'JLR Machines'!$D$2:$D$20001,IF(Settings!$B$3="","&lt;&gt;",Settings!$B$3)))</f>
        <v>0</v>
      </c>
      <c r="Y69" s="39">
        <f>$Q69+$R69+$S69+$T69+$U69+$V69+$W69</f>
        <v>0</v>
      </c>
      <c r="Z69" s="38">
        <f>IF($X69&lt;=0,0,ROUND((D69+E69+F69+G69+H69+I69)/2730-$X69,4))</f>
        <v>0</v>
      </c>
      <c r="AA69" s="40" t="s">
        <v>2206</v>
      </c>
      <c r="AB69" s="40" t="s">
        <v>2099</v>
      </c>
    </row>
    <row r="70" spans="1:28" x14ac:dyDescent="0.25">
      <c r="A70" s="32" t="s">
        <v>1060</v>
      </c>
      <c r="B70" s="33" t="s">
        <v>2222</v>
      </c>
      <c r="C70" s="33" t="s">
        <v>1379</v>
      </c>
      <c r="D70" s="41">
        <f>IF($X70&gt;0,IF($Y70&gt;0,MAX(0,$Q70+$X70-$Y70)*2730,$X70*2730),60720)</f>
        <v>60720</v>
      </c>
      <c r="E70" s="41">
        <f>IF($X70&gt;0,IF($Y70&gt;0,$S70*2730,0),30288)</f>
        <v>30288</v>
      </c>
      <c r="F70" s="41">
        <f>IF($X70&gt;0,IF($Y70&gt;0,$V70*2730,0),81565)</f>
        <v>81565</v>
      </c>
      <c r="G70" s="41">
        <f>IF($X70&gt;0,IF($Y70&gt;0,$R70*2730,0),22211)</f>
        <v>22211</v>
      </c>
      <c r="H70" s="41">
        <f>IF($X70&gt;0,IF($Y70&gt;0,($T70+$W70)*2730,0),15108)</f>
        <v>15108</v>
      </c>
      <c r="I70" s="41">
        <f>IF($X70&gt;0,IF($Y70&gt;0,$U70*2730,0),7500)</f>
        <v>7500</v>
      </c>
      <c r="J70" s="35">
        <v>3500</v>
      </c>
      <c r="K70" s="42">
        <v>0.78</v>
      </c>
      <c r="L70" s="36" t="str">
        <f>IF($X70&gt;0,IF($P70&lt;&gt;1,$AB70,IFERROR(INDEX('JLR Machines'!$D$2:$D$20001,MATCH($O70,'JLR Machines'!$A$2:$A$20001,0)),$AB70)),$AB70)</f>
        <v>2026-09-29</v>
      </c>
      <c r="M70" s="36" t="str">
        <f>IF($X70&gt;0,IF($Y70&gt;0,"JLR machine "&amp;$O70&amp;" at "&amp;TEXT($X70,"0.00")&amp;" per hr — build-up as supplied","JLR machine "&amp;$O70&amp;" at "&amp;TEXT($X70,"0.00")&amp;" per hr — build-up not supplied"),$AA70)</f>
        <v>UK forge shop benchmark (heavy counterblow hammer), Jun 2026</v>
      </c>
      <c r="N70" s="33" t="s">
        <v>1380</v>
      </c>
      <c r="O70" s="37" t="str">
        <f>IFERROR(INDEX(Mapping!$C$2:$C$549,MATCH($A70,Mapping!$A$2:$A$549,0)),"")</f>
        <v/>
      </c>
      <c r="P70" s="37">
        <f>IF($O70="",0,COUNTIFS('JLR Machines'!$A$2:$A$20001,$O70,'JLR Machines'!$C$2:$C$20001,IF(Settings!$B$2="","&lt;&gt;",Settings!$B$2),'JLR Machines'!$D$2:$D$20001,IF(Settings!$B$3="","&lt;&gt;",Settings!$B$3)))</f>
        <v>0</v>
      </c>
      <c r="Q70" s="39">
        <f>IF($P70&lt;&gt;1,0,SUMIFS('JLR Machines'!$G$2:$G$20001,'JLR Machines'!$A$2:$A$20001,$O70,'JLR Machines'!$C$2:$C$20001,IF(Settings!$B$2="","&lt;&gt;",Settings!$B$2),'JLR Machines'!$D$2:$D$20001,IF(Settings!$B$3="","&lt;&gt;",Settings!$B$3)))</f>
        <v>0</v>
      </c>
      <c r="R70" s="39">
        <f>IF($P70&lt;&gt;1,0,SUMIFS('JLR Machines'!$H$2:$H$20001,'JLR Machines'!$A$2:$A$20001,$O70,'JLR Machines'!$C$2:$C$20001,IF(Settings!$B$2="","&lt;&gt;",Settings!$B$2),'JLR Machines'!$D$2:$D$20001,IF(Settings!$B$3="","&lt;&gt;",Settings!$B$3)))</f>
        <v>0</v>
      </c>
      <c r="S70" s="39">
        <f>IF($P70&lt;&gt;1,0,SUMIFS('JLR Machines'!$I$2:$I$20001,'JLR Machines'!$A$2:$A$20001,$O70,'JLR Machines'!$C$2:$C$20001,IF(Settings!$B$2="","&lt;&gt;",Settings!$B$2),'JLR Machines'!$D$2:$D$20001,IF(Settings!$B$3="","&lt;&gt;",Settings!$B$3)))</f>
        <v>0</v>
      </c>
      <c r="T70" s="39">
        <f>IF($P70&lt;&gt;1,0,SUMIFS('JLR Machines'!$J$2:$J$20001,'JLR Machines'!$A$2:$A$20001,$O70,'JLR Machines'!$C$2:$C$20001,IF(Settings!$B$2="","&lt;&gt;",Settings!$B$2),'JLR Machines'!$D$2:$D$20001,IF(Settings!$B$3="","&lt;&gt;",Settings!$B$3)))</f>
        <v>0</v>
      </c>
      <c r="U70" s="39">
        <f>IF($P70&lt;&gt;1,0,SUMIFS('JLR Machines'!$K$2:$K$20001,'JLR Machines'!$A$2:$A$20001,$O70,'JLR Machines'!$C$2:$C$20001,IF(Settings!$B$2="","&lt;&gt;",Settings!$B$2),'JLR Machines'!$D$2:$D$20001,IF(Settings!$B$3="","&lt;&gt;",Settings!$B$3)))</f>
        <v>0</v>
      </c>
      <c r="V70" s="39">
        <f>IF($P70&lt;&gt;1,0,SUMIFS('JLR Machines'!$L$2:$L$20001,'JLR Machines'!$A$2:$A$20001,$O70,'JLR Machines'!$C$2:$C$20001,IF(Settings!$B$2="","&lt;&gt;",Settings!$B$2),'JLR Machines'!$D$2:$D$20001,IF(Settings!$B$3="","&lt;&gt;",Settings!$B$3)))</f>
        <v>0</v>
      </c>
      <c r="W70" s="39">
        <f>IF($P70&lt;&gt;1,0,SUMIFS('JLR Machines'!$M$2:$M$20001,'JLR Machines'!$A$2:$A$20001,$O70,'JLR Machines'!$C$2:$C$20001,IF(Settings!$B$2="","&lt;&gt;",Settings!$B$2),'JLR Machines'!$D$2:$D$20001,IF(Settings!$B$3="","&lt;&gt;",Settings!$B$3)))</f>
        <v>0</v>
      </c>
      <c r="X70" s="39">
        <f>IF($P70&lt;&gt;1,0,SUMIFS('JLR Machines'!$N$2:$N$20001,'JLR Machines'!$A$2:$A$20001,$O70,'JLR Machines'!$C$2:$C$20001,IF(Settings!$B$2="","&lt;&gt;",Settings!$B$2),'JLR Machines'!$D$2:$D$20001,IF(Settings!$B$3="","&lt;&gt;",Settings!$B$3)))</f>
        <v>0</v>
      </c>
      <c r="Y70" s="39">
        <f>$Q70+$R70+$S70+$T70+$U70+$V70+$W70</f>
        <v>0</v>
      </c>
      <c r="Z70" s="38">
        <f>IF($X70&lt;=0,0,ROUND((D70+E70+F70+G70+H70+I70)/2730-$X70,4))</f>
        <v>0</v>
      </c>
      <c r="AA70" s="40" t="s">
        <v>2223</v>
      </c>
      <c r="AB70" s="40" t="s">
        <v>2099</v>
      </c>
    </row>
    <row r="71" spans="1:28" x14ac:dyDescent="0.25">
      <c r="A71" s="32" t="s">
        <v>1062</v>
      </c>
      <c r="B71" s="33" t="s">
        <v>2224</v>
      </c>
      <c r="C71" s="33" t="s">
        <v>1379</v>
      </c>
      <c r="D71" s="41">
        <f>IF($X71&gt;0,IF($Y71&gt;0,MAX(0,$Q71+$X71-$Y71)*2730,$X71*2730),121440)</f>
        <v>121440</v>
      </c>
      <c r="E71" s="41">
        <f>IF($X71&gt;0,IF($Y71&gt;0,$S71*2730,0),55527)</f>
        <v>55527</v>
      </c>
      <c r="F71" s="41">
        <f>IF($X71&gt;0,IF($Y71&gt;0,$V71*2730,0),104870)</f>
        <v>104870</v>
      </c>
      <c r="G71" s="41">
        <f>IF($X71&gt;0,IF($Y71&gt;0,$R71*2730,0),30288)</f>
        <v>30288</v>
      </c>
      <c r="H71" s="41">
        <f>IF($X71&gt;0,IF($Y71&gt;0,($T71+$W71)*2730,0),25179)</f>
        <v>25179</v>
      </c>
      <c r="I71" s="41">
        <f>IF($X71&gt;0,IF($Y71&gt;0,$U71*2730,0),15000)</f>
        <v>15000</v>
      </c>
      <c r="J71" s="35">
        <v>3500</v>
      </c>
      <c r="K71" s="42">
        <v>0.78</v>
      </c>
      <c r="L71" s="36" t="str">
        <f>IF($X71&gt;0,IF($P71&lt;&gt;1,$AB71,IFERROR(INDEX('JLR Machines'!$D$2:$D$20001,MATCH($O71,'JLR Machines'!$A$2:$A$20001,0)),$AB71)),$AB71)</f>
        <v>2026-09-29</v>
      </c>
      <c r="M71" s="36" t="str">
        <f>IF($X71&gt;0,IF($Y71&gt;0,"JLR machine "&amp;$O71&amp;" at "&amp;TEXT($X71,"0.00")&amp;" per hr — build-up as supplied","JLR machine "&amp;$O71&amp;" at "&amp;TEXT($X71,"0.00")&amp;" per hr — build-up not supplied"),$AA71)</f>
        <v>UK forge shop benchmark (radial-axial ring mill), Jun 2026</v>
      </c>
      <c r="N71" s="33" t="s">
        <v>1380</v>
      </c>
      <c r="O71" s="37" t="str">
        <f>IFERROR(INDEX(Mapping!$C$2:$C$549,MATCH($A71,Mapping!$A$2:$A$549,0)),"")</f>
        <v/>
      </c>
      <c r="P71" s="37">
        <f>IF($O71="",0,COUNTIFS('JLR Machines'!$A$2:$A$20001,$O71,'JLR Machines'!$C$2:$C$20001,IF(Settings!$B$2="","&lt;&gt;",Settings!$B$2),'JLR Machines'!$D$2:$D$20001,IF(Settings!$B$3="","&lt;&gt;",Settings!$B$3)))</f>
        <v>0</v>
      </c>
      <c r="Q71" s="39">
        <f>IF($P71&lt;&gt;1,0,SUMIFS('JLR Machines'!$G$2:$G$20001,'JLR Machines'!$A$2:$A$20001,$O71,'JLR Machines'!$C$2:$C$20001,IF(Settings!$B$2="","&lt;&gt;",Settings!$B$2),'JLR Machines'!$D$2:$D$20001,IF(Settings!$B$3="","&lt;&gt;",Settings!$B$3)))</f>
        <v>0</v>
      </c>
      <c r="R71" s="39">
        <f>IF($P71&lt;&gt;1,0,SUMIFS('JLR Machines'!$H$2:$H$20001,'JLR Machines'!$A$2:$A$20001,$O71,'JLR Machines'!$C$2:$C$20001,IF(Settings!$B$2="","&lt;&gt;",Settings!$B$2),'JLR Machines'!$D$2:$D$20001,IF(Settings!$B$3="","&lt;&gt;",Settings!$B$3)))</f>
        <v>0</v>
      </c>
      <c r="S71" s="39">
        <f>IF($P71&lt;&gt;1,0,SUMIFS('JLR Machines'!$I$2:$I$20001,'JLR Machines'!$A$2:$A$20001,$O71,'JLR Machines'!$C$2:$C$20001,IF(Settings!$B$2="","&lt;&gt;",Settings!$B$2),'JLR Machines'!$D$2:$D$20001,IF(Settings!$B$3="","&lt;&gt;",Settings!$B$3)))</f>
        <v>0</v>
      </c>
      <c r="T71" s="39">
        <f>IF($P71&lt;&gt;1,0,SUMIFS('JLR Machines'!$J$2:$J$20001,'JLR Machines'!$A$2:$A$20001,$O71,'JLR Machines'!$C$2:$C$20001,IF(Settings!$B$2="","&lt;&gt;",Settings!$B$2),'JLR Machines'!$D$2:$D$20001,IF(Settings!$B$3="","&lt;&gt;",Settings!$B$3)))</f>
        <v>0</v>
      </c>
      <c r="U71" s="39">
        <f>IF($P71&lt;&gt;1,0,SUMIFS('JLR Machines'!$K$2:$K$20001,'JLR Machines'!$A$2:$A$20001,$O71,'JLR Machines'!$C$2:$C$20001,IF(Settings!$B$2="","&lt;&gt;",Settings!$B$2),'JLR Machines'!$D$2:$D$20001,IF(Settings!$B$3="","&lt;&gt;",Settings!$B$3)))</f>
        <v>0</v>
      </c>
      <c r="V71" s="39">
        <f>IF($P71&lt;&gt;1,0,SUMIFS('JLR Machines'!$L$2:$L$20001,'JLR Machines'!$A$2:$A$20001,$O71,'JLR Machines'!$C$2:$C$20001,IF(Settings!$B$2="","&lt;&gt;",Settings!$B$2),'JLR Machines'!$D$2:$D$20001,IF(Settings!$B$3="","&lt;&gt;",Settings!$B$3)))</f>
        <v>0</v>
      </c>
      <c r="W71" s="39">
        <f>IF($P71&lt;&gt;1,0,SUMIFS('JLR Machines'!$M$2:$M$20001,'JLR Machines'!$A$2:$A$20001,$O71,'JLR Machines'!$C$2:$C$20001,IF(Settings!$B$2="","&lt;&gt;",Settings!$B$2),'JLR Machines'!$D$2:$D$20001,IF(Settings!$B$3="","&lt;&gt;",Settings!$B$3)))</f>
        <v>0</v>
      </c>
      <c r="X71" s="39">
        <f>IF($P71&lt;&gt;1,0,SUMIFS('JLR Machines'!$N$2:$N$20001,'JLR Machines'!$A$2:$A$20001,$O71,'JLR Machines'!$C$2:$C$20001,IF(Settings!$B$2="","&lt;&gt;",Settings!$B$2),'JLR Machines'!$D$2:$D$20001,IF(Settings!$B$3="","&lt;&gt;",Settings!$B$3)))</f>
        <v>0</v>
      </c>
      <c r="Y71" s="39">
        <f>$Q71+$R71+$S71+$T71+$U71+$V71+$W71</f>
        <v>0</v>
      </c>
      <c r="Z71" s="38">
        <f>IF($X71&lt;=0,0,ROUND((D71+E71+F71+G71+H71+I71)/2730-$X71,4))</f>
        <v>0</v>
      </c>
      <c r="AA71" s="40" t="s">
        <v>2225</v>
      </c>
      <c r="AB71" s="40" t="s">
        <v>2099</v>
      </c>
    </row>
    <row r="72" spans="1:28" x14ac:dyDescent="0.25">
      <c r="A72" s="32" t="s">
        <v>1064</v>
      </c>
      <c r="B72" s="33" t="s">
        <v>2226</v>
      </c>
      <c r="C72" s="33" t="s">
        <v>1379</v>
      </c>
      <c r="D72" s="41">
        <f>IF($X72&gt;0,IF($Y72&gt;0,MAX(0,$Q72+$X72-$Y72)*3280,$X72*3280),121440)</f>
        <v>121440</v>
      </c>
      <c r="E72" s="41">
        <f>IF($X72&gt;0,IF($Y72&gt;0,$S72*3280,0),50479)</f>
        <v>50479</v>
      </c>
      <c r="F72" s="41">
        <f>IF($X72&gt;0,IF($Y72&gt;0,$V72*3280,0),93218)</f>
        <v>93218</v>
      </c>
      <c r="G72" s="41">
        <f>IF($X72&gt;0,IF($Y72&gt;0,$R72*3280,0),40384)</f>
        <v>40384</v>
      </c>
      <c r="H72" s="41">
        <f>IF($X72&gt;0,IF($Y72&gt;0,($T72+$W72)*3280,0),30215)</f>
        <v>30215</v>
      </c>
      <c r="I72" s="41">
        <f>IF($X72&gt;0,IF($Y72&gt;0,$U72*3280,0),15000)</f>
        <v>15000</v>
      </c>
      <c r="J72" s="35">
        <v>4000</v>
      </c>
      <c r="K72" s="42">
        <v>0.82</v>
      </c>
      <c r="L72" s="36" t="str">
        <f>IF($X72&gt;0,IF($P72&lt;&gt;1,$AB72,IFERROR(INDEX('JLR Machines'!$D$2:$D$20001,MATCH($O72,'JLR Machines'!$A$2:$A$20001,0)),$AB72)),$AB72)</f>
        <v>2026-09-29</v>
      </c>
      <c r="M72" s="36" t="str">
        <f>IF($X72&gt;0,IF($Y72&gt;0,"JLR machine "&amp;$O72&amp;" at "&amp;TEXT($X72,"0.00")&amp;" per hr — build-up as supplied","JLR machine "&amp;$O72&amp;" at "&amp;TEXT($X72,"0.00")&amp;" per hr — build-up not supplied"),$AA72)</f>
        <v>UK OEM paint line benchmark, Jun 2026. The £80k energy line is the whole line — gas-fired cure and dry-off ovens plus heated tanks, roughly 580 kW over 3,280 productive hours. Surface-treatment stage energy is therefore ALREADY here and must not be added again on top (see surface-treatment-rate.ts).</v>
      </c>
      <c r="N72" s="33" t="s">
        <v>1380</v>
      </c>
      <c r="O72" s="37" t="str">
        <f>IFERROR(INDEX(Mapping!$C$2:$C$549,MATCH($A72,Mapping!$A$2:$A$549,0)),"")</f>
        <v/>
      </c>
      <c r="P72" s="37">
        <f>IF($O72="",0,COUNTIFS('JLR Machines'!$A$2:$A$20001,$O72,'JLR Machines'!$C$2:$C$20001,IF(Settings!$B$2="","&lt;&gt;",Settings!$B$2),'JLR Machines'!$D$2:$D$20001,IF(Settings!$B$3="","&lt;&gt;",Settings!$B$3)))</f>
        <v>0</v>
      </c>
      <c r="Q72" s="39">
        <f>IF($P72&lt;&gt;1,0,SUMIFS('JLR Machines'!$G$2:$G$20001,'JLR Machines'!$A$2:$A$20001,$O72,'JLR Machines'!$C$2:$C$20001,IF(Settings!$B$2="","&lt;&gt;",Settings!$B$2),'JLR Machines'!$D$2:$D$20001,IF(Settings!$B$3="","&lt;&gt;",Settings!$B$3)))</f>
        <v>0</v>
      </c>
      <c r="R72" s="39">
        <f>IF($P72&lt;&gt;1,0,SUMIFS('JLR Machines'!$H$2:$H$20001,'JLR Machines'!$A$2:$A$20001,$O72,'JLR Machines'!$C$2:$C$20001,IF(Settings!$B$2="","&lt;&gt;",Settings!$B$2),'JLR Machines'!$D$2:$D$20001,IF(Settings!$B$3="","&lt;&gt;",Settings!$B$3)))</f>
        <v>0</v>
      </c>
      <c r="S72" s="39">
        <f>IF($P72&lt;&gt;1,0,SUMIFS('JLR Machines'!$I$2:$I$20001,'JLR Machines'!$A$2:$A$20001,$O72,'JLR Machines'!$C$2:$C$20001,IF(Settings!$B$2="","&lt;&gt;",Settings!$B$2),'JLR Machines'!$D$2:$D$20001,IF(Settings!$B$3="","&lt;&gt;",Settings!$B$3)))</f>
        <v>0</v>
      </c>
      <c r="T72" s="39">
        <f>IF($P72&lt;&gt;1,0,SUMIFS('JLR Machines'!$J$2:$J$20001,'JLR Machines'!$A$2:$A$20001,$O72,'JLR Machines'!$C$2:$C$20001,IF(Settings!$B$2="","&lt;&gt;",Settings!$B$2),'JLR Machines'!$D$2:$D$20001,IF(Settings!$B$3="","&lt;&gt;",Settings!$B$3)))</f>
        <v>0</v>
      </c>
      <c r="U72" s="39">
        <f>IF($P72&lt;&gt;1,0,SUMIFS('JLR Machines'!$K$2:$K$20001,'JLR Machines'!$A$2:$A$20001,$O72,'JLR Machines'!$C$2:$C$20001,IF(Settings!$B$2="","&lt;&gt;",Settings!$B$2),'JLR Machines'!$D$2:$D$20001,IF(Settings!$B$3="","&lt;&gt;",Settings!$B$3)))</f>
        <v>0</v>
      </c>
      <c r="V72" s="39">
        <f>IF($P72&lt;&gt;1,0,SUMIFS('JLR Machines'!$L$2:$L$20001,'JLR Machines'!$A$2:$A$20001,$O72,'JLR Machines'!$C$2:$C$20001,IF(Settings!$B$2="","&lt;&gt;",Settings!$B$2),'JLR Machines'!$D$2:$D$20001,IF(Settings!$B$3="","&lt;&gt;",Settings!$B$3)))</f>
        <v>0</v>
      </c>
      <c r="W72" s="39">
        <f>IF($P72&lt;&gt;1,0,SUMIFS('JLR Machines'!$M$2:$M$20001,'JLR Machines'!$A$2:$A$20001,$O72,'JLR Machines'!$C$2:$C$20001,IF(Settings!$B$2="","&lt;&gt;",Settings!$B$2),'JLR Machines'!$D$2:$D$20001,IF(Settings!$B$3="","&lt;&gt;",Settings!$B$3)))</f>
        <v>0</v>
      </c>
      <c r="X72" s="39">
        <f>IF($P72&lt;&gt;1,0,SUMIFS('JLR Machines'!$N$2:$N$20001,'JLR Machines'!$A$2:$A$20001,$O72,'JLR Machines'!$C$2:$C$20001,IF(Settings!$B$2="","&lt;&gt;",Settings!$B$2),'JLR Machines'!$D$2:$D$20001,IF(Settings!$B$3="","&lt;&gt;",Settings!$B$3)))</f>
        <v>0</v>
      </c>
      <c r="Y72" s="39">
        <f>$Q72+$R72+$S72+$T72+$U72+$V72+$W72</f>
        <v>0</v>
      </c>
      <c r="Z72" s="38">
        <f>IF($X72&lt;=0,0,ROUND((D72+E72+F72+G72+H72+I72)/3280-$X72,4))</f>
        <v>0</v>
      </c>
      <c r="AA72" s="40" t="s">
        <v>2227</v>
      </c>
      <c r="AB72" s="40" t="s">
        <v>2099</v>
      </c>
    </row>
    <row r="73" spans="1:28" x14ac:dyDescent="0.25">
      <c r="A73" s="32" t="s">
        <v>1066</v>
      </c>
      <c r="B73" s="33" t="s">
        <v>2228</v>
      </c>
      <c r="C73" s="33" t="s">
        <v>1379</v>
      </c>
      <c r="D73" s="41">
        <f>IF($X73&gt;0,IF($Y73&gt;0,MAX(0,$Q73+$X73-$Y73)*3200,$X73*3200),45540)</f>
        <v>45540</v>
      </c>
      <c r="E73" s="41">
        <f>IF($X73&gt;0,IF($Y73&gt;0,$S73*3200,0),22211)</f>
        <v>22211</v>
      </c>
      <c r="F73" s="41">
        <f>IF($X73&gt;0,IF($Y73&gt;0,$V73*3200,0),40783)</f>
        <v>40783</v>
      </c>
      <c r="G73" s="41">
        <f>IF($X73&gt;0,IF($Y73&gt;0,$R73*3200,0),18173)</f>
        <v>18173</v>
      </c>
      <c r="H73" s="41">
        <f>IF($X73&gt;0,IF($Y73&gt;0,($T73+$W73)*3200,0),20143)</f>
        <v>20143</v>
      </c>
      <c r="I73" s="41">
        <f>IF($X73&gt;0,IF($Y73&gt;0,$U73*3200,0),8000)</f>
        <v>8000</v>
      </c>
      <c r="J73" s="35">
        <v>4000</v>
      </c>
      <c r="K73" s="42">
        <v>0.8</v>
      </c>
      <c r="L73" s="36" t="str">
        <f>IF($X73&gt;0,IF($P73&lt;&gt;1,$AB73,IFERROR(INDEX('JLR Machines'!$D$2:$D$20001,MATCH($O73,'JLR Machines'!$A$2:$A$20001,0)),$AB73)),$AB73)</f>
        <v>2026-09-29</v>
      </c>
      <c r="M73" s="36" t="str">
        <f>IF($X73&gt;0,IF($Y73&gt;0,"JLR machine "&amp;$O73&amp;" at "&amp;TEXT($X73,"0.00")&amp;" per hr — build-up as supplied","JLR machine "&amp;$O73&amp;" at "&amp;TEXT($X73,"0.00")&amp;" per hr — build-up not supplied"),$AA73)</f>
        <v>REPRESENTATIVE — UK barrel zinc line class: tanks, rectifiers, barrels, effluent plant and discharge consent. Rectifier-dominated electrical load, no ovens. Target ~£46/hr. Replace with plant data.</v>
      </c>
      <c r="N73" s="33" t="s">
        <v>1380</v>
      </c>
      <c r="O73" s="37" t="str">
        <f>IFERROR(INDEX(Mapping!$C$2:$C$549,MATCH($A73,Mapping!$A$2:$A$549,0)),"")</f>
        <v/>
      </c>
      <c r="P73" s="37">
        <f>IF($O73="",0,COUNTIFS('JLR Machines'!$A$2:$A$20001,$O73,'JLR Machines'!$C$2:$C$20001,IF(Settings!$B$2="","&lt;&gt;",Settings!$B$2),'JLR Machines'!$D$2:$D$20001,IF(Settings!$B$3="","&lt;&gt;",Settings!$B$3)))</f>
        <v>0</v>
      </c>
      <c r="Q73" s="39">
        <f>IF($P73&lt;&gt;1,0,SUMIFS('JLR Machines'!$G$2:$G$20001,'JLR Machines'!$A$2:$A$20001,$O73,'JLR Machines'!$C$2:$C$20001,IF(Settings!$B$2="","&lt;&gt;",Settings!$B$2),'JLR Machines'!$D$2:$D$20001,IF(Settings!$B$3="","&lt;&gt;",Settings!$B$3)))</f>
        <v>0</v>
      </c>
      <c r="R73" s="39">
        <f>IF($P73&lt;&gt;1,0,SUMIFS('JLR Machines'!$H$2:$H$20001,'JLR Machines'!$A$2:$A$20001,$O73,'JLR Machines'!$C$2:$C$20001,IF(Settings!$B$2="","&lt;&gt;",Settings!$B$2),'JLR Machines'!$D$2:$D$20001,IF(Settings!$B$3="","&lt;&gt;",Settings!$B$3)))</f>
        <v>0</v>
      </c>
      <c r="S73" s="39">
        <f>IF($P73&lt;&gt;1,0,SUMIFS('JLR Machines'!$I$2:$I$20001,'JLR Machines'!$A$2:$A$20001,$O73,'JLR Machines'!$C$2:$C$20001,IF(Settings!$B$2="","&lt;&gt;",Settings!$B$2),'JLR Machines'!$D$2:$D$20001,IF(Settings!$B$3="","&lt;&gt;",Settings!$B$3)))</f>
        <v>0</v>
      </c>
      <c r="T73" s="39">
        <f>IF($P73&lt;&gt;1,0,SUMIFS('JLR Machines'!$J$2:$J$20001,'JLR Machines'!$A$2:$A$20001,$O73,'JLR Machines'!$C$2:$C$20001,IF(Settings!$B$2="","&lt;&gt;",Settings!$B$2),'JLR Machines'!$D$2:$D$20001,IF(Settings!$B$3="","&lt;&gt;",Settings!$B$3)))</f>
        <v>0</v>
      </c>
      <c r="U73" s="39">
        <f>IF($P73&lt;&gt;1,0,SUMIFS('JLR Machines'!$K$2:$K$20001,'JLR Machines'!$A$2:$A$20001,$O73,'JLR Machines'!$C$2:$C$20001,IF(Settings!$B$2="","&lt;&gt;",Settings!$B$2),'JLR Machines'!$D$2:$D$20001,IF(Settings!$B$3="","&lt;&gt;",Settings!$B$3)))</f>
        <v>0</v>
      </c>
      <c r="V73" s="39">
        <f>IF($P73&lt;&gt;1,0,SUMIFS('JLR Machines'!$L$2:$L$20001,'JLR Machines'!$A$2:$A$20001,$O73,'JLR Machines'!$C$2:$C$20001,IF(Settings!$B$2="","&lt;&gt;",Settings!$B$2),'JLR Machines'!$D$2:$D$20001,IF(Settings!$B$3="","&lt;&gt;",Settings!$B$3)))</f>
        <v>0</v>
      </c>
      <c r="W73" s="39">
        <f>IF($P73&lt;&gt;1,0,SUMIFS('JLR Machines'!$M$2:$M$20001,'JLR Machines'!$A$2:$A$20001,$O73,'JLR Machines'!$C$2:$C$20001,IF(Settings!$B$2="","&lt;&gt;",Settings!$B$2),'JLR Machines'!$D$2:$D$20001,IF(Settings!$B$3="","&lt;&gt;",Settings!$B$3)))</f>
        <v>0</v>
      </c>
      <c r="X73" s="39">
        <f>IF($P73&lt;&gt;1,0,SUMIFS('JLR Machines'!$N$2:$N$20001,'JLR Machines'!$A$2:$A$20001,$O73,'JLR Machines'!$C$2:$C$20001,IF(Settings!$B$2="","&lt;&gt;",Settings!$B$2),'JLR Machines'!$D$2:$D$20001,IF(Settings!$B$3="","&lt;&gt;",Settings!$B$3)))</f>
        <v>0</v>
      </c>
      <c r="Y73" s="39">
        <f>$Q73+$R73+$S73+$T73+$U73+$V73+$W73</f>
        <v>0</v>
      </c>
      <c r="Z73" s="38">
        <f>IF($X73&lt;=0,0,ROUND((D73+E73+F73+G73+H73+I73)/3200-$X73,4))</f>
        <v>0</v>
      </c>
      <c r="AA73" s="40" t="s">
        <v>2229</v>
      </c>
      <c r="AB73" s="40" t="s">
        <v>2099</v>
      </c>
    </row>
    <row r="74" spans="1:28" x14ac:dyDescent="0.25">
      <c r="A74" s="32" t="s">
        <v>1068</v>
      </c>
      <c r="B74" s="33" t="s">
        <v>2230</v>
      </c>
      <c r="C74" s="33" t="s">
        <v>1379</v>
      </c>
      <c r="D74" s="41">
        <f>IF($X74&gt;0,IF($Y74&gt;0,MAX(0,$Q74+$X74-$Y74)*3120,$X74*3120),70840)</f>
        <v>70840</v>
      </c>
      <c r="E74" s="41">
        <f>IF($X74&gt;0,IF($Y74&gt;0,$S74*3120,0),30288)</f>
        <v>30288</v>
      </c>
      <c r="F74" s="41">
        <f>IF($X74&gt;0,IF($Y74&gt;0,$V74*3120,0),52435)</f>
        <v>52435</v>
      </c>
      <c r="G74" s="41">
        <f>IF($X74&gt;0,IF($Y74&gt;0,$R74*3120,0),25240)</f>
        <v>25240</v>
      </c>
      <c r="H74" s="41">
        <f>IF($X74&gt;0,IF($Y74&gt;0,($T74+$W74)*3120,0),28201)</f>
        <v>28201</v>
      </c>
      <c r="I74" s="41">
        <f>IF($X74&gt;0,IF($Y74&gt;0,$U74*3120,0),12000)</f>
        <v>12000</v>
      </c>
      <c r="J74" s="35">
        <v>4000</v>
      </c>
      <c r="K74" s="42">
        <v>0.78</v>
      </c>
      <c r="L74" s="36" t="str">
        <f>IF($X74&gt;0,IF($P74&lt;&gt;1,$AB74,IFERROR(INDEX('JLR Machines'!$D$2:$D$20001,MATCH($O74,'JLR Machines'!$A$2:$A$20001,0)),$AB74)),$AB74)</f>
        <v>2026-09-29</v>
      </c>
      <c r="M74" s="36" t="str">
        <f>IF($X74&gt;0,IF($Y74&gt;0,"JLR machine "&amp;$O74&amp;" at "&amp;TEXT($X74,"0.00")&amp;" per hr — build-up as supplied","JLR machine "&amp;$O74&amp;" at "&amp;TEXT($X74,"0.00")&amp;" per hr — build-up not supplied"),$AA74)</f>
        <v>REPRESENTATIVE — UK rack plating and sulphuric anodising class. Higher capital and lower throughput than barrel: parts are jigged individually. Target ~£67/hr. Replace with plant data.</v>
      </c>
      <c r="N74" s="33" t="s">
        <v>1380</v>
      </c>
      <c r="O74" s="37" t="str">
        <f>IFERROR(INDEX(Mapping!$C$2:$C$549,MATCH($A74,Mapping!$A$2:$A$549,0)),"")</f>
        <v/>
      </c>
      <c r="P74" s="37">
        <f>IF($O74="",0,COUNTIFS('JLR Machines'!$A$2:$A$20001,$O74,'JLR Machines'!$C$2:$C$20001,IF(Settings!$B$2="","&lt;&gt;",Settings!$B$2),'JLR Machines'!$D$2:$D$20001,IF(Settings!$B$3="","&lt;&gt;",Settings!$B$3)))</f>
        <v>0</v>
      </c>
      <c r="Q74" s="39">
        <f>IF($P74&lt;&gt;1,0,SUMIFS('JLR Machines'!$G$2:$G$20001,'JLR Machines'!$A$2:$A$20001,$O74,'JLR Machines'!$C$2:$C$20001,IF(Settings!$B$2="","&lt;&gt;",Settings!$B$2),'JLR Machines'!$D$2:$D$20001,IF(Settings!$B$3="","&lt;&gt;",Settings!$B$3)))</f>
        <v>0</v>
      </c>
      <c r="R74" s="39">
        <f>IF($P74&lt;&gt;1,0,SUMIFS('JLR Machines'!$H$2:$H$20001,'JLR Machines'!$A$2:$A$20001,$O74,'JLR Machines'!$C$2:$C$20001,IF(Settings!$B$2="","&lt;&gt;",Settings!$B$2),'JLR Machines'!$D$2:$D$20001,IF(Settings!$B$3="","&lt;&gt;",Settings!$B$3)))</f>
        <v>0</v>
      </c>
      <c r="S74" s="39">
        <f>IF($P74&lt;&gt;1,0,SUMIFS('JLR Machines'!$I$2:$I$20001,'JLR Machines'!$A$2:$A$20001,$O74,'JLR Machines'!$C$2:$C$20001,IF(Settings!$B$2="","&lt;&gt;",Settings!$B$2),'JLR Machines'!$D$2:$D$20001,IF(Settings!$B$3="","&lt;&gt;",Settings!$B$3)))</f>
        <v>0</v>
      </c>
      <c r="T74" s="39">
        <f>IF($P74&lt;&gt;1,0,SUMIFS('JLR Machines'!$J$2:$J$20001,'JLR Machines'!$A$2:$A$20001,$O74,'JLR Machines'!$C$2:$C$20001,IF(Settings!$B$2="","&lt;&gt;",Settings!$B$2),'JLR Machines'!$D$2:$D$20001,IF(Settings!$B$3="","&lt;&gt;",Settings!$B$3)))</f>
        <v>0</v>
      </c>
      <c r="U74" s="39">
        <f>IF($P74&lt;&gt;1,0,SUMIFS('JLR Machines'!$K$2:$K$20001,'JLR Machines'!$A$2:$A$20001,$O74,'JLR Machines'!$C$2:$C$20001,IF(Settings!$B$2="","&lt;&gt;",Settings!$B$2),'JLR Machines'!$D$2:$D$20001,IF(Settings!$B$3="","&lt;&gt;",Settings!$B$3)))</f>
        <v>0</v>
      </c>
      <c r="V74" s="39">
        <f>IF($P74&lt;&gt;1,0,SUMIFS('JLR Machines'!$L$2:$L$20001,'JLR Machines'!$A$2:$A$20001,$O74,'JLR Machines'!$C$2:$C$20001,IF(Settings!$B$2="","&lt;&gt;",Settings!$B$2),'JLR Machines'!$D$2:$D$20001,IF(Settings!$B$3="","&lt;&gt;",Settings!$B$3)))</f>
        <v>0</v>
      </c>
      <c r="W74" s="39">
        <f>IF($P74&lt;&gt;1,0,SUMIFS('JLR Machines'!$M$2:$M$20001,'JLR Machines'!$A$2:$A$20001,$O74,'JLR Machines'!$C$2:$C$20001,IF(Settings!$B$2="","&lt;&gt;",Settings!$B$2),'JLR Machines'!$D$2:$D$20001,IF(Settings!$B$3="","&lt;&gt;",Settings!$B$3)))</f>
        <v>0</v>
      </c>
      <c r="X74" s="39">
        <f>IF($P74&lt;&gt;1,0,SUMIFS('JLR Machines'!$N$2:$N$20001,'JLR Machines'!$A$2:$A$20001,$O74,'JLR Machines'!$C$2:$C$20001,IF(Settings!$B$2="","&lt;&gt;",Settings!$B$2),'JLR Machines'!$D$2:$D$20001,IF(Settings!$B$3="","&lt;&gt;",Settings!$B$3)))</f>
        <v>0</v>
      </c>
      <c r="Y74" s="39">
        <f>$Q74+$R74+$S74+$T74+$U74+$V74+$W74</f>
        <v>0</v>
      </c>
      <c r="Z74" s="38">
        <f>IF($X74&lt;=0,0,ROUND((D74+E74+F74+G74+H74+I74)/3120-$X74,4))</f>
        <v>0</v>
      </c>
      <c r="AA74" s="40" t="s">
        <v>2231</v>
      </c>
      <c r="AB74" s="40" t="s">
        <v>2099</v>
      </c>
    </row>
    <row r="75" spans="1:28" x14ac:dyDescent="0.25">
      <c r="A75" s="32" t="s">
        <v>1070</v>
      </c>
      <c r="B75" s="33" t="s">
        <v>2232</v>
      </c>
      <c r="C75" s="33" t="s">
        <v>1379</v>
      </c>
      <c r="D75" s="41">
        <f>IF($X75&gt;0,IF($Y75&gt;0,MAX(0,$Q75+$X75-$Y75)*3200,$X75*3200),26312)</f>
        <v>26312</v>
      </c>
      <c r="E75" s="41">
        <f>IF($X75&gt;0,IF($Y75&gt;0,$S75*3200,0),18173)</f>
        <v>18173</v>
      </c>
      <c r="F75" s="41">
        <f>IF($X75&gt;0,IF($Y75&gt;0,$V75*3200,0),16313)</f>
        <v>16313</v>
      </c>
      <c r="G75" s="41">
        <f>IF($X75&gt;0,IF($Y75&gt;0,$R75*3200,0),9086)</f>
        <v>9086</v>
      </c>
      <c r="H75" s="41">
        <f>IF($X75&gt;0,IF($Y75&gt;0,($T75+$W75)*3200,0),11079)</f>
        <v>11079</v>
      </c>
      <c r="I75" s="41">
        <f>IF($X75&gt;0,IF($Y75&gt;0,$U75*3200,0),4500)</f>
        <v>4500</v>
      </c>
      <c r="J75" s="35">
        <v>4000</v>
      </c>
      <c r="K75" s="42">
        <v>0.8</v>
      </c>
      <c r="L75" s="36" t="str">
        <f>IF($X75&gt;0,IF($P75&lt;&gt;1,$AB75,IFERROR(INDEX('JLR Machines'!$D$2:$D$20001,MATCH($O75,'JLR Machines'!$A$2:$A$20001,0)),$AB75)),$AB75)</f>
        <v>2026-09-29</v>
      </c>
      <c r="M75" s="36" t="str">
        <f>IF($X75&gt;0,IF($Y75&gt;0,"JLR machine "&amp;$O75&amp;" at "&amp;TEXT($X75,"0.00")&amp;" per hr — build-up as supplied","JLR machine "&amp;$O75&amp;" at "&amp;TEXT($X75,"0.00")&amp;" per hr — build-up not supplied"),$AA75)</f>
        <v>REPRESENTATIVE — UK descaling/cleaning cell class: blast wheels, shot recovery and separation, dust extraction. Maintenance is high relative to capital because blades, liners and the separator are consumable wear parts. Replace with plant data.</v>
      </c>
      <c r="N75" s="33" t="s">
        <v>1380</v>
      </c>
      <c r="O75" s="37" t="str">
        <f>IFERROR(INDEX(Mapping!$C$2:$C$549,MATCH($A75,Mapping!$A$2:$A$549,0)),"")</f>
        <v/>
      </c>
      <c r="P75" s="37">
        <f>IF($O75="",0,COUNTIFS('JLR Machines'!$A$2:$A$20001,$O75,'JLR Machines'!$C$2:$C$20001,IF(Settings!$B$2="","&lt;&gt;",Settings!$B$2),'JLR Machines'!$D$2:$D$20001,IF(Settings!$B$3="","&lt;&gt;",Settings!$B$3)))</f>
        <v>0</v>
      </c>
      <c r="Q75" s="39">
        <f>IF($P75&lt;&gt;1,0,SUMIFS('JLR Machines'!$G$2:$G$20001,'JLR Machines'!$A$2:$A$20001,$O75,'JLR Machines'!$C$2:$C$20001,IF(Settings!$B$2="","&lt;&gt;",Settings!$B$2),'JLR Machines'!$D$2:$D$20001,IF(Settings!$B$3="","&lt;&gt;",Settings!$B$3)))</f>
        <v>0</v>
      </c>
      <c r="R75" s="39">
        <f>IF($P75&lt;&gt;1,0,SUMIFS('JLR Machines'!$H$2:$H$20001,'JLR Machines'!$A$2:$A$20001,$O75,'JLR Machines'!$C$2:$C$20001,IF(Settings!$B$2="","&lt;&gt;",Settings!$B$2),'JLR Machines'!$D$2:$D$20001,IF(Settings!$B$3="","&lt;&gt;",Settings!$B$3)))</f>
        <v>0</v>
      </c>
      <c r="S75" s="39">
        <f>IF($P75&lt;&gt;1,0,SUMIFS('JLR Machines'!$I$2:$I$20001,'JLR Machines'!$A$2:$A$20001,$O75,'JLR Machines'!$C$2:$C$20001,IF(Settings!$B$2="","&lt;&gt;",Settings!$B$2),'JLR Machines'!$D$2:$D$20001,IF(Settings!$B$3="","&lt;&gt;",Settings!$B$3)))</f>
        <v>0</v>
      </c>
      <c r="T75" s="39">
        <f>IF($P75&lt;&gt;1,0,SUMIFS('JLR Machines'!$J$2:$J$20001,'JLR Machines'!$A$2:$A$20001,$O75,'JLR Machines'!$C$2:$C$20001,IF(Settings!$B$2="","&lt;&gt;",Settings!$B$2),'JLR Machines'!$D$2:$D$20001,IF(Settings!$B$3="","&lt;&gt;",Settings!$B$3)))</f>
        <v>0</v>
      </c>
      <c r="U75" s="39">
        <f>IF($P75&lt;&gt;1,0,SUMIFS('JLR Machines'!$K$2:$K$20001,'JLR Machines'!$A$2:$A$20001,$O75,'JLR Machines'!$C$2:$C$20001,IF(Settings!$B$2="","&lt;&gt;",Settings!$B$2),'JLR Machines'!$D$2:$D$20001,IF(Settings!$B$3="","&lt;&gt;",Settings!$B$3)))</f>
        <v>0</v>
      </c>
      <c r="V75" s="39">
        <f>IF($P75&lt;&gt;1,0,SUMIFS('JLR Machines'!$L$2:$L$20001,'JLR Machines'!$A$2:$A$20001,$O75,'JLR Machines'!$C$2:$C$20001,IF(Settings!$B$2="","&lt;&gt;",Settings!$B$2),'JLR Machines'!$D$2:$D$20001,IF(Settings!$B$3="","&lt;&gt;",Settings!$B$3)))</f>
        <v>0</v>
      </c>
      <c r="W75" s="39">
        <f>IF($P75&lt;&gt;1,0,SUMIFS('JLR Machines'!$M$2:$M$20001,'JLR Machines'!$A$2:$A$20001,$O75,'JLR Machines'!$C$2:$C$20001,IF(Settings!$B$2="","&lt;&gt;",Settings!$B$2),'JLR Machines'!$D$2:$D$20001,IF(Settings!$B$3="","&lt;&gt;",Settings!$B$3)))</f>
        <v>0</v>
      </c>
      <c r="X75" s="39">
        <f>IF($P75&lt;&gt;1,0,SUMIFS('JLR Machines'!$N$2:$N$20001,'JLR Machines'!$A$2:$A$20001,$O75,'JLR Machines'!$C$2:$C$20001,IF(Settings!$B$2="","&lt;&gt;",Settings!$B$2),'JLR Machines'!$D$2:$D$20001,IF(Settings!$B$3="","&lt;&gt;",Settings!$B$3)))</f>
        <v>0</v>
      </c>
      <c r="Y75" s="39">
        <f>$Q75+$R75+$S75+$T75+$U75+$V75+$W75</f>
        <v>0</v>
      </c>
      <c r="Z75" s="38">
        <f>IF($X75&lt;=0,0,ROUND((D75+E75+F75+G75+H75+I75)/3200-$X75,4))</f>
        <v>0</v>
      </c>
      <c r="AA75" s="40" t="s">
        <v>2233</v>
      </c>
      <c r="AB75" s="40" t="s">
        <v>2099</v>
      </c>
    </row>
    <row r="76" spans="1:28" x14ac:dyDescent="0.25">
      <c r="A76" s="32" t="s">
        <v>1072</v>
      </c>
      <c r="B76" s="33" t="s">
        <v>2234</v>
      </c>
      <c r="C76" s="33" t="s">
        <v>1379</v>
      </c>
      <c r="D76" s="41">
        <f>IF($X76&gt;0,IF($Y76&gt;0,MAX(0,$Q76+$X76-$Y76)*3000,$X76*3000),14168)</f>
        <v>14168</v>
      </c>
      <c r="E76" s="41">
        <f>IF($X76&gt;0,IF($Y76&gt;0,$S76*3000,0),9086)</f>
        <v>9086</v>
      </c>
      <c r="F76" s="41">
        <f>IF($X76&gt;0,IF($Y76&gt;0,$V76*3000,0),8157)</f>
        <v>8157</v>
      </c>
      <c r="G76" s="41">
        <f>IF($X76&gt;0,IF($Y76&gt;0,$R76*3000,0),7067)</f>
        <v>7067</v>
      </c>
      <c r="H76" s="41">
        <f>IF($X76&gt;0,IF($Y76&gt;0,($T76+$W76)*3000,0),8057)</f>
        <v>8057</v>
      </c>
      <c r="I76" s="41">
        <f>IF($X76&gt;0,IF($Y76&gt;0,$U76*3000,0),2400)</f>
        <v>2400</v>
      </c>
      <c r="J76" s="35">
        <v>4000</v>
      </c>
      <c r="K76" s="42">
        <v>0.75</v>
      </c>
      <c r="L76" s="36" t="str">
        <f>IF($X76&gt;0,IF($P76&lt;&gt;1,$AB76,IFERROR(INDEX('JLR Machines'!$D$2:$D$20001,MATCH($O76,'JLR Machines'!$A$2:$A$20001,0)),$AB76)),$AB76)</f>
        <v>2026-09-29</v>
      </c>
      <c r="M76" s="36" t="str">
        <f>IF($X76&gt;0,IF($Y76&gt;0,"JLR machine "&amp;$O76&amp;" at "&amp;TEXT($X76,"0.00")&amp;" per hr — build-up as supplied","JLR machine "&amp;$O76&amp;" at "&amp;TEXT($X76,"0.00")&amp;" per hr — build-up not supplied"),$AA76)</f>
        <v>REPRESENTATIVE — UK deburr/polish cell class: bowl, media separation, compound dosing, water treatment. Low capital, long cycles; media and compound are the real variable cost and are charged as stage chemistry. Replace with plant data.</v>
      </c>
      <c r="N76" s="33" t="s">
        <v>1380</v>
      </c>
      <c r="O76" s="37" t="str">
        <f>IFERROR(INDEX(Mapping!$C$2:$C$549,MATCH($A76,Mapping!$A$2:$A$549,0)),"")</f>
        <v/>
      </c>
      <c r="P76" s="37">
        <f>IF($O76="",0,COUNTIFS('JLR Machines'!$A$2:$A$20001,$O76,'JLR Machines'!$C$2:$C$20001,IF(Settings!$B$2="","&lt;&gt;",Settings!$B$2),'JLR Machines'!$D$2:$D$20001,IF(Settings!$B$3="","&lt;&gt;",Settings!$B$3)))</f>
        <v>0</v>
      </c>
      <c r="Q76" s="39">
        <f>IF($P76&lt;&gt;1,0,SUMIFS('JLR Machines'!$G$2:$G$20001,'JLR Machines'!$A$2:$A$20001,$O76,'JLR Machines'!$C$2:$C$20001,IF(Settings!$B$2="","&lt;&gt;",Settings!$B$2),'JLR Machines'!$D$2:$D$20001,IF(Settings!$B$3="","&lt;&gt;",Settings!$B$3)))</f>
        <v>0</v>
      </c>
      <c r="R76" s="39">
        <f>IF($P76&lt;&gt;1,0,SUMIFS('JLR Machines'!$H$2:$H$20001,'JLR Machines'!$A$2:$A$20001,$O76,'JLR Machines'!$C$2:$C$20001,IF(Settings!$B$2="","&lt;&gt;",Settings!$B$2),'JLR Machines'!$D$2:$D$20001,IF(Settings!$B$3="","&lt;&gt;",Settings!$B$3)))</f>
        <v>0</v>
      </c>
      <c r="S76" s="39">
        <f>IF($P76&lt;&gt;1,0,SUMIFS('JLR Machines'!$I$2:$I$20001,'JLR Machines'!$A$2:$A$20001,$O76,'JLR Machines'!$C$2:$C$20001,IF(Settings!$B$2="","&lt;&gt;",Settings!$B$2),'JLR Machines'!$D$2:$D$20001,IF(Settings!$B$3="","&lt;&gt;",Settings!$B$3)))</f>
        <v>0</v>
      </c>
      <c r="T76" s="39">
        <f>IF($P76&lt;&gt;1,0,SUMIFS('JLR Machines'!$J$2:$J$20001,'JLR Machines'!$A$2:$A$20001,$O76,'JLR Machines'!$C$2:$C$20001,IF(Settings!$B$2="","&lt;&gt;",Settings!$B$2),'JLR Machines'!$D$2:$D$20001,IF(Settings!$B$3="","&lt;&gt;",Settings!$B$3)))</f>
        <v>0</v>
      </c>
      <c r="U76" s="39">
        <f>IF($P76&lt;&gt;1,0,SUMIFS('JLR Machines'!$K$2:$K$20001,'JLR Machines'!$A$2:$A$20001,$O76,'JLR Machines'!$C$2:$C$20001,IF(Settings!$B$2="","&lt;&gt;",Settings!$B$2),'JLR Machines'!$D$2:$D$20001,IF(Settings!$B$3="","&lt;&gt;",Settings!$B$3)))</f>
        <v>0</v>
      </c>
      <c r="V76" s="39">
        <f>IF($P76&lt;&gt;1,0,SUMIFS('JLR Machines'!$L$2:$L$20001,'JLR Machines'!$A$2:$A$20001,$O76,'JLR Machines'!$C$2:$C$20001,IF(Settings!$B$2="","&lt;&gt;",Settings!$B$2),'JLR Machines'!$D$2:$D$20001,IF(Settings!$B$3="","&lt;&gt;",Settings!$B$3)))</f>
        <v>0</v>
      </c>
      <c r="W76" s="39">
        <f>IF($P76&lt;&gt;1,0,SUMIFS('JLR Machines'!$M$2:$M$20001,'JLR Machines'!$A$2:$A$20001,$O76,'JLR Machines'!$C$2:$C$20001,IF(Settings!$B$2="","&lt;&gt;",Settings!$B$2),'JLR Machines'!$D$2:$D$20001,IF(Settings!$B$3="","&lt;&gt;",Settings!$B$3)))</f>
        <v>0</v>
      </c>
      <c r="X76" s="39">
        <f>IF($P76&lt;&gt;1,0,SUMIFS('JLR Machines'!$N$2:$N$20001,'JLR Machines'!$A$2:$A$20001,$O76,'JLR Machines'!$C$2:$C$20001,IF(Settings!$B$2="","&lt;&gt;",Settings!$B$2),'JLR Machines'!$D$2:$D$20001,IF(Settings!$B$3="","&lt;&gt;",Settings!$B$3)))</f>
        <v>0</v>
      </c>
      <c r="Y76" s="39">
        <f>$Q76+$R76+$S76+$T76+$U76+$V76+$W76</f>
        <v>0</v>
      </c>
      <c r="Z76" s="38">
        <f>IF($X76&lt;=0,0,ROUND((D76+E76+F76+G76+H76+I76)/3000-$X76,4))</f>
        <v>0</v>
      </c>
      <c r="AA76" s="40" t="s">
        <v>2235</v>
      </c>
      <c r="AB76" s="40" t="s">
        <v>2099</v>
      </c>
    </row>
    <row r="77" spans="1:28" x14ac:dyDescent="0.25">
      <c r="A77" s="32" t="s">
        <v>1074</v>
      </c>
      <c r="B77" s="33" t="s">
        <v>2236</v>
      </c>
      <c r="C77" s="33" t="s">
        <v>1379</v>
      </c>
      <c r="D77" s="41">
        <f>IF($X77&gt;0,IF($Y77&gt;0,MAX(0,$Q77+$X77-$Y77)*4000,$X77*4000),202400)</f>
        <v>202400</v>
      </c>
      <c r="E77" s="41">
        <f>IF($X77&gt;0,IF($Y77&gt;0,$S77*4000,0),106006)</f>
        <v>106006</v>
      </c>
      <c r="F77" s="41">
        <f>IF($X77&gt;0,IF($Y77&gt;0,$V77*4000,0),279653)</f>
        <v>279653</v>
      </c>
      <c r="G77" s="41">
        <f>IF($X77&gt;0,IF($Y77&gt;0,$R77*4000,0),60577)</f>
        <v>60577</v>
      </c>
      <c r="H77" s="41">
        <f>IF($X77&gt;0,IF($Y77&gt;0,($T77+$W77)*4000,0),55394)</f>
        <v>55394</v>
      </c>
      <c r="I77" s="41">
        <f>IF($X77&gt;0,IF($Y77&gt;0,$U77*4000,0),34000)</f>
        <v>34000</v>
      </c>
      <c r="J77" s="35">
        <v>5000</v>
      </c>
      <c r="K77" s="42">
        <v>0.8</v>
      </c>
      <c r="L77" s="36" t="str">
        <f>IF($X77&gt;0,IF($P77&lt;&gt;1,$AB77,IFERROR(INDEX('JLR Machines'!$D$2:$D$20001,MATCH($O77,'JLR Machines'!$A$2:$A$20001,0)),$AB77)),$AB77)</f>
        <v>2026-09-29</v>
      </c>
      <c r="M77" s="36" t="str">
        <f>IF($X77&gt;0,IF($Y77&gt;0,"JLR machine "&amp;$O77&amp;" at "&amp;TEXT($X77,"0.00")&amp;" per hr — build-up as supplied","JLR machine "&amp;$O77&amp;" at "&amp;TEXT($X77,"0.00")&amp;" per hr — build-up not supplied"),$AA77)</f>
        <v>REPRESENTATIVE — UK batch galvanising plant class: kettle, furnace, flux and pickle tanks, fume extraction, effluent. Energy dominates because the kettle is held molten continuously whether or not work is passing. The ZINC is NOT in this rate — it is a separate pass-through that scales with surface area, not with kettle time.</v>
      </c>
      <c r="N77" s="33" t="s">
        <v>1380</v>
      </c>
      <c r="O77" s="37" t="str">
        <f>IFERROR(INDEX(Mapping!$C$2:$C$549,MATCH($A77,Mapping!$A$2:$A$549,0)),"")</f>
        <v/>
      </c>
      <c r="P77" s="37">
        <f>IF($O77="",0,COUNTIFS('JLR Machines'!$A$2:$A$20001,$O77,'JLR Machines'!$C$2:$C$20001,IF(Settings!$B$2="","&lt;&gt;",Settings!$B$2),'JLR Machines'!$D$2:$D$20001,IF(Settings!$B$3="","&lt;&gt;",Settings!$B$3)))</f>
        <v>0</v>
      </c>
      <c r="Q77" s="39">
        <f>IF($P77&lt;&gt;1,0,SUMIFS('JLR Machines'!$G$2:$G$20001,'JLR Machines'!$A$2:$A$20001,$O77,'JLR Machines'!$C$2:$C$20001,IF(Settings!$B$2="","&lt;&gt;",Settings!$B$2),'JLR Machines'!$D$2:$D$20001,IF(Settings!$B$3="","&lt;&gt;",Settings!$B$3)))</f>
        <v>0</v>
      </c>
      <c r="R77" s="39">
        <f>IF($P77&lt;&gt;1,0,SUMIFS('JLR Machines'!$H$2:$H$20001,'JLR Machines'!$A$2:$A$20001,$O77,'JLR Machines'!$C$2:$C$20001,IF(Settings!$B$2="","&lt;&gt;",Settings!$B$2),'JLR Machines'!$D$2:$D$20001,IF(Settings!$B$3="","&lt;&gt;",Settings!$B$3)))</f>
        <v>0</v>
      </c>
      <c r="S77" s="39">
        <f>IF($P77&lt;&gt;1,0,SUMIFS('JLR Machines'!$I$2:$I$20001,'JLR Machines'!$A$2:$A$20001,$O77,'JLR Machines'!$C$2:$C$20001,IF(Settings!$B$2="","&lt;&gt;",Settings!$B$2),'JLR Machines'!$D$2:$D$20001,IF(Settings!$B$3="","&lt;&gt;",Settings!$B$3)))</f>
        <v>0</v>
      </c>
      <c r="T77" s="39">
        <f>IF($P77&lt;&gt;1,0,SUMIFS('JLR Machines'!$J$2:$J$20001,'JLR Machines'!$A$2:$A$20001,$O77,'JLR Machines'!$C$2:$C$20001,IF(Settings!$B$2="","&lt;&gt;",Settings!$B$2),'JLR Machines'!$D$2:$D$20001,IF(Settings!$B$3="","&lt;&gt;",Settings!$B$3)))</f>
        <v>0</v>
      </c>
      <c r="U77" s="39">
        <f>IF($P77&lt;&gt;1,0,SUMIFS('JLR Machines'!$K$2:$K$20001,'JLR Machines'!$A$2:$A$20001,$O77,'JLR Machines'!$C$2:$C$20001,IF(Settings!$B$2="","&lt;&gt;",Settings!$B$2),'JLR Machines'!$D$2:$D$20001,IF(Settings!$B$3="","&lt;&gt;",Settings!$B$3)))</f>
        <v>0</v>
      </c>
      <c r="V77" s="39">
        <f>IF($P77&lt;&gt;1,0,SUMIFS('JLR Machines'!$L$2:$L$20001,'JLR Machines'!$A$2:$A$20001,$O77,'JLR Machines'!$C$2:$C$20001,IF(Settings!$B$2="","&lt;&gt;",Settings!$B$2),'JLR Machines'!$D$2:$D$20001,IF(Settings!$B$3="","&lt;&gt;",Settings!$B$3)))</f>
        <v>0</v>
      </c>
      <c r="W77" s="39">
        <f>IF($P77&lt;&gt;1,0,SUMIFS('JLR Machines'!$M$2:$M$20001,'JLR Machines'!$A$2:$A$20001,$O77,'JLR Machines'!$C$2:$C$20001,IF(Settings!$B$2="","&lt;&gt;",Settings!$B$2),'JLR Machines'!$D$2:$D$20001,IF(Settings!$B$3="","&lt;&gt;",Settings!$B$3)))</f>
        <v>0</v>
      </c>
      <c r="X77" s="39">
        <f>IF($P77&lt;&gt;1,0,SUMIFS('JLR Machines'!$N$2:$N$20001,'JLR Machines'!$A$2:$A$20001,$O77,'JLR Machines'!$C$2:$C$20001,IF(Settings!$B$2="","&lt;&gt;",Settings!$B$2),'JLR Machines'!$D$2:$D$20001,IF(Settings!$B$3="","&lt;&gt;",Settings!$B$3)))</f>
        <v>0</v>
      </c>
      <c r="Y77" s="39">
        <f>$Q77+$R77+$S77+$T77+$U77+$V77+$W77</f>
        <v>0</v>
      </c>
      <c r="Z77" s="38">
        <f>IF($X77&lt;=0,0,ROUND((D77+E77+F77+G77+H77+I77)/4000-$X77,4))</f>
        <v>0</v>
      </c>
      <c r="AA77" s="40" t="s">
        <v>2237</v>
      </c>
      <c r="AB77" s="40" t="s">
        <v>2099</v>
      </c>
    </row>
    <row r="78" spans="1:28" x14ac:dyDescent="0.25">
      <c r="A78" s="32" t="s">
        <v>1076</v>
      </c>
      <c r="B78" s="33" t="s">
        <v>2238</v>
      </c>
      <c r="C78" s="33" t="s">
        <v>1379</v>
      </c>
      <c r="D78" s="41">
        <f>IF($X78&gt;0,IF($Y78&gt;0,MAX(0,$Q78+$X78-$Y78)*3120,$X78*3120),30360)</f>
        <v>30360</v>
      </c>
      <c r="E78" s="41">
        <f>IF($X78&gt;0,IF($Y78&gt;0,$S78*3120,0),15144)</f>
        <v>15144</v>
      </c>
      <c r="F78" s="41">
        <f>IF($X78&gt;0,IF($Y78&gt;0,$V78*3120,0),12817)</f>
        <v>12817</v>
      </c>
      <c r="G78" s="41">
        <f>IF($X78&gt;0,IF($Y78&gt;0,$R78*3120,0),8077)</f>
        <v>8077</v>
      </c>
      <c r="H78" s="41">
        <f>IF($X78&gt;0,IF($Y78&gt;0,($T78+$W78)*3120,0),10072)</f>
        <v>10072</v>
      </c>
      <c r="I78" s="41">
        <f>IF($X78&gt;0,IF($Y78&gt;0,$U78*3120,0),5200)</f>
        <v>5200</v>
      </c>
      <c r="J78" s="35">
        <v>4000</v>
      </c>
      <c r="K78" s="42">
        <v>0.78</v>
      </c>
      <c r="L78" s="36" t="str">
        <f>IF($X78&gt;0,IF($P78&lt;&gt;1,$AB78,IFERROR(INDEX('JLR Machines'!$D$2:$D$20001,MATCH($O78,'JLR Machines'!$A$2:$A$20001,0)),$AB78)),$AB78)</f>
        <v>2026-09-29</v>
      </c>
      <c r="M78" s="36" t="str">
        <f>IF($X78&gt;0,IF($Y78&gt;0,"JLR machine "&amp;$O78&amp;" at "&amp;TEXT($X78,"0.00")&amp;" per hr — build-up as supplied","JLR machine "&amp;$O78&amp;" at "&amp;TEXT($X78,"0.00")&amp;" per hr — build-up not supplied"),$AA78)</f>
        <v>REPRESENTATIVE — UK casting impregnation cell class: vacuum vessel, resin recovery, wash and cure stations. Casting-specific; its value is the pressure-test reject it prevents rather than anything it adds to the part. Replace with plant data.</v>
      </c>
      <c r="N78" s="33" t="s">
        <v>1380</v>
      </c>
      <c r="O78" s="37" t="str">
        <f>IFERROR(INDEX(Mapping!$C$2:$C$549,MATCH($A78,Mapping!$A$2:$A$549,0)),"")</f>
        <v/>
      </c>
      <c r="P78" s="37">
        <f>IF($O78="",0,COUNTIFS('JLR Machines'!$A$2:$A$20001,$O78,'JLR Machines'!$C$2:$C$20001,IF(Settings!$B$2="","&lt;&gt;",Settings!$B$2),'JLR Machines'!$D$2:$D$20001,IF(Settings!$B$3="","&lt;&gt;",Settings!$B$3)))</f>
        <v>0</v>
      </c>
      <c r="Q78" s="39">
        <f>IF($P78&lt;&gt;1,0,SUMIFS('JLR Machines'!$G$2:$G$20001,'JLR Machines'!$A$2:$A$20001,$O78,'JLR Machines'!$C$2:$C$20001,IF(Settings!$B$2="","&lt;&gt;",Settings!$B$2),'JLR Machines'!$D$2:$D$20001,IF(Settings!$B$3="","&lt;&gt;",Settings!$B$3)))</f>
        <v>0</v>
      </c>
      <c r="R78" s="39">
        <f>IF($P78&lt;&gt;1,0,SUMIFS('JLR Machines'!$H$2:$H$20001,'JLR Machines'!$A$2:$A$20001,$O78,'JLR Machines'!$C$2:$C$20001,IF(Settings!$B$2="","&lt;&gt;",Settings!$B$2),'JLR Machines'!$D$2:$D$20001,IF(Settings!$B$3="","&lt;&gt;",Settings!$B$3)))</f>
        <v>0</v>
      </c>
      <c r="S78" s="39">
        <f>IF($P78&lt;&gt;1,0,SUMIFS('JLR Machines'!$I$2:$I$20001,'JLR Machines'!$A$2:$A$20001,$O78,'JLR Machines'!$C$2:$C$20001,IF(Settings!$B$2="","&lt;&gt;",Settings!$B$2),'JLR Machines'!$D$2:$D$20001,IF(Settings!$B$3="","&lt;&gt;",Settings!$B$3)))</f>
        <v>0</v>
      </c>
      <c r="T78" s="39">
        <f>IF($P78&lt;&gt;1,0,SUMIFS('JLR Machines'!$J$2:$J$20001,'JLR Machines'!$A$2:$A$20001,$O78,'JLR Machines'!$C$2:$C$20001,IF(Settings!$B$2="","&lt;&gt;",Settings!$B$2),'JLR Machines'!$D$2:$D$20001,IF(Settings!$B$3="","&lt;&gt;",Settings!$B$3)))</f>
        <v>0</v>
      </c>
      <c r="U78" s="39">
        <f>IF($P78&lt;&gt;1,0,SUMIFS('JLR Machines'!$K$2:$K$20001,'JLR Machines'!$A$2:$A$20001,$O78,'JLR Machines'!$C$2:$C$20001,IF(Settings!$B$2="","&lt;&gt;",Settings!$B$2),'JLR Machines'!$D$2:$D$20001,IF(Settings!$B$3="","&lt;&gt;",Settings!$B$3)))</f>
        <v>0</v>
      </c>
      <c r="V78" s="39">
        <f>IF($P78&lt;&gt;1,0,SUMIFS('JLR Machines'!$L$2:$L$20001,'JLR Machines'!$A$2:$A$20001,$O78,'JLR Machines'!$C$2:$C$20001,IF(Settings!$B$2="","&lt;&gt;",Settings!$B$2),'JLR Machines'!$D$2:$D$20001,IF(Settings!$B$3="","&lt;&gt;",Settings!$B$3)))</f>
        <v>0</v>
      </c>
      <c r="W78" s="39">
        <f>IF($P78&lt;&gt;1,0,SUMIFS('JLR Machines'!$M$2:$M$20001,'JLR Machines'!$A$2:$A$20001,$O78,'JLR Machines'!$C$2:$C$20001,IF(Settings!$B$2="","&lt;&gt;",Settings!$B$2),'JLR Machines'!$D$2:$D$20001,IF(Settings!$B$3="","&lt;&gt;",Settings!$B$3)))</f>
        <v>0</v>
      </c>
      <c r="X78" s="39">
        <f>IF($P78&lt;&gt;1,0,SUMIFS('JLR Machines'!$N$2:$N$20001,'JLR Machines'!$A$2:$A$20001,$O78,'JLR Machines'!$C$2:$C$20001,IF(Settings!$B$2="","&lt;&gt;",Settings!$B$2),'JLR Machines'!$D$2:$D$20001,IF(Settings!$B$3="","&lt;&gt;",Settings!$B$3)))</f>
        <v>0</v>
      </c>
      <c r="Y78" s="39">
        <f>$Q78+$R78+$S78+$T78+$U78+$V78+$W78</f>
        <v>0</v>
      </c>
      <c r="Z78" s="38">
        <f>IF($X78&lt;=0,0,ROUND((D78+E78+F78+G78+H78+I78)/3120-$X78,4))</f>
        <v>0</v>
      </c>
      <c r="AA78" s="40" t="s">
        <v>2239</v>
      </c>
      <c r="AB78" s="40" t="s">
        <v>2099</v>
      </c>
    </row>
    <row r="79" spans="1:28" x14ac:dyDescent="0.25">
      <c r="A79" s="32" t="s">
        <v>1078</v>
      </c>
      <c r="B79" s="33" t="s">
        <v>2240</v>
      </c>
      <c r="C79" s="33" t="s">
        <v>1379</v>
      </c>
      <c r="D79" s="41">
        <f>IF($X79&gt;0,IF($Y79&gt;0,MAX(0,$Q79+$X79-$Y79)*3280,$X79*3280),35420)</f>
        <v>35420</v>
      </c>
      <c r="E79" s="41">
        <f>IF($X79&gt;0,IF($Y79&gt;0,$S79*3280,0),14134)</f>
        <v>14134</v>
      </c>
      <c r="F79" s="41">
        <f>IF($X79&gt;0,IF($Y79&gt;0,$V79*3280,0),6991)</f>
        <v>6991</v>
      </c>
      <c r="G79" s="41">
        <f>IF($X79&gt;0,IF($Y79&gt;0,$R79*3280,0),8077)</f>
        <v>8077</v>
      </c>
      <c r="H79" s="41">
        <f>IF($X79&gt;0,IF($Y79&gt;0,($T79+$W79)*3280,0),7050)</f>
        <v>7050</v>
      </c>
      <c r="I79" s="41">
        <f>IF($X79&gt;0,IF($Y79&gt;0,$U79*3280,0),4375)</f>
        <v>4375</v>
      </c>
      <c r="J79" s="35">
        <v>4000</v>
      </c>
      <c r="K79" s="42">
        <v>0.82</v>
      </c>
      <c r="L79" s="36" t="str">
        <f>IF($X79&gt;0,IF($P79&lt;&gt;1,$AB79,IFERROR(INDEX('JLR Machines'!$D$2:$D$20001,MATCH($O79,'JLR Machines'!$A$2:$A$20001,0)),$AB79)),$AB79)</f>
        <v>2026-09-29</v>
      </c>
      <c r="M79" s="36" t="str">
        <f>IF($X79&gt;0,IF($Y79&gt;0,"JLR machine "&amp;$O79&amp;" at "&amp;TEXT($X79,"0.00")&amp;" per hr — build-up as supplied","JLR machine "&amp;$O79&amp;" at "&amp;TEXT($X79,"0.00")&amp;" per hr — build-up not supplied"),$AA79)</f>
        <v>UK body shop benchmark, Jun 2026</v>
      </c>
      <c r="N79" s="33" t="s">
        <v>1380</v>
      </c>
      <c r="O79" s="37" t="str">
        <f>IFERROR(INDEX(Mapping!$C$2:$C$549,MATCH($A79,Mapping!$A$2:$A$549,0)),"")</f>
        <v/>
      </c>
      <c r="P79" s="37">
        <f>IF($O79="",0,COUNTIFS('JLR Machines'!$A$2:$A$20001,$O79,'JLR Machines'!$C$2:$C$20001,IF(Settings!$B$2="","&lt;&gt;",Settings!$B$2),'JLR Machines'!$D$2:$D$20001,IF(Settings!$B$3="","&lt;&gt;",Settings!$B$3)))</f>
        <v>0</v>
      </c>
      <c r="Q79" s="39">
        <f>IF($P79&lt;&gt;1,0,SUMIFS('JLR Machines'!$G$2:$G$20001,'JLR Machines'!$A$2:$A$20001,$O79,'JLR Machines'!$C$2:$C$20001,IF(Settings!$B$2="","&lt;&gt;",Settings!$B$2),'JLR Machines'!$D$2:$D$20001,IF(Settings!$B$3="","&lt;&gt;",Settings!$B$3)))</f>
        <v>0</v>
      </c>
      <c r="R79" s="39">
        <f>IF($P79&lt;&gt;1,0,SUMIFS('JLR Machines'!$H$2:$H$20001,'JLR Machines'!$A$2:$A$20001,$O79,'JLR Machines'!$C$2:$C$20001,IF(Settings!$B$2="","&lt;&gt;",Settings!$B$2),'JLR Machines'!$D$2:$D$20001,IF(Settings!$B$3="","&lt;&gt;",Settings!$B$3)))</f>
        <v>0</v>
      </c>
      <c r="S79" s="39">
        <f>IF($P79&lt;&gt;1,0,SUMIFS('JLR Machines'!$I$2:$I$20001,'JLR Machines'!$A$2:$A$20001,$O79,'JLR Machines'!$C$2:$C$20001,IF(Settings!$B$2="","&lt;&gt;",Settings!$B$2),'JLR Machines'!$D$2:$D$20001,IF(Settings!$B$3="","&lt;&gt;",Settings!$B$3)))</f>
        <v>0</v>
      </c>
      <c r="T79" s="39">
        <f>IF($P79&lt;&gt;1,0,SUMIFS('JLR Machines'!$J$2:$J$20001,'JLR Machines'!$A$2:$A$20001,$O79,'JLR Machines'!$C$2:$C$20001,IF(Settings!$B$2="","&lt;&gt;",Settings!$B$2),'JLR Machines'!$D$2:$D$20001,IF(Settings!$B$3="","&lt;&gt;",Settings!$B$3)))</f>
        <v>0</v>
      </c>
      <c r="U79" s="39">
        <f>IF($P79&lt;&gt;1,0,SUMIFS('JLR Machines'!$K$2:$K$20001,'JLR Machines'!$A$2:$A$20001,$O79,'JLR Machines'!$C$2:$C$20001,IF(Settings!$B$2="","&lt;&gt;",Settings!$B$2),'JLR Machines'!$D$2:$D$20001,IF(Settings!$B$3="","&lt;&gt;",Settings!$B$3)))</f>
        <v>0</v>
      </c>
      <c r="V79" s="39">
        <f>IF($P79&lt;&gt;1,0,SUMIFS('JLR Machines'!$L$2:$L$20001,'JLR Machines'!$A$2:$A$20001,$O79,'JLR Machines'!$C$2:$C$20001,IF(Settings!$B$2="","&lt;&gt;",Settings!$B$2),'JLR Machines'!$D$2:$D$20001,IF(Settings!$B$3="","&lt;&gt;",Settings!$B$3)))</f>
        <v>0</v>
      </c>
      <c r="W79" s="39">
        <f>IF($P79&lt;&gt;1,0,SUMIFS('JLR Machines'!$M$2:$M$20001,'JLR Machines'!$A$2:$A$20001,$O79,'JLR Machines'!$C$2:$C$20001,IF(Settings!$B$2="","&lt;&gt;",Settings!$B$2),'JLR Machines'!$D$2:$D$20001,IF(Settings!$B$3="","&lt;&gt;",Settings!$B$3)))</f>
        <v>0</v>
      </c>
      <c r="X79" s="39">
        <f>IF($P79&lt;&gt;1,0,SUMIFS('JLR Machines'!$N$2:$N$20001,'JLR Machines'!$A$2:$A$20001,$O79,'JLR Machines'!$C$2:$C$20001,IF(Settings!$B$2="","&lt;&gt;",Settings!$B$2),'JLR Machines'!$D$2:$D$20001,IF(Settings!$B$3="","&lt;&gt;",Settings!$B$3)))</f>
        <v>0</v>
      </c>
      <c r="Y79" s="39">
        <f>$Q79+$R79+$S79+$T79+$U79+$V79+$W79</f>
        <v>0</v>
      </c>
      <c r="Z79" s="38">
        <f>IF($X79&lt;=0,0,ROUND((D79+E79+F79+G79+H79+I79)/3280-$X79,4))</f>
        <v>0</v>
      </c>
      <c r="AA79" s="40" t="s">
        <v>2241</v>
      </c>
      <c r="AB79" s="40" t="s">
        <v>2099</v>
      </c>
    </row>
    <row r="80" spans="1:28" x14ac:dyDescent="0.25">
      <c r="A80" s="32" t="s">
        <v>1080</v>
      </c>
      <c r="B80" s="33" t="s">
        <v>2242</v>
      </c>
      <c r="C80" s="33" t="s">
        <v>1379</v>
      </c>
      <c r="D80" s="41">
        <f>IF($X80&gt;0,IF($Y80&gt;0,MAX(0,$Q80+$X80-$Y80)*3280,$X80*3280),80960)</f>
        <v>80960</v>
      </c>
      <c r="E80" s="41">
        <f>IF($X80&gt;0,IF($Y80&gt;0,$S80*3280,0),30288)</f>
        <v>30288</v>
      </c>
      <c r="F80" s="41">
        <f>IF($X80&gt;0,IF($Y80&gt;0,$V80*3280,0),17478)</f>
        <v>17478</v>
      </c>
      <c r="G80" s="41">
        <f>IF($X80&gt;0,IF($Y80&gt;0,$R80*3280,0),20192)</f>
        <v>20192</v>
      </c>
      <c r="H80" s="41">
        <f>IF($X80&gt;0,IF($Y80&gt;0,($T80+$W80)*3280,0),20143)</f>
        <v>20143</v>
      </c>
      <c r="I80" s="41">
        <f>IF($X80&gt;0,IF($Y80&gt;0,$U80*3280,0),10000)</f>
        <v>10000</v>
      </c>
      <c r="J80" s="35">
        <v>4000</v>
      </c>
      <c r="K80" s="42">
        <v>0.82</v>
      </c>
      <c r="L80" s="36" t="str">
        <f>IF($X80&gt;0,IF($P80&lt;&gt;1,$AB80,IFERROR(INDEX('JLR Machines'!$D$2:$D$20001,MATCH($O80,'JLR Machines'!$A$2:$A$20001,0)),$AB80)),$AB80)</f>
        <v>2026-09-29</v>
      </c>
      <c r="M80" s="36" t="str">
        <f>IF($X80&gt;0,IF($Y80&gt;0,"JLR machine "&amp;$O80&amp;" at "&amp;TEXT($X80,"0.00")&amp;" per hr — build-up as supplied","JLR machine "&amp;$O80&amp;" at "&amp;TEXT($X80,"0.00")&amp;" per hr — build-up not supplied"),$AA80)</f>
        <v>UK EMS benchmark, Jun 2026</v>
      </c>
      <c r="N80" s="33" t="s">
        <v>1380</v>
      </c>
      <c r="O80" s="37" t="str">
        <f>IFERROR(INDEX(Mapping!$C$2:$C$549,MATCH($A80,Mapping!$A$2:$A$549,0)),"")</f>
        <v/>
      </c>
      <c r="P80" s="37">
        <f>IF($O80="",0,COUNTIFS('JLR Machines'!$A$2:$A$20001,$O80,'JLR Machines'!$C$2:$C$20001,IF(Settings!$B$2="","&lt;&gt;",Settings!$B$2),'JLR Machines'!$D$2:$D$20001,IF(Settings!$B$3="","&lt;&gt;",Settings!$B$3)))</f>
        <v>0</v>
      </c>
      <c r="Q80" s="39">
        <f>IF($P80&lt;&gt;1,0,SUMIFS('JLR Machines'!$G$2:$G$20001,'JLR Machines'!$A$2:$A$20001,$O80,'JLR Machines'!$C$2:$C$20001,IF(Settings!$B$2="","&lt;&gt;",Settings!$B$2),'JLR Machines'!$D$2:$D$20001,IF(Settings!$B$3="","&lt;&gt;",Settings!$B$3)))</f>
        <v>0</v>
      </c>
      <c r="R80" s="39">
        <f>IF($P80&lt;&gt;1,0,SUMIFS('JLR Machines'!$H$2:$H$20001,'JLR Machines'!$A$2:$A$20001,$O80,'JLR Machines'!$C$2:$C$20001,IF(Settings!$B$2="","&lt;&gt;",Settings!$B$2),'JLR Machines'!$D$2:$D$20001,IF(Settings!$B$3="","&lt;&gt;",Settings!$B$3)))</f>
        <v>0</v>
      </c>
      <c r="S80" s="39">
        <f>IF($P80&lt;&gt;1,0,SUMIFS('JLR Machines'!$I$2:$I$20001,'JLR Machines'!$A$2:$A$20001,$O80,'JLR Machines'!$C$2:$C$20001,IF(Settings!$B$2="","&lt;&gt;",Settings!$B$2),'JLR Machines'!$D$2:$D$20001,IF(Settings!$B$3="","&lt;&gt;",Settings!$B$3)))</f>
        <v>0</v>
      </c>
      <c r="T80" s="39">
        <f>IF($P80&lt;&gt;1,0,SUMIFS('JLR Machines'!$J$2:$J$20001,'JLR Machines'!$A$2:$A$20001,$O80,'JLR Machines'!$C$2:$C$20001,IF(Settings!$B$2="","&lt;&gt;",Settings!$B$2),'JLR Machines'!$D$2:$D$20001,IF(Settings!$B$3="","&lt;&gt;",Settings!$B$3)))</f>
        <v>0</v>
      </c>
      <c r="U80" s="39">
        <f>IF($P80&lt;&gt;1,0,SUMIFS('JLR Machines'!$K$2:$K$20001,'JLR Machines'!$A$2:$A$20001,$O80,'JLR Machines'!$C$2:$C$20001,IF(Settings!$B$2="","&lt;&gt;",Settings!$B$2),'JLR Machines'!$D$2:$D$20001,IF(Settings!$B$3="","&lt;&gt;",Settings!$B$3)))</f>
        <v>0</v>
      </c>
      <c r="V80" s="39">
        <f>IF($P80&lt;&gt;1,0,SUMIFS('JLR Machines'!$L$2:$L$20001,'JLR Machines'!$A$2:$A$20001,$O80,'JLR Machines'!$C$2:$C$20001,IF(Settings!$B$2="","&lt;&gt;",Settings!$B$2),'JLR Machines'!$D$2:$D$20001,IF(Settings!$B$3="","&lt;&gt;",Settings!$B$3)))</f>
        <v>0</v>
      </c>
      <c r="W80" s="39">
        <f>IF($P80&lt;&gt;1,0,SUMIFS('JLR Machines'!$M$2:$M$20001,'JLR Machines'!$A$2:$A$20001,$O80,'JLR Machines'!$C$2:$C$20001,IF(Settings!$B$2="","&lt;&gt;",Settings!$B$2),'JLR Machines'!$D$2:$D$20001,IF(Settings!$B$3="","&lt;&gt;",Settings!$B$3)))</f>
        <v>0</v>
      </c>
      <c r="X80" s="39">
        <f>IF($P80&lt;&gt;1,0,SUMIFS('JLR Machines'!$N$2:$N$20001,'JLR Machines'!$A$2:$A$20001,$O80,'JLR Machines'!$C$2:$C$20001,IF(Settings!$B$2="","&lt;&gt;",Settings!$B$2),'JLR Machines'!$D$2:$D$20001,IF(Settings!$B$3="","&lt;&gt;",Settings!$B$3)))</f>
        <v>0</v>
      </c>
      <c r="Y80" s="39">
        <f>$Q80+$R80+$S80+$T80+$U80+$V80+$W80</f>
        <v>0</v>
      </c>
      <c r="Z80" s="38">
        <f>IF($X80&lt;=0,0,ROUND((D80+E80+F80+G80+H80+I80)/3280-$X80,4))</f>
        <v>0</v>
      </c>
      <c r="AA80" s="40" t="s">
        <v>2243</v>
      </c>
      <c r="AB80" s="40" t="s">
        <v>2099</v>
      </c>
    </row>
    <row r="81" spans="1:28" x14ac:dyDescent="0.25">
      <c r="A81" s="32" t="s">
        <v>1082</v>
      </c>
      <c r="B81" s="33" t="s">
        <v>2244</v>
      </c>
      <c r="C81" s="33" t="s">
        <v>1379</v>
      </c>
      <c r="D81" s="41">
        <f>IF($X81&gt;0,IF($Y81&gt;0,MAX(0,$Q81+$X81-$Y81)*3280,$X81*3280),182160)</f>
        <v>182160</v>
      </c>
      <c r="E81" s="41">
        <f>IF($X81&gt;0,IF($Y81&gt;0,$S81*3280,0),80767)</f>
        <v>80767</v>
      </c>
      <c r="F81" s="41">
        <f>IF($X81&gt;0,IF($Y81&gt;0,$V81*3280,0),64087)</f>
        <v>64087</v>
      </c>
      <c r="G81" s="41">
        <f>IF($X81&gt;0,IF($Y81&gt;0,$R81*3280,0),30288)</f>
        <v>30288</v>
      </c>
      <c r="H81" s="41">
        <f>IF($X81&gt;0,IF($Y81&gt;0,($T81+$W81)*3280,0),100717)</f>
        <v>100717</v>
      </c>
      <c r="I81" s="41">
        <f>IF($X81&gt;0,IF($Y81&gt;0,$U81*3280,0),47000)</f>
        <v>47000</v>
      </c>
      <c r="J81" s="35">
        <v>4000</v>
      </c>
      <c r="K81" s="42">
        <v>0.82</v>
      </c>
      <c r="L81" s="36" t="str">
        <f>IF($X81&gt;0,IF($P81&lt;&gt;1,$AB81,IFERROR(INDEX('JLR Machines'!$D$2:$D$20001,MATCH($O81,'JLR Machines'!$A$2:$A$20001,0)),$AB81)),$AB81)</f>
        <v>2026-09-29</v>
      </c>
      <c r="M81" s="36" t="str">
        <f>IF($X81&gt;0,IF($Y81&gt;0,"JLR machine "&amp;$O81&amp;" at "&amp;TEXT($X81,"0.00")&amp;" per hr — build-up as supplied","JLR machine "&amp;$O81&amp;" at "&amp;TEXT($X81,"0.00")&amp;" per hr — build-up not supplied"),$AA81)</f>
        <v>High-speed SMT line 80000+ CPH. Automotive EMS benchmark. Target £150/hr. Jun 2026</v>
      </c>
      <c r="N81" s="33" t="s">
        <v>1380</v>
      </c>
      <c r="O81" s="37" t="str">
        <f>IFERROR(INDEX(Mapping!$C$2:$C$549,MATCH($A81,Mapping!$A$2:$A$549,0)),"")</f>
        <v/>
      </c>
      <c r="P81" s="37">
        <f>IF($O81="",0,COUNTIFS('JLR Machines'!$A$2:$A$20001,$O81,'JLR Machines'!$C$2:$C$20001,IF(Settings!$B$2="","&lt;&gt;",Settings!$B$2),'JLR Machines'!$D$2:$D$20001,IF(Settings!$B$3="","&lt;&gt;",Settings!$B$3)))</f>
        <v>0</v>
      </c>
      <c r="Q81" s="39">
        <f>IF($P81&lt;&gt;1,0,SUMIFS('JLR Machines'!$G$2:$G$20001,'JLR Machines'!$A$2:$A$20001,$O81,'JLR Machines'!$C$2:$C$20001,IF(Settings!$B$2="","&lt;&gt;",Settings!$B$2),'JLR Machines'!$D$2:$D$20001,IF(Settings!$B$3="","&lt;&gt;",Settings!$B$3)))</f>
        <v>0</v>
      </c>
      <c r="R81" s="39">
        <f>IF($P81&lt;&gt;1,0,SUMIFS('JLR Machines'!$H$2:$H$20001,'JLR Machines'!$A$2:$A$20001,$O81,'JLR Machines'!$C$2:$C$20001,IF(Settings!$B$2="","&lt;&gt;",Settings!$B$2),'JLR Machines'!$D$2:$D$20001,IF(Settings!$B$3="","&lt;&gt;",Settings!$B$3)))</f>
        <v>0</v>
      </c>
      <c r="S81" s="39">
        <f>IF($P81&lt;&gt;1,0,SUMIFS('JLR Machines'!$I$2:$I$20001,'JLR Machines'!$A$2:$A$20001,$O81,'JLR Machines'!$C$2:$C$20001,IF(Settings!$B$2="","&lt;&gt;",Settings!$B$2),'JLR Machines'!$D$2:$D$20001,IF(Settings!$B$3="","&lt;&gt;",Settings!$B$3)))</f>
        <v>0</v>
      </c>
      <c r="T81" s="39">
        <f>IF($P81&lt;&gt;1,0,SUMIFS('JLR Machines'!$J$2:$J$20001,'JLR Machines'!$A$2:$A$20001,$O81,'JLR Machines'!$C$2:$C$20001,IF(Settings!$B$2="","&lt;&gt;",Settings!$B$2),'JLR Machines'!$D$2:$D$20001,IF(Settings!$B$3="","&lt;&gt;",Settings!$B$3)))</f>
        <v>0</v>
      </c>
      <c r="U81" s="39">
        <f>IF($P81&lt;&gt;1,0,SUMIFS('JLR Machines'!$K$2:$K$20001,'JLR Machines'!$A$2:$A$20001,$O81,'JLR Machines'!$C$2:$C$20001,IF(Settings!$B$2="","&lt;&gt;",Settings!$B$2),'JLR Machines'!$D$2:$D$20001,IF(Settings!$B$3="","&lt;&gt;",Settings!$B$3)))</f>
        <v>0</v>
      </c>
      <c r="V81" s="39">
        <f>IF($P81&lt;&gt;1,0,SUMIFS('JLR Machines'!$L$2:$L$20001,'JLR Machines'!$A$2:$A$20001,$O81,'JLR Machines'!$C$2:$C$20001,IF(Settings!$B$2="","&lt;&gt;",Settings!$B$2),'JLR Machines'!$D$2:$D$20001,IF(Settings!$B$3="","&lt;&gt;",Settings!$B$3)))</f>
        <v>0</v>
      </c>
      <c r="W81" s="39">
        <f>IF($P81&lt;&gt;1,0,SUMIFS('JLR Machines'!$M$2:$M$20001,'JLR Machines'!$A$2:$A$20001,$O81,'JLR Machines'!$C$2:$C$20001,IF(Settings!$B$2="","&lt;&gt;",Settings!$B$2),'JLR Machines'!$D$2:$D$20001,IF(Settings!$B$3="","&lt;&gt;",Settings!$B$3)))</f>
        <v>0</v>
      </c>
      <c r="X81" s="39">
        <f>IF($P81&lt;&gt;1,0,SUMIFS('JLR Machines'!$N$2:$N$20001,'JLR Machines'!$A$2:$A$20001,$O81,'JLR Machines'!$C$2:$C$20001,IF(Settings!$B$2="","&lt;&gt;",Settings!$B$2),'JLR Machines'!$D$2:$D$20001,IF(Settings!$B$3="","&lt;&gt;",Settings!$B$3)))</f>
        <v>0</v>
      </c>
      <c r="Y81" s="39">
        <f>$Q81+$R81+$S81+$T81+$U81+$V81+$W81</f>
        <v>0</v>
      </c>
      <c r="Z81" s="38">
        <f>IF($X81&lt;=0,0,ROUND((D81+E81+F81+G81+H81+I81)/3280-$X81,4))</f>
        <v>0</v>
      </c>
      <c r="AA81" s="40" t="s">
        <v>2245</v>
      </c>
      <c r="AB81" s="40" t="s">
        <v>2099</v>
      </c>
    </row>
    <row r="82" spans="1:28" x14ac:dyDescent="0.25">
      <c r="A82" s="32" t="s">
        <v>1084</v>
      </c>
      <c r="B82" s="33" t="s">
        <v>2246</v>
      </c>
      <c r="C82" s="33" t="s">
        <v>1379</v>
      </c>
      <c r="D82" s="41">
        <f>IF($X82&gt;0,IF($Y82&gt;0,MAX(0,$Q82+$X82-$Y82)*3280,$X82*3280),151800)</f>
        <v>151800</v>
      </c>
      <c r="E82" s="41">
        <f>IF($X82&gt;0,IF($Y82&gt;0,$S82*3280,0),60575)</f>
        <v>60575</v>
      </c>
      <c r="F82" s="41">
        <f>IF($X82&gt;0,IF($Y82&gt;0,$V82*3280,0),46609)</f>
        <v>46609</v>
      </c>
      <c r="G82" s="41">
        <f>IF($X82&gt;0,IF($Y82&gt;0,$R82*3280,0),25240)</f>
        <v>25240</v>
      </c>
      <c r="H82" s="41">
        <f>IF($X82&gt;0,IF($Y82&gt;0,($T82+$W82)*3280,0),80574)</f>
        <v>80574</v>
      </c>
      <c r="I82" s="41">
        <f>IF($X82&gt;0,IF($Y82&gt;0,$U82*3280,0),38600)</f>
        <v>38600</v>
      </c>
      <c r="J82" s="35">
        <v>4000</v>
      </c>
      <c r="K82" s="42">
        <v>0.82</v>
      </c>
      <c r="L82" s="36" t="str">
        <f>IF($X82&gt;0,IF($P82&lt;&gt;1,$AB82,IFERROR(INDEX('JLR Machines'!$D$2:$D$20001,MATCH($O82,'JLR Machines'!$A$2:$A$20001,0)),$AB82)),$AB82)</f>
        <v>2026-09-29</v>
      </c>
      <c r="M82" s="36" t="str">
        <f>IF($X82&gt;0,IF($Y82&gt;0,"JLR machine "&amp;$O82&amp;" at "&amp;TEXT($X82,"0.00")&amp;" per hr — build-up as supplied","JLR machine "&amp;$O82&amp;" at "&amp;TEXT($X82,"0.00")&amp;" per hr — build-up not supplied"),$AA82)</f>
        <v>CO₂/UV laser drill for HDI microvias (≥75 µm). UK PCB fab benchmark. Target £120/hr. Jun 2026</v>
      </c>
      <c r="N82" s="33" t="s">
        <v>1380</v>
      </c>
      <c r="O82" s="37" t="str">
        <f>IFERROR(INDEX(Mapping!$C$2:$C$549,MATCH($A82,Mapping!$A$2:$A$549,0)),"")</f>
        <v/>
      </c>
      <c r="P82" s="37">
        <f>IF($O82="",0,COUNTIFS('JLR Machines'!$A$2:$A$20001,$O82,'JLR Machines'!$C$2:$C$20001,IF(Settings!$B$2="","&lt;&gt;",Settings!$B$2),'JLR Machines'!$D$2:$D$20001,IF(Settings!$B$3="","&lt;&gt;",Settings!$B$3)))</f>
        <v>0</v>
      </c>
      <c r="Q82" s="39">
        <f>IF($P82&lt;&gt;1,0,SUMIFS('JLR Machines'!$G$2:$G$20001,'JLR Machines'!$A$2:$A$20001,$O82,'JLR Machines'!$C$2:$C$20001,IF(Settings!$B$2="","&lt;&gt;",Settings!$B$2),'JLR Machines'!$D$2:$D$20001,IF(Settings!$B$3="","&lt;&gt;",Settings!$B$3)))</f>
        <v>0</v>
      </c>
      <c r="R82" s="39">
        <f>IF($P82&lt;&gt;1,0,SUMIFS('JLR Machines'!$H$2:$H$20001,'JLR Machines'!$A$2:$A$20001,$O82,'JLR Machines'!$C$2:$C$20001,IF(Settings!$B$2="","&lt;&gt;",Settings!$B$2),'JLR Machines'!$D$2:$D$20001,IF(Settings!$B$3="","&lt;&gt;",Settings!$B$3)))</f>
        <v>0</v>
      </c>
      <c r="S82" s="39">
        <f>IF($P82&lt;&gt;1,0,SUMIFS('JLR Machines'!$I$2:$I$20001,'JLR Machines'!$A$2:$A$20001,$O82,'JLR Machines'!$C$2:$C$20001,IF(Settings!$B$2="","&lt;&gt;",Settings!$B$2),'JLR Machines'!$D$2:$D$20001,IF(Settings!$B$3="","&lt;&gt;",Settings!$B$3)))</f>
        <v>0</v>
      </c>
      <c r="T82" s="39">
        <f>IF($P82&lt;&gt;1,0,SUMIFS('JLR Machines'!$J$2:$J$20001,'JLR Machines'!$A$2:$A$20001,$O82,'JLR Machines'!$C$2:$C$20001,IF(Settings!$B$2="","&lt;&gt;",Settings!$B$2),'JLR Machines'!$D$2:$D$20001,IF(Settings!$B$3="","&lt;&gt;",Settings!$B$3)))</f>
        <v>0</v>
      </c>
      <c r="U82" s="39">
        <f>IF($P82&lt;&gt;1,0,SUMIFS('JLR Machines'!$K$2:$K$20001,'JLR Machines'!$A$2:$A$20001,$O82,'JLR Machines'!$C$2:$C$20001,IF(Settings!$B$2="","&lt;&gt;",Settings!$B$2),'JLR Machines'!$D$2:$D$20001,IF(Settings!$B$3="","&lt;&gt;",Settings!$B$3)))</f>
        <v>0</v>
      </c>
      <c r="V82" s="39">
        <f>IF($P82&lt;&gt;1,0,SUMIFS('JLR Machines'!$L$2:$L$20001,'JLR Machines'!$A$2:$A$20001,$O82,'JLR Machines'!$C$2:$C$20001,IF(Settings!$B$2="","&lt;&gt;",Settings!$B$2),'JLR Machines'!$D$2:$D$20001,IF(Settings!$B$3="","&lt;&gt;",Settings!$B$3)))</f>
        <v>0</v>
      </c>
      <c r="W82" s="39">
        <f>IF($P82&lt;&gt;1,0,SUMIFS('JLR Machines'!$M$2:$M$20001,'JLR Machines'!$A$2:$A$20001,$O82,'JLR Machines'!$C$2:$C$20001,IF(Settings!$B$2="","&lt;&gt;",Settings!$B$2),'JLR Machines'!$D$2:$D$20001,IF(Settings!$B$3="","&lt;&gt;",Settings!$B$3)))</f>
        <v>0</v>
      </c>
      <c r="X82" s="39">
        <f>IF($P82&lt;&gt;1,0,SUMIFS('JLR Machines'!$N$2:$N$20001,'JLR Machines'!$A$2:$A$20001,$O82,'JLR Machines'!$C$2:$C$20001,IF(Settings!$B$2="","&lt;&gt;",Settings!$B$2),'JLR Machines'!$D$2:$D$20001,IF(Settings!$B$3="","&lt;&gt;",Settings!$B$3)))</f>
        <v>0</v>
      </c>
      <c r="Y82" s="39">
        <f>$Q82+$R82+$S82+$T82+$U82+$V82+$W82</f>
        <v>0</v>
      </c>
      <c r="Z82" s="38">
        <f>IF($X82&lt;=0,0,ROUND((D82+E82+F82+G82+H82+I82)/3280-$X82,4))</f>
        <v>0</v>
      </c>
      <c r="AA82" s="40" t="s">
        <v>2247</v>
      </c>
      <c r="AB82" s="40" t="s">
        <v>2099</v>
      </c>
    </row>
    <row r="83" spans="1:28" x14ac:dyDescent="0.25">
      <c r="A83" s="32" t="s">
        <v>1086</v>
      </c>
      <c r="B83" s="33" t="s">
        <v>2248</v>
      </c>
      <c r="C83" s="33" t="s">
        <v>1379</v>
      </c>
      <c r="D83" s="41">
        <f>IF($X83&gt;0,IF($Y83&gt;0,MAX(0,$Q83+$X83-$Y83)*3280,$X83*3280),121440)</f>
        <v>121440</v>
      </c>
      <c r="E83" s="41">
        <f>IF($X83&gt;0,IF($Y83&gt;0,$S83*3280,0),45431)</f>
        <v>45431</v>
      </c>
      <c r="F83" s="41">
        <f>IF($X83&gt;0,IF($Y83&gt;0,$V83*3280,0),29130)</f>
        <v>29130</v>
      </c>
      <c r="G83" s="41">
        <f>IF($X83&gt;0,IF($Y83&gt;0,$R83*3280,0),20192)</f>
        <v>20192</v>
      </c>
      <c r="H83" s="41">
        <f>IF($X83&gt;0,IF($Y83&gt;0,($T83+$W83)*3280,0),65466)</f>
        <v>65466</v>
      </c>
      <c r="I83" s="41">
        <f>IF($X83&gt;0,IF($Y83&gt;0,$U83*3280,0),20200)</f>
        <v>20200</v>
      </c>
      <c r="J83" s="35">
        <v>4000</v>
      </c>
      <c r="K83" s="42">
        <v>0.82</v>
      </c>
      <c r="L83" s="36" t="str">
        <f>IF($X83&gt;0,IF($P83&lt;&gt;1,$AB83,IFERROR(INDEX('JLR Machines'!$D$2:$D$20001,MATCH($O83,'JLR Machines'!$A$2:$A$20001,0)),$AB83)),$AB83)</f>
        <v>2026-09-29</v>
      </c>
      <c r="M83" s="36" t="str">
        <f>IF($X83&gt;0,IF($Y83&gt;0,"JLR machine "&amp;$O83&amp;" at "&amp;TEXT($X83,"0.00")&amp;" per hr — build-up as supplied","JLR machine "&amp;$O83&amp;" at "&amp;TEXT($X83,"0.00")&amp;" per hr — build-up not supplied"),$AA83)</f>
        <v>2D/3D automated X-ray inspection for BGA solder joints. EMS automotive benchmark. Target £90/hr. Jun 2026</v>
      </c>
      <c r="N83" s="33" t="s">
        <v>1380</v>
      </c>
      <c r="O83" s="37" t="str">
        <f>IFERROR(INDEX(Mapping!$C$2:$C$549,MATCH($A83,Mapping!$A$2:$A$549,0)),"")</f>
        <v/>
      </c>
      <c r="P83" s="37">
        <f>IF($O83="",0,COUNTIFS('JLR Machines'!$A$2:$A$20001,$O83,'JLR Machines'!$C$2:$C$20001,IF(Settings!$B$2="","&lt;&gt;",Settings!$B$2),'JLR Machines'!$D$2:$D$20001,IF(Settings!$B$3="","&lt;&gt;",Settings!$B$3)))</f>
        <v>0</v>
      </c>
      <c r="Q83" s="39">
        <f>IF($P83&lt;&gt;1,0,SUMIFS('JLR Machines'!$G$2:$G$20001,'JLR Machines'!$A$2:$A$20001,$O83,'JLR Machines'!$C$2:$C$20001,IF(Settings!$B$2="","&lt;&gt;",Settings!$B$2),'JLR Machines'!$D$2:$D$20001,IF(Settings!$B$3="","&lt;&gt;",Settings!$B$3)))</f>
        <v>0</v>
      </c>
      <c r="R83" s="39">
        <f>IF($P83&lt;&gt;1,0,SUMIFS('JLR Machines'!$H$2:$H$20001,'JLR Machines'!$A$2:$A$20001,$O83,'JLR Machines'!$C$2:$C$20001,IF(Settings!$B$2="","&lt;&gt;",Settings!$B$2),'JLR Machines'!$D$2:$D$20001,IF(Settings!$B$3="","&lt;&gt;",Settings!$B$3)))</f>
        <v>0</v>
      </c>
      <c r="S83" s="39">
        <f>IF($P83&lt;&gt;1,0,SUMIFS('JLR Machines'!$I$2:$I$20001,'JLR Machines'!$A$2:$A$20001,$O83,'JLR Machines'!$C$2:$C$20001,IF(Settings!$B$2="","&lt;&gt;",Settings!$B$2),'JLR Machines'!$D$2:$D$20001,IF(Settings!$B$3="","&lt;&gt;",Settings!$B$3)))</f>
        <v>0</v>
      </c>
      <c r="T83" s="39">
        <f>IF($P83&lt;&gt;1,0,SUMIFS('JLR Machines'!$J$2:$J$20001,'JLR Machines'!$A$2:$A$20001,$O83,'JLR Machines'!$C$2:$C$20001,IF(Settings!$B$2="","&lt;&gt;",Settings!$B$2),'JLR Machines'!$D$2:$D$20001,IF(Settings!$B$3="","&lt;&gt;",Settings!$B$3)))</f>
        <v>0</v>
      </c>
      <c r="U83" s="39">
        <f>IF($P83&lt;&gt;1,0,SUMIFS('JLR Machines'!$K$2:$K$20001,'JLR Machines'!$A$2:$A$20001,$O83,'JLR Machines'!$C$2:$C$20001,IF(Settings!$B$2="","&lt;&gt;",Settings!$B$2),'JLR Machines'!$D$2:$D$20001,IF(Settings!$B$3="","&lt;&gt;",Settings!$B$3)))</f>
        <v>0</v>
      </c>
      <c r="V83" s="39">
        <f>IF($P83&lt;&gt;1,0,SUMIFS('JLR Machines'!$L$2:$L$20001,'JLR Machines'!$A$2:$A$20001,$O83,'JLR Machines'!$C$2:$C$20001,IF(Settings!$B$2="","&lt;&gt;",Settings!$B$2),'JLR Machines'!$D$2:$D$20001,IF(Settings!$B$3="","&lt;&gt;",Settings!$B$3)))</f>
        <v>0</v>
      </c>
      <c r="W83" s="39">
        <f>IF($P83&lt;&gt;1,0,SUMIFS('JLR Machines'!$M$2:$M$20001,'JLR Machines'!$A$2:$A$20001,$O83,'JLR Machines'!$C$2:$C$20001,IF(Settings!$B$2="","&lt;&gt;",Settings!$B$2),'JLR Machines'!$D$2:$D$20001,IF(Settings!$B$3="","&lt;&gt;",Settings!$B$3)))</f>
        <v>0</v>
      </c>
      <c r="X83" s="39">
        <f>IF($P83&lt;&gt;1,0,SUMIFS('JLR Machines'!$N$2:$N$20001,'JLR Machines'!$A$2:$A$20001,$O83,'JLR Machines'!$C$2:$C$20001,IF(Settings!$B$2="","&lt;&gt;",Settings!$B$2),'JLR Machines'!$D$2:$D$20001,IF(Settings!$B$3="","&lt;&gt;",Settings!$B$3)))</f>
        <v>0</v>
      </c>
      <c r="Y83" s="39">
        <f>$Q83+$R83+$S83+$T83+$U83+$V83+$W83</f>
        <v>0</v>
      </c>
      <c r="Z83" s="38">
        <f>IF($X83&lt;=0,0,ROUND((D83+E83+F83+G83+H83+I83)/3280-$X83,4))</f>
        <v>0</v>
      </c>
      <c r="AA83" s="40" t="s">
        <v>2249</v>
      </c>
      <c r="AB83" s="40" t="s">
        <v>2099</v>
      </c>
    </row>
    <row r="84" spans="1:28" x14ac:dyDescent="0.25">
      <c r="A84" s="32" t="s">
        <v>1088</v>
      </c>
      <c r="B84" s="33" t="s">
        <v>2250</v>
      </c>
      <c r="C84" s="33" t="s">
        <v>1379</v>
      </c>
      <c r="D84" s="41">
        <f>IF($X84&gt;0,IF($Y84&gt;0,MAX(0,$Q84+$X84-$Y84)*3280,$X84*3280),131560)</f>
        <v>131560</v>
      </c>
      <c r="E84" s="41">
        <f>IF($X84&gt;0,IF($Y84&gt;0,$S84*3280,0),55527)</f>
        <v>55527</v>
      </c>
      <c r="F84" s="41">
        <f>IF($X84&gt;0,IF($Y84&gt;0,$V84*3280,0),34957)</f>
        <v>34957</v>
      </c>
      <c r="G84" s="41">
        <f>IF($X84&gt;0,IF($Y84&gt;0,$R84*3280,0),25240)</f>
        <v>25240</v>
      </c>
      <c r="H84" s="41">
        <f>IF($X84&gt;0,IF($Y84&gt;0,($T84+$W84)*3280,0),85609)</f>
        <v>85609</v>
      </c>
      <c r="I84" s="41">
        <f>IF($X84&gt;0,IF($Y84&gt;0,$U84*3280,0),36600)</f>
        <v>36600</v>
      </c>
      <c r="J84" s="35">
        <v>4000</v>
      </c>
      <c r="K84" s="42">
        <v>0.82</v>
      </c>
      <c r="L84" s="36" t="str">
        <f>IF($X84&gt;0,IF($P84&lt;&gt;1,$AB84,IFERROR(INDEX('JLR Machines'!$D$2:$D$20001,MATCH($O84,'JLR Machines'!$A$2:$A$20001,0)),$AB84)),$AB84)</f>
        <v>2026-09-29</v>
      </c>
      <c r="M84" s="36" t="str">
        <f>IF($X84&gt;0,IF($Y84&gt;0,"JLR machine "&amp;$O84&amp;" at "&amp;TEXT($X84,"0.00")&amp;" per hr — build-up as supplied","JLR machine "&amp;$O84&amp;" at "&amp;TEXT($X84,"0.00")&amp;" per hr — build-up not supplied"),$AA84)</f>
        <v>In-circuit test fixture for IATF 16949 automotive boards. Target £110/hr. Jun 2026</v>
      </c>
      <c r="N84" s="33" t="s">
        <v>1380</v>
      </c>
      <c r="O84" s="37" t="str">
        <f>IFERROR(INDEX(Mapping!$C$2:$C$549,MATCH($A84,Mapping!$A$2:$A$549,0)),"")</f>
        <v/>
      </c>
      <c r="P84" s="37">
        <f>IF($O84="",0,COUNTIFS('JLR Machines'!$A$2:$A$20001,$O84,'JLR Machines'!$C$2:$C$20001,IF(Settings!$B$2="","&lt;&gt;",Settings!$B$2),'JLR Machines'!$D$2:$D$20001,IF(Settings!$B$3="","&lt;&gt;",Settings!$B$3)))</f>
        <v>0</v>
      </c>
      <c r="Q84" s="39">
        <f>IF($P84&lt;&gt;1,0,SUMIFS('JLR Machines'!$G$2:$G$20001,'JLR Machines'!$A$2:$A$20001,$O84,'JLR Machines'!$C$2:$C$20001,IF(Settings!$B$2="","&lt;&gt;",Settings!$B$2),'JLR Machines'!$D$2:$D$20001,IF(Settings!$B$3="","&lt;&gt;",Settings!$B$3)))</f>
        <v>0</v>
      </c>
      <c r="R84" s="39">
        <f>IF($P84&lt;&gt;1,0,SUMIFS('JLR Machines'!$H$2:$H$20001,'JLR Machines'!$A$2:$A$20001,$O84,'JLR Machines'!$C$2:$C$20001,IF(Settings!$B$2="","&lt;&gt;",Settings!$B$2),'JLR Machines'!$D$2:$D$20001,IF(Settings!$B$3="","&lt;&gt;",Settings!$B$3)))</f>
        <v>0</v>
      </c>
      <c r="S84" s="39">
        <f>IF($P84&lt;&gt;1,0,SUMIFS('JLR Machines'!$I$2:$I$20001,'JLR Machines'!$A$2:$A$20001,$O84,'JLR Machines'!$C$2:$C$20001,IF(Settings!$B$2="","&lt;&gt;",Settings!$B$2),'JLR Machines'!$D$2:$D$20001,IF(Settings!$B$3="","&lt;&gt;",Settings!$B$3)))</f>
        <v>0</v>
      </c>
      <c r="T84" s="39">
        <f>IF($P84&lt;&gt;1,0,SUMIFS('JLR Machines'!$J$2:$J$20001,'JLR Machines'!$A$2:$A$20001,$O84,'JLR Machines'!$C$2:$C$20001,IF(Settings!$B$2="","&lt;&gt;",Settings!$B$2),'JLR Machines'!$D$2:$D$20001,IF(Settings!$B$3="","&lt;&gt;",Settings!$B$3)))</f>
        <v>0</v>
      </c>
      <c r="U84" s="39">
        <f>IF($P84&lt;&gt;1,0,SUMIFS('JLR Machines'!$K$2:$K$20001,'JLR Machines'!$A$2:$A$20001,$O84,'JLR Machines'!$C$2:$C$20001,IF(Settings!$B$2="","&lt;&gt;",Settings!$B$2),'JLR Machines'!$D$2:$D$20001,IF(Settings!$B$3="","&lt;&gt;",Settings!$B$3)))</f>
        <v>0</v>
      </c>
      <c r="V84" s="39">
        <f>IF($P84&lt;&gt;1,0,SUMIFS('JLR Machines'!$L$2:$L$20001,'JLR Machines'!$A$2:$A$20001,$O84,'JLR Machines'!$C$2:$C$20001,IF(Settings!$B$2="","&lt;&gt;",Settings!$B$2),'JLR Machines'!$D$2:$D$20001,IF(Settings!$B$3="","&lt;&gt;",Settings!$B$3)))</f>
        <v>0</v>
      </c>
      <c r="W84" s="39">
        <f>IF($P84&lt;&gt;1,0,SUMIFS('JLR Machines'!$M$2:$M$20001,'JLR Machines'!$A$2:$A$20001,$O84,'JLR Machines'!$C$2:$C$20001,IF(Settings!$B$2="","&lt;&gt;",Settings!$B$2),'JLR Machines'!$D$2:$D$20001,IF(Settings!$B$3="","&lt;&gt;",Settings!$B$3)))</f>
        <v>0</v>
      </c>
      <c r="X84" s="39">
        <f>IF($P84&lt;&gt;1,0,SUMIFS('JLR Machines'!$N$2:$N$20001,'JLR Machines'!$A$2:$A$20001,$O84,'JLR Machines'!$C$2:$C$20001,IF(Settings!$B$2="","&lt;&gt;",Settings!$B$2),'JLR Machines'!$D$2:$D$20001,IF(Settings!$B$3="","&lt;&gt;",Settings!$B$3)))</f>
        <v>0</v>
      </c>
      <c r="Y84" s="39">
        <f>$Q84+$R84+$S84+$T84+$U84+$V84+$W84</f>
        <v>0</v>
      </c>
      <c r="Z84" s="38">
        <f>IF($X84&lt;=0,0,ROUND((D84+E84+F84+G84+H84+I84)/3280-$X84,4))</f>
        <v>0</v>
      </c>
      <c r="AA84" s="40" t="s">
        <v>2251</v>
      </c>
      <c r="AB84" s="40" t="s">
        <v>2099</v>
      </c>
    </row>
    <row r="85" spans="1:28" x14ac:dyDescent="0.25">
      <c r="A85" s="32" t="s">
        <v>1090</v>
      </c>
      <c r="B85" s="33" t="s">
        <v>2252</v>
      </c>
      <c r="C85" s="33" t="s">
        <v>1379</v>
      </c>
      <c r="D85" s="41">
        <f>IF($X85&gt;0,IF($Y85&gt;0,MAX(0,$Q85+$X85-$Y85)*3200,$X85*3200),25300)</f>
        <v>25300</v>
      </c>
      <c r="E85" s="41">
        <f>IF($X85&gt;0,IF($Y85&gt;0,$S85*3200,0),12115)</f>
        <v>12115</v>
      </c>
      <c r="F85" s="41">
        <f>IF($X85&gt;0,IF($Y85&gt;0,$V85*3200,0),20974)</f>
        <v>20974</v>
      </c>
      <c r="G85" s="41">
        <f>IF($X85&gt;0,IF($Y85&gt;0,$R85*3200,0),6058)</f>
        <v>6058</v>
      </c>
      <c r="H85" s="41">
        <f>IF($X85&gt;0,IF($Y85&gt;0,($T85+$W85)*3200,0),5036)</f>
        <v>5036</v>
      </c>
      <c r="I85" s="41">
        <f>IF($X85&gt;0,IF($Y85&gt;0,$U85*3200,0),3125)</f>
        <v>3125</v>
      </c>
      <c r="J85" s="35">
        <v>4000</v>
      </c>
      <c r="K85" s="42">
        <v>0.8</v>
      </c>
      <c r="L85" s="36" t="str">
        <f>IF($X85&gt;0,IF($P85&lt;&gt;1,$AB85,IFERROR(INDEX('JLR Machines'!$D$2:$D$20001,MATCH($O85,'JLR Machines'!$A$2:$A$20001,0)),$AB85)),$AB85)</f>
        <v>2026-09-29</v>
      </c>
      <c r="M85" s="36" t="str">
        <f>IF($X85&gt;0,IF($Y85&gt;0,"JLR machine "&amp;$O85&amp;" at "&amp;TEXT($X85,"0.00")&amp;" per hr — build-up as supplied","JLR machine "&amp;$O85&amp;" at "&amp;TEXT($X85,"0.00")&amp;" per hr — build-up not supplied"),$AA85)</f>
        <v>UK plastics benchmark. EBM for bottles/containers up to 5L. Jun 2026</v>
      </c>
      <c r="N85" s="33" t="s">
        <v>1380</v>
      </c>
      <c r="O85" s="37" t="str">
        <f>IFERROR(INDEX(Mapping!$C$2:$C$549,MATCH($A85,Mapping!$A$2:$A$549,0)),"")</f>
        <v/>
      </c>
      <c r="P85" s="37">
        <f>IF($O85="",0,COUNTIFS('JLR Machines'!$A$2:$A$20001,$O85,'JLR Machines'!$C$2:$C$20001,IF(Settings!$B$2="","&lt;&gt;",Settings!$B$2),'JLR Machines'!$D$2:$D$20001,IF(Settings!$B$3="","&lt;&gt;",Settings!$B$3)))</f>
        <v>0</v>
      </c>
      <c r="Q85" s="39">
        <f>IF($P85&lt;&gt;1,0,SUMIFS('JLR Machines'!$G$2:$G$20001,'JLR Machines'!$A$2:$A$20001,$O85,'JLR Machines'!$C$2:$C$20001,IF(Settings!$B$2="","&lt;&gt;",Settings!$B$2),'JLR Machines'!$D$2:$D$20001,IF(Settings!$B$3="","&lt;&gt;",Settings!$B$3)))</f>
        <v>0</v>
      </c>
      <c r="R85" s="39">
        <f>IF($P85&lt;&gt;1,0,SUMIFS('JLR Machines'!$H$2:$H$20001,'JLR Machines'!$A$2:$A$20001,$O85,'JLR Machines'!$C$2:$C$20001,IF(Settings!$B$2="","&lt;&gt;",Settings!$B$2),'JLR Machines'!$D$2:$D$20001,IF(Settings!$B$3="","&lt;&gt;",Settings!$B$3)))</f>
        <v>0</v>
      </c>
      <c r="S85" s="39">
        <f>IF($P85&lt;&gt;1,0,SUMIFS('JLR Machines'!$I$2:$I$20001,'JLR Machines'!$A$2:$A$20001,$O85,'JLR Machines'!$C$2:$C$20001,IF(Settings!$B$2="","&lt;&gt;",Settings!$B$2),'JLR Machines'!$D$2:$D$20001,IF(Settings!$B$3="","&lt;&gt;",Settings!$B$3)))</f>
        <v>0</v>
      </c>
      <c r="T85" s="39">
        <f>IF($P85&lt;&gt;1,0,SUMIFS('JLR Machines'!$J$2:$J$20001,'JLR Machines'!$A$2:$A$20001,$O85,'JLR Machines'!$C$2:$C$20001,IF(Settings!$B$2="","&lt;&gt;",Settings!$B$2),'JLR Machines'!$D$2:$D$20001,IF(Settings!$B$3="","&lt;&gt;",Settings!$B$3)))</f>
        <v>0</v>
      </c>
      <c r="U85" s="39">
        <f>IF($P85&lt;&gt;1,0,SUMIFS('JLR Machines'!$K$2:$K$20001,'JLR Machines'!$A$2:$A$20001,$O85,'JLR Machines'!$C$2:$C$20001,IF(Settings!$B$2="","&lt;&gt;",Settings!$B$2),'JLR Machines'!$D$2:$D$20001,IF(Settings!$B$3="","&lt;&gt;",Settings!$B$3)))</f>
        <v>0</v>
      </c>
      <c r="V85" s="39">
        <f>IF($P85&lt;&gt;1,0,SUMIFS('JLR Machines'!$L$2:$L$20001,'JLR Machines'!$A$2:$A$20001,$O85,'JLR Machines'!$C$2:$C$20001,IF(Settings!$B$2="","&lt;&gt;",Settings!$B$2),'JLR Machines'!$D$2:$D$20001,IF(Settings!$B$3="","&lt;&gt;",Settings!$B$3)))</f>
        <v>0</v>
      </c>
      <c r="W85" s="39">
        <f>IF($P85&lt;&gt;1,0,SUMIFS('JLR Machines'!$M$2:$M$20001,'JLR Machines'!$A$2:$A$20001,$O85,'JLR Machines'!$C$2:$C$20001,IF(Settings!$B$2="","&lt;&gt;",Settings!$B$2),'JLR Machines'!$D$2:$D$20001,IF(Settings!$B$3="","&lt;&gt;",Settings!$B$3)))</f>
        <v>0</v>
      </c>
      <c r="X85" s="39">
        <f>IF($P85&lt;&gt;1,0,SUMIFS('JLR Machines'!$N$2:$N$20001,'JLR Machines'!$A$2:$A$20001,$O85,'JLR Machines'!$C$2:$C$20001,IF(Settings!$B$2="","&lt;&gt;",Settings!$B$2),'JLR Machines'!$D$2:$D$20001,IF(Settings!$B$3="","&lt;&gt;",Settings!$B$3)))</f>
        <v>0</v>
      </c>
      <c r="Y85" s="39">
        <f>$Q85+$R85+$S85+$T85+$U85+$V85+$W85</f>
        <v>0</v>
      </c>
      <c r="Z85" s="38">
        <f>IF($X85&lt;=0,0,ROUND((D85+E85+F85+G85+H85+I85)/3200-$X85,4))</f>
        <v>0</v>
      </c>
      <c r="AA85" s="40" t="s">
        <v>2253</v>
      </c>
      <c r="AB85" s="40" t="s">
        <v>2099</v>
      </c>
    </row>
    <row r="86" spans="1:28" x14ac:dyDescent="0.25">
      <c r="A86" s="32" t="s">
        <v>1092</v>
      </c>
      <c r="B86" s="33" t="s">
        <v>2254</v>
      </c>
      <c r="C86" s="33" t="s">
        <v>1379</v>
      </c>
      <c r="D86" s="41">
        <f>IF($X86&gt;0,IF($Y86&gt;0,MAX(0,$Q86+$X86-$Y86)*3200,$X86*3200),45540)</f>
        <v>45540</v>
      </c>
      <c r="E86" s="41">
        <f>IF($X86&gt;0,IF($Y86&gt;0,$S86*3200,0),20192)</f>
        <v>20192</v>
      </c>
      <c r="F86" s="41">
        <f>IF($X86&gt;0,IF($Y86&gt;0,$V86*3200,0),34957)</f>
        <v>34957</v>
      </c>
      <c r="G86" s="41">
        <f>IF($X86&gt;0,IF($Y86&gt;0,$R86*3200,0),12115)</f>
        <v>12115</v>
      </c>
      <c r="H86" s="41">
        <f>IF($X86&gt;0,IF($Y86&gt;0,($T86+$W86)*3200,0),9065)</f>
        <v>9065</v>
      </c>
      <c r="I86" s="41">
        <f>IF($X86&gt;0,IF($Y86&gt;0,$U86*3200,0),5625)</f>
        <v>5625</v>
      </c>
      <c r="J86" s="35">
        <v>4000</v>
      </c>
      <c r="K86" s="42">
        <v>0.8</v>
      </c>
      <c r="L86" s="36" t="str">
        <f>IF($X86&gt;0,IF($P86&lt;&gt;1,$AB86,IFERROR(INDEX('JLR Machines'!$D$2:$D$20001,MATCH($O86,'JLR Machines'!$A$2:$A$20001,0)),$AB86)),$AB86)</f>
        <v>2026-09-29</v>
      </c>
      <c r="M86" s="36" t="str">
        <f>IF($X86&gt;0,IF($Y86&gt;0,"JLR machine "&amp;$O86&amp;" at "&amp;TEXT($X86,"0.00")&amp;" per hr — build-up as supplied","JLR machine "&amp;$O86&amp;" at "&amp;TEXT($X86,"0.00")&amp;" per hr — build-up not supplied"),$AA86)</f>
        <v>UK plastics benchmark. EBM for large industrial containers, automotive fuel tanks. Jun 2026</v>
      </c>
      <c r="N86" s="33" t="s">
        <v>1380</v>
      </c>
      <c r="O86" s="37" t="str">
        <f>IFERROR(INDEX(Mapping!$C$2:$C$549,MATCH($A86,Mapping!$A$2:$A$549,0)),"")</f>
        <v/>
      </c>
      <c r="P86" s="37">
        <f>IF($O86="",0,COUNTIFS('JLR Machines'!$A$2:$A$20001,$O86,'JLR Machines'!$C$2:$C$20001,IF(Settings!$B$2="","&lt;&gt;",Settings!$B$2),'JLR Machines'!$D$2:$D$20001,IF(Settings!$B$3="","&lt;&gt;",Settings!$B$3)))</f>
        <v>0</v>
      </c>
      <c r="Q86" s="39">
        <f>IF($P86&lt;&gt;1,0,SUMIFS('JLR Machines'!$G$2:$G$20001,'JLR Machines'!$A$2:$A$20001,$O86,'JLR Machines'!$C$2:$C$20001,IF(Settings!$B$2="","&lt;&gt;",Settings!$B$2),'JLR Machines'!$D$2:$D$20001,IF(Settings!$B$3="","&lt;&gt;",Settings!$B$3)))</f>
        <v>0</v>
      </c>
      <c r="R86" s="39">
        <f>IF($P86&lt;&gt;1,0,SUMIFS('JLR Machines'!$H$2:$H$20001,'JLR Machines'!$A$2:$A$20001,$O86,'JLR Machines'!$C$2:$C$20001,IF(Settings!$B$2="","&lt;&gt;",Settings!$B$2),'JLR Machines'!$D$2:$D$20001,IF(Settings!$B$3="","&lt;&gt;",Settings!$B$3)))</f>
        <v>0</v>
      </c>
      <c r="S86" s="39">
        <f>IF($P86&lt;&gt;1,0,SUMIFS('JLR Machines'!$I$2:$I$20001,'JLR Machines'!$A$2:$A$20001,$O86,'JLR Machines'!$C$2:$C$20001,IF(Settings!$B$2="","&lt;&gt;",Settings!$B$2),'JLR Machines'!$D$2:$D$20001,IF(Settings!$B$3="","&lt;&gt;",Settings!$B$3)))</f>
        <v>0</v>
      </c>
      <c r="T86" s="39">
        <f>IF($P86&lt;&gt;1,0,SUMIFS('JLR Machines'!$J$2:$J$20001,'JLR Machines'!$A$2:$A$20001,$O86,'JLR Machines'!$C$2:$C$20001,IF(Settings!$B$2="","&lt;&gt;",Settings!$B$2),'JLR Machines'!$D$2:$D$20001,IF(Settings!$B$3="","&lt;&gt;",Settings!$B$3)))</f>
        <v>0</v>
      </c>
      <c r="U86" s="39">
        <f>IF($P86&lt;&gt;1,0,SUMIFS('JLR Machines'!$K$2:$K$20001,'JLR Machines'!$A$2:$A$20001,$O86,'JLR Machines'!$C$2:$C$20001,IF(Settings!$B$2="","&lt;&gt;",Settings!$B$2),'JLR Machines'!$D$2:$D$20001,IF(Settings!$B$3="","&lt;&gt;",Settings!$B$3)))</f>
        <v>0</v>
      </c>
      <c r="V86" s="39">
        <f>IF($P86&lt;&gt;1,0,SUMIFS('JLR Machines'!$L$2:$L$20001,'JLR Machines'!$A$2:$A$20001,$O86,'JLR Machines'!$C$2:$C$20001,IF(Settings!$B$2="","&lt;&gt;",Settings!$B$2),'JLR Machines'!$D$2:$D$20001,IF(Settings!$B$3="","&lt;&gt;",Settings!$B$3)))</f>
        <v>0</v>
      </c>
      <c r="W86" s="39">
        <f>IF($P86&lt;&gt;1,0,SUMIFS('JLR Machines'!$M$2:$M$20001,'JLR Machines'!$A$2:$A$20001,$O86,'JLR Machines'!$C$2:$C$20001,IF(Settings!$B$2="","&lt;&gt;",Settings!$B$2),'JLR Machines'!$D$2:$D$20001,IF(Settings!$B$3="","&lt;&gt;",Settings!$B$3)))</f>
        <v>0</v>
      </c>
      <c r="X86" s="39">
        <f>IF($P86&lt;&gt;1,0,SUMIFS('JLR Machines'!$N$2:$N$20001,'JLR Machines'!$A$2:$A$20001,$O86,'JLR Machines'!$C$2:$C$20001,IF(Settings!$B$2="","&lt;&gt;",Settings!$B$2),'JLR Machines'!$D$2:$D$20001,IF(Settings!$B$3="","&lt;&gt;",Settings!$B$3)))</f>
        <v>0</v>
      </c>
      <c r="Y86" s="39">
        <f>$Q86+$R86+$S86+$T86+$U86+$V86+$W86</f>
        <v>0</v>
      </c>
      <c r="Z86" s="38">
        <f>IF($X86&lt;=0,0,ROUND((D86+E86+F86+G86+H86+I86)/3200-$X86,4))</f>
        <v>0</v>
      </c>
      <c r="AA86" s="40" t="s">
        <v>2255</v>
      </c>
      <c r="AB86" s="40" t="s">
        <v>2099</v>
      </c>
    </row>
    <row r="87" spans="1:28" x14ac:dyDescent="0.25">
      <c r="A87" s="32" t="s">
        <v>1094</v>
      </c>
      <c r="B87" s="33" t="s">
        <v>2256</v>
      </c>
      <c r="C87" s="33" t="s">
        <v>1379</v>
      </c>
      <c r="D87" s="41">
        <f>IF($X87&gt;0,IF($Y87&gt;0,MAX(0,$Q87+$X87-$Y87)*3280,$X87*3280),30360)</f>
        <v>30360</v>
      </c>
      <c r="E87" s="41">
        <f>IF($X87&gt;0,IF($Y87&gt;0,$S87*3280,0),14134)</f>
        <v>14134</v>
      </c>
      <c r="F87" s="41">
        <f>IF($X87&gt;0,IF($Y87&gt;0,$V87*3280,0),25635)</f>
        <v>25635</v>
      </c>
      <c r="G87" s="41">
        <f>IF($X87&gt;0,IF($Y87&gt;0,$R87*3280,0),7067)</f>
        <v>7067</v>
      </c>
      <c r="H87" s="41">
        <f>IF($X87&gt;0,IF($Y87&gt;0,($T87+$W87)*3280,0),6043)</f>
        <v>6043</v>
      </c>
      <c r="I87" s="41">
        <f>IF($X87&gt;0,IF($Y87&gt;0,$U87*3280,0),3750)</f>
        <v>3750</v>
      </c>
      <c r="J87" s="35">
        <v>4000</v>
      </c>
      <c r="K87" s="42">
        <v>0.82</v>
      </c>
      <c r="L87" s="36" t="str">
        <f>IF($X87&gt;0,IF($P87&lt;&gt;1,$AB87,IFERROR(INDEX('JLR Machines'!$D$2:$D$20001,MATCH($O87,'JLR Machines'!$A$2:$A$20001,0)),$AB87)),$AB87)</f>
        <v>2026-09-29</v>
      </c>
      <c r="M87" s="36" t="str">
        <f>IF($X87&gt;0,IF($Y87&gt;0,"JLR machine "&amp;$O87&amp;" at "&amp;TEXT($X87,"0.00")&amp;" per hr — build-up as supplied","JLR machine "&amp;$O87&amp;" at "&amp;TEXT($X87,"0.00")&amp;" per hr — build-up not supplied"),$AA87)</f>
        <v>UK plastics benchmark Jun 2026. Continuous 2-head EBM for HDPE/LDPE/PP bottles and containers 1–5L. High output, straightforward tooling, typical dairy/detergent packaging.</v>
      </c>
      <c r="N87" s="33" t="s">
        <v>1380</v>
      </c>
      <c r="O87" s="37" t="str">
        <f>IFERROR(INDEX(Mapping!$C$2:$C$549,MATCH($A87,Mapping!$A$2:$A$549,0)),"")</f>
        <v/>
      </c>
      <c r="P87" s="37">
        <f>IF($O87="",0,COUNTIFS('JLR Machines'!$A$2:$A$20001,$O87,'JLR Machines'!$C$2:$C$20001,IF(Settings!$B$2="","&lt;&gt;",Settings!$B$2),'JLR Machines'!$D$2:$D$20001,IF(Settings!$B$3="","&lt;&gt;",Settings!$B$3)))</f>
        <v>0</v>
      </c>
      <c r="Q87" s="39">
        <f>IF($P87&lt;&gt;1,0,SUMIFS('JLR Machines'!$G$2:$G$20001,'JLR Machines'!$A$2:$A$20001,$O87,'JLR Machines'!$C$2:$C$20001,IF(Settings!$B$2="","&lt;&gt;",Settings!$B$2),'JLR Machines'!$D$2:$D$20001,IF(Settings!$B$3="","&lt;&gt;",Settings!$B$3)))</f>
        <v>0</v>
      </c>
      <c r="R87" s="39">
        <f>IF($P87&lt;&gt;1,0,SUMIFS('JLR Machines'!$H$2:$H$20001,'JLR Machines'!$A$2:$A$20001,$O87,'JLR Machines'!$C$2:$C$20001,IF(Settings!$B$2="","&lt;&gt;",Settings!$B$2),'JLR Machines'!$D$2:$D$20001,IF(Settings!$B$3="","&lt;&gt;",Settings!$B$3)))</f>
        <v>0</v>
      </c>
      <c r="S87" s="39">
        <f>IF($P87&lt;&gt;1,0,SUMIFS('JLR Machines'!$I$2:$I$20001,'JLR Machines'!$A$2:$A$20001,$O87,'JLR Machines'!$C$2:$C$20001,IF(Settings!$B$2="","&lt;&gt;",Settings!$B$2),'JLR Machines'!$D$2:$D$20001,IF(Settings!$B$3="","&lt;&gt;",Settings!$B$3)))</f>
        <v>0</v>
      </c>
      <c r="T87" s="39">
        <f>IF($P87&lt;&gt;1,0,SUMIFS('JLR Machines'!$J$2:$J$20001,'JLR Machines'!$A$2:$A$20001,$O87,'JLR Machines'!$C$2:$C$20001,IF(Settings!$B$2="","&lt;&gt;",Settings!$B$2),'JLR Machines'!$D$2:$D$20001,IF(Settings!$B$3="","&lt;&gt;",Settings!$B$3)))</f>
        <v>0</v>
      </c>
      <c r="U87" s="39">
        <f>IF($P87&lt;&gt;1,0,SUMIFS('JLR Machines'!$K$2:$K$20001,'JLR Machines'!$A$2:$A$20001,$O87,'JLR Machines'!$C$2:$C$20001,IF(Settings!$B$2="","&lt;&gt;",Settings!$B$2),'JLR Machines'!$D$2:$D$20001,IF(Settings!$B$3="","&lt;&gt;",Settings!$B$3)))</f>
        <v>0</v>
      </c>
      <c r="V87" s="39">
        <f>IF($P87&lt;&gt;1,0,SUMIFS('JLR Machines'!$L$2:$L$20001,'JLR Machines'!$A$2:$A$20001,$O87,'JLR Machines'!$C$2:$C$20001,IF(Settings!$B$2="","&lt;&gt;",Settings!$B$2),'JLR Machines'!$D$2:$D$20001,IF(Settings!$B$3="","&lt;&gt;",Settings!$B$3)))</f>
        <v>0</v>
      </c>
      <c r="W87" s="39">
        <f>IF($P87&lt;&gt;1,0,SUMIFS('JLR Machines'!$M$2:$M$20001,'JLR Machines'!$A$2:$A$20001,$O87,'JLR Machines'!$C$2:$C$20001,IF(Settings!$B$2="","&lt;&gt;",Settings!$B$2),'JLR Machines'!$D$2:$D$20001,IF(Settings!$B$3="","&lt;&gt;",Settings!$B$3)))</f>
        <v>0</v>
      </c>
      <c r="X87" s="39">
        <f>IF($P87&lt;&gt;1,0,SUMIFS('JLR Machines'!$N$2:$N$20001,'JLR Machines'!$A$2:$A$20001,$O87,'JLR Machines'!$C$2:$C$20001,IF(Settings!$B$2="","&lt;&gt;",Settings!$B$2),'JLR Machines'!$D$2:$D$20001,IF(Settings!$B$3="","&lt;&gt;",Settings!$B$3)))</f>
        <v>0</v>
      </c>
      <c r="Y87" s="39">
        <f>$Q87+$R87+$S87+$T87+$U87+$V87+$W87</f>
        <v>0</v>
      </c>
      <c r="Z87" s="38">
        <f>IF($X87&lt;=0,0,ROUND((D87+E87+F87+G87+H87+I87)/3280-$X87,4))</f>
        <v>0</v>
      </c>
      <c r="AA87" s="40" t="s">
        <v>2257</v>
      </c>
      <c r="AB87" s="40" t="s">
        <v>2099</v>
      </c>
    </row>
    <row r="88" spans="1:28" x14ac:dyDescent="0.25">
      <c r="A88" s="32" t="s">
        <v>1096</v>
      </c>
      <c r="B88" s="33" t="s">
        <v>2258</v>
      </c>
      <c r="C88" s="33" t="s">
        <v>1379</v>
      </c>
      <c r="D88" s="41">
        <f>IF($X88&gt;0,IF($Y88&gt;0,MAX(0,$Q88+$X88-$Y88)*3120,$X88*3120),60720)</f>
        <v>60720</v>
      </c>
      <c r="E88" s="41">
        <f>IF($X88&gt;0,IF($Y88&gt;0,$S88*3120,0),25240)</f>
        <v>25240</v>
      </c>
      <c r="F88" s="41">
        <f>IF($X88&gt;0,IF($Y88&gt;0,$V88*3120,0),40783)</f>
        <v>40783</v>
      </c>
      <c r="G88" s="41">
        <f>IF($X88&gt;0,IF($Y88&gt;0,$R88*3120,0),12115)</f>
        <v>12115</v>
      </c>
      <c r="H88" s="41">
        <f>IF($X88&gt;0,IF($Y88&gt;0,($T88+$W88)*3120,0),12086)</f>
        <v>12086</v>
      </c>
      <c r="I88" s="41">
        <f>IF($X88&gt;0,IF($Y88&gt;0,$U88*3120,0),7500)</f>
        <v>7500</v>
      </c>
      <c r="J88" s="35">
        <v>4000</v>
      </c>
      <c r="K88" s="42">
        <v>0.78</v>
      </c>
      <c r="L88" s="36" t="str">
        <f>IF($X88&gt;0,IF($P88&lt;&gt;1,$AB88,IFERROR(INDEX('JLR Machines'!$D$2:$D$20001,MATCH($O88,'JLR Machines'!$A$2:$A$20001,0)),$AB88)),$AB88)</f>
        <v>2026-09-29</v>
      </c>
      <c r="M88" s="36" t="str">
        <f>IF($X88&gt;0,IF($Y88&gt;0,"JLR machine "&amp;$O88&amp;" at "&amp;TEXT($X88,"0.00")&amp;" per hr — build-up as supplied","JLR machine "&amp;$O88&amp;" at "&amp;TEXT($X88,"0.00")&amp;" per hr — build-up not supplied"),$AA88)</f>
        <v>UK plastics benchmark Jun 2026. 3-layer co-extrusion EBM — HDPE/regrind/HDPE or HDPE/barrier/HDPE for fuel tanks and barrier packaging. Higher capital and manning than mono-layer.</v>
      </c>
      <c r="N88" s="33" t="s">
        <v>1380</v>
      </c>
      <c r="O88" s="37" t="str">
        <f>IFERROR(INDEX(Mapping!$C$2:$C$549,MATCH($A88,Mapping!$A$2:$A$549,0)),"")</f>
        <v/>
      </c>
      <c r="P88" s="37">
        <f>IF($O88="",0,COUNTIFS('JLR Machines'!$A$2:$A$20001,$O88,'JLR Machines'!$C$2:$C$20001,IF(Settings!$B$2="","&lt;&gt;",Settings!$B$2),'JLR Machines'!$D$2:$D$20001,IF(Settings!$B$3="","&lt;&gt;",Settings!$B$3)))</f>
        <v>0</v>
      </c>
      <c r="Q88" s="39">
        <f>IF($P88&lt;&gt;1,0,SUMIFS('JLR Machines'!$G$2:$G$20001,'JLR Machines'!$A$2:$A$20001,$O88,'JLR Machines'!$C$2:$C$20001,IF(Settings!$B$2="","&lt;&gt;",Settings!$B$2),'JLR Machines'!$D$2:$D$20001,IF(Settings!$B$3="","&lt;&gt;",Settings!$B$3)))</f>
        <v>0</v>
      </c>
      <c r="R88" s="39">
        <f>IF($P88&lt;&gt;1,0,SUMIFS('JLR Machines'!$H$2:$H$20001,'JLR Machines'!$A$2:$A$20001,$O88,'JLR Machines'!$C$2:$C$20001,IF(Settings!$B$2="","&lt;&gt;",Settings!$B$2),'JLR Machines'!$D$2:$D$20001,IF(Settings!$B$3="","&lt;&gt;",Settings!$B$3)))</f>
        <v>0</v>
      </c>
      <c r="S88" s="39">
        <f>IF($P88&lt;&gt;1,0,SUMIFS('JLR Machines'!$I$2:$I$20001,'JLR Machines'!$A$2:$A$20001,$O88,'JLR Machines'!$C$2:$C$20001,IF(Settings!$B$2="","&lt;&gt;",Settings!$B$2),'JLR Machines'!$D$2:$D$20001,IF(Settings!$B$3="","&lt;&gt;",Settings!$B$3)))</f>
        <v>0</v>
      </c>
      <c r="T88" s="39">
        <f>IF($P88&lt;&gt;1,0,SUMIFS('JLR Machines'!$J$2:$J$20001,'JLR Machines'!$A$2:$A$20001,$O88,'JLR Machines'!$C$2:$C$20001,IF(Settings!$B$2="","&lt;&gt;",Settings!$B$2),'JLR Machines'!$D$2:$D$20001,IF(Settings!$B$3="","&lt;&gt;",Settings!$B$3)))</f>
        <v>0</v>
      </c>
      <c r="U88" s="39">
        <f>IF($P88&lt;&gt;1,0,SUMIFS('JLR Machines'!$K$2:$K$20001,'JLR Machines'!$A$2:$A$20001,$O88,'JLR Machines'!$C$2:$C$20001,IF(Settings!$B$2="","&lt;&gt;",Settings!$B$2),'JLR Machines'!$D$2:$D$20001,IF(Settings!$B$3="","&lt;&gt;",Settings!$B$3)))</f>
        <v>0</v>
      </c>
      <c r="V88" s="39">
        <f>IF($P88&lt;&gt;1,0,SUMIFS('JLR Machines'!$L$2:$L$20001,'JLR Machines'!$A$2:$A$20001,$O88,'JLR Machines'!$C$2:$C$20001,IF(Settings!$B$2="","&lt;&gt;",Settings!$B$2),'JLR Machines'!$D$2:$D$20001,IF(Settings!$B$3="","&lt;&gt;",Settings!$B$3)))</f>
        <v>0</v>
      </c>
      <c r="W88" s="39">
        <f>IF($P88&lt;&gt;1,0,SUMIFS('JLR Machines'!$M$2:$M$20001,'JLR Machines'!$A$2:$A$20001,$O88,'JLR Machines'!$C$2:$C$20001,IF(Settings!$B$2="","&lt;&gt;",Settings!$B$2),'JLR Machines'!$D$2:$D$20001,IF(Settings!$B$3="","&lt;&gt;",Settings!$B$3)))</f>
        <v>0</v>
      </c>
      <c r="X88" s="39">
        <f>IF($P88&lt;&gt;1,0,SUMIFS('JLR Machines'!$N$2:$N$20001,'JLR Machines'!$A$2:$A$20001,$O88,'JLR Machines'!$C$2:$C$20001,IF(Settings!$B$2="","&lt;&gt;",Settings!$B$2),'JLR Machines'!$D$2:$D$20001,IF(Settings!$B$3="","&lt;&gt;",Settings!$B$3)))</f>
        <v>0</v>
      </c>
      <c r="Y88" s="39">
        <f>$Q88+$R88+$S88+$T88+$U88+$V88+$W88</f>
        <v>0</v>
      </c>
      <c r="Z88" s="38">
        <f>IF($X88&lt;=0,0,ROUND((D88+E88+F88+G88+H88+I88)/3120-$X88,4))</f>
        <v>0</v>
      </c>
      <c r="AA88" s="40" t="s">
        <v>2259</v>
      </c>
      <c r="AB88" s="40" t="s">
        <v>2099</v>
      </c>
    </row>
    <row r="89" spans="1:28" x14ac:dyDescent="0.25">
      <c r="A89" s="32" t="s">
        <v>1098</v>
      </c>
      <c r="B89" s="33" t="s">
        <v>2260</v>
      </c>
      <c r="C89" s="33" t="s">
        <v>1379</v>
      </c>
      <c r="D89" s="41">
        <f>IF($X89&gt;0,IF($Y89&gt;0,MAX(0,$Q89+$X89-$Y89)*3000,$X89*3000),101200)</f>
        <v>101200</v>
      </c>
      <c r="E89" s="41">
        <f>IF($X89&gt;0,IF($Y89&gt;0,$S89*3000,0),40383)</f>
        <v>40383</v>
      </c>
      <c r="F89" s="41">
        <f>IF($X89&gt;0,IF($Y89&gt;0,$V89*3000,0),58261)</f>
        <v>58261</v>
      </c>
      <c r="G89" s="41">
        <f>IF($X89&gt;0,IF($Y89&gt;0,$R89*3000,0),18173)</f>
        <v>18173</v>
      </c>
      <c r="H89" s="41">
        <f>IF($X89&gt;0,IF($Y89&gt;0,($T89+$W89)*3000,0),20143)</f>
        <v>20143</v>
      </c>
      <c r="I89" s="41">
        <f>IF($X89&gt;0,IF($Y89&gt;0,$U89*3000,0),12500)</f>
        <v>12500</v>
      </c>
      <c r="J89" s="35">
        <v>4000</v>
      </c>
      <c r="K89" s="42">
        <v>0.75</v>
      </c>
      <c r="L89" s="36" t="str">
        <f>IF($X89&gt;0,IF($P89&lt;&gt;1,$AB89,IFERROR(INDEX('JLR Machines'!$D$2:$D$20001,MATCH($O89,'JLR Machines'!$A$2:$A$20001,0)),$AB89)),$AB89)</f>
        <v>2026-09-29</v>
      </c>
      <c r="M89" s="36" t="str">
        <f>IF($X89&gt;0,IF($Y89&gt;0,"JLR machine "&amp;$O89&amp;" at "&amp;TEXT($X89,"0.00")&amp;" per hr — build-up as supplied","JLR machine "&amp;$O89&amp;" at "&amp;TEXT($X89,"0.00")&amp;" per hr — build-up not supplied"),$AA89)</f>
        <v>UK plastics benchmark Jun 2026. 5-layer co-ex EBM — HDPE/tie/EVOH/tie/HDPE for automotive fuel systems, food packaging requiring high oxygen/fuel barrier. Complex, high capital.</v>
      </c>
      <c r="N89" s="33" t="s">
        <v>1380</v>
      </c>
      <c r="O89" s="37" t="str">
        <f>IFERROR(INDEX(Mapping!$C$2:$C$549,MATCH($A89,Mapping!$A$2:$A$549,0)),"")</f>
        <v/>
      </c>
      <c r="P89" s="37">
        <f>IF($O89="",0,COUNTIFS('JLR Machines'!$A$2:$A$20001,$O89,'JLR Machines'!$C$2:$C$20001,IF(Settings!$B$2="","&lt;&gt;",Settings!$B$2),'JLR Machines'!$D$2:$D$20001,IF(Settings!$B$3="","&lt;&gt;",Settings!$B$3)))</f>
        <v>0</v>
      </c>
      <c r="Q89" s="39">
        <f>IF($P89&lt;&gt;1,0,SUMIFS('JLR Machines'!$G$2:$G$20001,'JLR Machines'!$A$2:$A$20001,$O89,'JLR Machines'!$C$2:$C$20001,IF(Settings!$B$2="","&lt;&gt;",Settings!$B$2),'JLR Machines'!$D$2:$D$20001,IF(Settings!$B$3="","&lt;&gt;",Settings!$B$3)))</f>
        <v>0</v>
      </c>
      <c r="R89" s="39">
        <f>IF($P89&lt;&gt;1,0,SUMIFS('JLR Machines'!$H$2:$H$20001,'JLR Machines'!$A$2:$A$20001,$O89,'JLR Machines'!$C$2:$C$20001,IF(Settings!$B$2="","&lt;&gt;",Settings!$B$2),'JLR Machines'!$D$2:$D$20001,IF(Settings!$B$3="","&lt;&gt;",Settings!$B$3)))</f>
        <v>0</v>
      </c>
      <c r="S89" s="39">
        <f>IF($P89&lt;&gt;1,0,SUMIFS('JLR Machines'!$I$2:$I$20001,'JLR Machines'!$A$2:$A$20001,$O89,'JLR Machines'!$C$2:$C$20001,IF(Settings!$B$2="","&lt;&gt;",Settings!$B$2),'JLR Machines'!$D$2:$D$20001,IF(Settings!$B$3="","&lt;&gt;",Settings!$B$3)))</f>
        <v>0</v>
      </c>
      <c r="T89" s="39">
        <f>IF($P89&lt;&gt;1,0,SUMIFS('JLR Machines'!$J$2:$J$20001,'JLR Machines'!$A$2:$A$20001,$O89,'JLR Machines'!$C$2:$C$20001,IF(Settings!$B$2="","&lt;&gt;",Settings!$B$2),'JLR Machines'!$D$2:$D$20001,IF(Settings!$B$3="","&lt;&gt;",Settings!$B$3)))</f>
        <v>0</v>
      </c>
      <c r="U89" s="39">
        <f>IF($P89&lt;&gt;1,0,SUMIFS('JLR Machines'!$K$2:$K$20001,'JLR Machines'!$A$2:$A$20001,$O89,'JLR Machines'!$C$2:$C$20001,IF(Settings!$B$2="","&lt;&gt;",Settings!$B$2),'JLR Machines'!$D$2:$D$20001,IF(Settings!$B$3="","&lt;&gt;",Settings!$B$3)))</f>
        <v>0</v>
      </c>
      <c r="V89" s="39">
        <f>IF($P89&lt;&gt;1,0,SUMIFS('JLR Machines'!$L$2:$L$20001,'JLR Machines'!$A$2:$A$20001,$O89,'JLR Machines'!$C$2:$C$20001,IF(Settings!$B$2="","&lt;&gt;",Settings!$B$2),'JLR Machines'!$D$2:$D$20001,IF(Settings!$B$3="","&lt;&gt;",Settings!$B$3)))</f>
        <v>0</v>
      </c>
      <c r="W89" s="39">
        <f>IF($P89&lt;&gt;1,0,SUMIFS('JLR Machines'!$M$2:$M$20001,'JLR Machines'!$A$2:$A$20001,$O89,'JLR Machines'!$C$2:$C$20001,IF(Settings!$B$2="","&lt;&gt;",Settings!$B$2),'JLR Machines'!$D$2:$D$20001,IF(Settings!$B$3="","&lt;&gt;",Settings!$B$3)))</f>
        <v>0</v>
      </c>
      <c r="X89" s="39">
        <f>IF($P89&lt;&gt;1,0,SUMIFS('JLR Machines'!$N$2:$N$20001,'JLR Machines'!$A$2:$A$20001,$O89,'JLR Machines'!$C$2:$C$20001,IF(Settings!$B$2="","&lt;&gt;",Settings!$B$2),'JLR Machines'!$D$2:$D$20001,IF(Settings!$B$3="","&lt;&gt;",Settings!$B$3)))</f>
        <v>0</v>
      </c>
      <c r="Y89" s="39">
        <f>$Q89+$R89+$S89+$T89+$U89+$V89+$W89</f>
        <v>0</v>
      </c>
      <c r="Z89" s="38">
        <f>IF($X89&lt;=0,0,ROUND((D89+E89+F89+G89+H89+I89)/3000-$X89,4))</f>
        <v>0</v>
      </c>
      <c r="AA89" s="40" t="s">
        <v>2261</v>
      </c>
      <c r="AB89" s="40" t="s">
        <v>2099</v>
      </c>
    </row>
    <row r="90" spans="1:28" x14ac:dyDescent="0.25">
      <c r="A90" s="32" t="s">
        <v>1100</v>
      </c>
      <c r="B90" s="33" t="s">
        <v>2262</v>
      </c>
      <c r="C90" s="33" t="s">
        <v>1379</v>
      </c>
      <c r="D90" s="41">
        <f>IF($X90&gt;0,IF($Y90&gt;0,MAX(0,$Q90+$X90-$Y90)*3080,$X90*3080),70840)</f>
        <v>70840</v>
      </c>
      <c r="E90" s="41">
        <f>IF($X90&gt;0,IF($Y90&gt;0,$S90*3080,0),32307)</f>
        <v>32307</v>
      </c>
      <c r="F90" s="41">
        <f>IF($X90&gt;0,IF($Y90&gt;0,$V90*3080,0),52435)</f>
        <v>52435</v>
      </c>
      <c r="G90" s="41">
        <f>IF($X90&gt;0,IF($Y90&gt;0,$R90*3080,0),20192)</f>
        <v>20192</v>
      </c>
      <c r="H90" s="41">
        <f>IF($X90&gt;0,IF($Y90&gt;0,($T90+$W90)*3080,0),14100)</f>
        <v>14100</v>
      </c>
      <c r="I90" s="41">
        <f>IF($X90&gt;0,IF($Y90&gt;0,$U90*3080,0),8750)</f>
        <v>8750</v>
      </c>
      <c r="J90" s="35">
        <v>4000</v>
      </c>
      <c r="K90" s="42">
        <v>0.77</v>
      </c>
      <c r="L90" s="36" t="str">
        <f>IF($X90&gt;0,IF($P90&lt;&gt;1,$AB90,IFERROR(INDEX('JLR Machines'!$D$2:$D$20001,MATCH($O90,'JLR Machines'!$A$2:$A$20001,0)),$AB90)),$AB90)</f>
        <v>2026-09-29</v>
      </c>
      <c r="M90" s="36" t="str">
        <f>IF($X90&gt;0,IF($Y90&gt;0,"JLR machine "&amp;$O90&amp;" at "&amp;TEXT($X90,"0.00")&amp;" per hr — build-up as supplied","JLR machine "&amp;$O90&amp;" at "&amp;TEXT($X90,"0.00")&amp;" per hr — build-up not supplied"),$AA90)</f>
        <v>UK plastics benchmark Jun 2026. Large accumulator-head EBM for drums (20–200L), IBCs, automotive fuel tanks. Long cycle, single cavity, high tonnage clamp.</v>
      </c>
      <c r="N90" s="33" t="s">
        <v>1380</v>
      </c>
      <c r="O90" s="37" t="str">
        <f>IFERROR(INDEX(Mapping!$C$2:$C$549,MATCH($A90,Mapping!$A$2:$A$549,0)),"")</f>
        <v/>
      </c>
      <c r="P90" s="37">
        <f>IF($O90="",0,COUNTIFS('JLR Machines'!$A$2:$A$20001,$O90,'JLR Machines'!$C$2:$C$20001,IF(Settings!$B$2="","&lt;&gt;",Settings!$B$2),'JLR Machines'!$D$2:$D$20001,IF(Settings!$B$3="","&lt;&gt;",Settings!$B$3)))</f>
        <v>0</v>
      </c>
      <c r="Q90" s="39">
        <f>IF($P90&lt;&gt;1,0,SUMIFS('JLR Machines'!$G$2:$G$20001,'JLR Machines'!$A$2:$A$20001,$O90,'JLR Machines'!$C$2:$C$20001,IF(Settings!$B$2="","&lt;&gt;",Settings!$B$2),'JLR Machines'!$D$2:$D$20001,IF(Settings!$B$3="","&lt;&gt;",Settings!$B$3)))</f>
        <v>0</v>
      </c>
      <c r="R90" s="39">
        <f>IF($P90&lt;&gt;1,0,SUMIFS('JLR Machines'!$H$2:$H$20001,'JLR Machines'!$A$2:$A$20001,$O90,'JLR Machines'!$C$2:$C$20001,IF(Settings!$B$2="","&lt;&gt;",Settings!$B$2),'JLR Machines'!$D$2:$D$20001,IF(Settings!$B$3="","&lt;&gt;",Settings!$B$3)))</f>
        <v>0</v>
      </c>
      <c r="S90" s="39">
        <f>IF($P90&lt;&gt;1,0,SUMIFS('JLR Machines'!$I$2:$I$20001,'JLR Machines'!$A$2:$A$20001,$O90,'JLR Machines'!$C$2:$C$20001,IF(Settings!$B$2="","&lt;&gt;",Settings!$B$2),'JLR Machines'!$D$2:$D$20001,IF(Settings!$B$3="","&lt;&gt;",Settings!$B$3)))</f>
        <v>0</v>
      </c>
      <c r="T90" s="39">
        <f>IF($P90&lt;&gt;1,0,SUMIFS('JLR Machines'!$J$2:$J$20001,'JLR Machines'!$A$2:$A$20001,$O90,'JLR Machines'!$C$2:$C$20001,IF(Settings!$B$2="","&lt;&gt;",Settings!$B$2),'JLR Machines'!$D$2:$D$20001,IF(Settings!$B$3="","&lt;&gt;",Settings!$B$3)))</f>
        <v>0</v>
      </c>
      <c r="U90" s="39">
        <f>IF($P90&lt;&gt;1,0,SUMIFS('JLR Machines'!$K$2:$K$20001,'JLR Machines'!$A$2:$A$20001,$O90,'JLR Machines'!$C$2:$C$20001,IF(Settings!$B$2="","&lt;&gt;",Settings!$B$2),'JLR Machines'!$D$2:$D$20001,IF(Settings!$B$3="","&lt;&gt;",Settings!$B$3)))</f>
        <v>0</v>
      </c>
      <c r="V90" s="39">
        <f>IF($P90&lt;&gt;1,0,SUMIFS('JLR Machines'!$L$2:$L$20001,'JLR Machines'!$A$2:$A$20001,$O90,'JLR Machines'!$C$2:$C$20001,IF(Settings!$B$2="","&lt;&gt;",Settings!$B$2),'JLR Machines'!$D$2:$D$20001,IF(Settings!$B$3="","&lt;&gt;",Settings!$B$3)))</f>
        <v>0</v>
      </c>
      <c r="W90" s="39">
        <f>IF($P90&lt;&gt;1,0,SUMIFS('JLR Machines'!$M$2:$M$20001,'JLR Machines'!$A$2:$A$20001,$O90,'JLR Machines'!$C$2:$C$20001,IF(Settings!$B$2="","&lt;&gt;",Settings!$B$2),'JLR Machines'!$D$2:$D$20001,IF(Settings!$B$3="","&lt;&gt;",Settings!$B$3)))</f>
        <v>0</v>
      </c>
      <c r="X90" s="39">
        <f>IF($P90&lt;&gt;1,0,SUMIFS('JLR Machines'!$N$2:$N$20001,'JLR Machines'!$A$2:$A$20001,$O90,'JLR Machines'!$C$2:$C$20001,IF(Settings!$B$2="","&lt;&gt;",Settings!$B$2),'JLR Machines'!$D$2:$D$20001,IF(Settings!$B$3="","&lt;&gt;",Settings!$B$3)))</f>
        <v>0</v>
      </c>
      <c r="Y90" s="39">
        <f>$Q90+$R90+$S90+$T90+$U90+$V90+$W90</f>
        <v>0</v>
      </c>
      <c r="Z90" s="38">
        <f>IF($X90&lt;=0,0,ROUND((D90+E90+F90+G90+H90+I90)/3080-$X90,4))</f>
        <v>0</v>
      </c>
      <c r="AA90" s="40" t="s">
        <v>2263</v>
      </c>
      <c r="AB90" s="40" t="s">
        <v>2099</v>
      </c>
    </row>
    <row r="91" spans="1:28" x14ac:dyDescent="0.25">
      <c r="A91" s="32" t="s">
        <v>1102</v>
      </c>
      <c r="B91" s="33" t="s">
        <v>2264</v>
      </c>
      <c r="C91" s="33" t="s">
        <v>1379</v>
      </c>
      <c r="D91" s="41">
        <f>IF($X91&gt;0,IF($Y91&gt;0,MAX(0,$Q91+$X91-$Y91)*4400,$X91*4400),80960)</f>
        <v>80960</v>
      </c>
      <c r="E91" s="41">
        <f>IF($X91&gt;0,IF($Y91&gt;0,$S91*4400,0),28268)</f>
        <v>28268</v>
      </c>
      <c r="F91" s="41">
        <f>IF($X91&gt;0,IF($Y91&gt;0,$V91*4400,0),29130)</f>
        <v>29130</v>
      </c>
      <c r="G91" s="41">
        <f>IF($X91&gt;0,IF($Y91&gt;0,$R91*4400,0),15144)</f>
        <v>15144</v>
      </c>
      <c r="H91" s="41">
        <f>IF($X91&gt;0,IF($Y91&gt;0,($T91+$W91)*4400,0),16115)</f>
        <v>16115</v>
      </c>
      <c r="I91" s="41">
        <f>IF($X91&gt;0,IF($Y91&gt;0,$U91*4400,0),10000)</f>
        <v>10000</v>
      </c>
      <c r="J91" s="35">
        <v>5000</v>
      </c>
      <c r="K91" s="42">
        <v>0.88</v>
      </c>
      <c r="L91" s="36" t="str">
        <f>IF($X91&gt;0,IF($P91&lt;&gt;1,$AB91,IFERROR(INDEX('JLR Machines'!$D$2:$D$20001,MATCH($O91,'JLR Machines'!$A$2:$A$20001,0)),$AB91)),$AB91)</f>
        <v>2026-09-29</v>
      </c>
      <c r="M91" s="36" t="str">
        <f>IF($X91&gt;0,IF($Y91&gt;0,"JLR machine "&amp;$O91&amp;" at "&amp;TEXT($X91,"0.00")&amp;" per hr — build-up as supplied","JLR machine "&amp;$O91&amp;" at "&amp;TEXT($X91,"0.00")&amp;" per hr — build-up not supplied"),$AA91)</f>
        <v>UK plastics benchmark Jun 2026. Injection blow moulding rotary — 3/4-station indexing. No flash, dimensional accuracy ±0.05mm. Pharma vials, cosmetics jars, eye-drop bottles. PP/PE/PET.</v>
      </c>
      <c r="N91" s="33" t="s">
        <v>1380</v>
      </c>
      <c r="O91" s="37" t="str">
        <f>IFERROR(INDEX(Mapping!$C$2:$C$549,MATCH($A91,Mapping!$A$2:$A$549,0)),"")</f>
        <v/>
      </c>
      <c r="P91" s="37">
        <f>IF($O91="",0,COUNTIFS('JLR Machines'!$A$2:$A$20001,$O91,'JLR Machines'!$C$2:$C$20001,IF(Settings!$B$2="","&lt;&gt;",Settings!$B$2),'JLR Machines'!$D$2:$D$20001,IF(Settings!$B$3="","&lt;&gt;",Settings!$B$3)))</f>
        <v>0</v>
      </c>
      <c r="Q91" s="39">
        <f>IF($P91&lt;&gt;1,0,SUMIFS('JLR Machines'!$G$2:$G$20001,'JLR Machines'!$A$2:$A$20001,$O91,'JLR Machines'!$C$2:$C$20001,IF(Settings!$B$2="","&lt;&gt;",Settings!$B$2),'JLR Machines'!$D$2:$D$20001,IF(Settings!$B$3="","&lt;&gt;",Settings!$B$3)))</f>
        <v>0</v>
      </c>
      <c r="R91" s="39">
        <f>IF($P91&lt;&gt;1,0,SUMIFS('JLR Machines'!$H$2:$H$20001,'JLR Machines'!$A$2:$A$20001,$O91,'JLR Machines'!$C$2:$C$20001,IF(Settings!$B$2="","&lt;&gt;",Settings!$B$2),'JLR Machines'!$D$2:$D$20001,IF(Settings!$B$3="","&lt;&gt;",Settings!$B$3)))</f>
        <v>0</v>
      </c>
      <c r="S91" s="39">
        <f>IF($P91&lt;&gt;1,0,SUMIFS('JLR Machines'!$I$2:$I$20001,'JLR Machines'!$A$2:$A$20001,$O91,'JLR Machines'!$C$2:$C$20001,IF(Settings!$B$2="","&lt;&gt;",Settings!$B$2),'JLR Machines'!$D$2:$D$20001,IF(Settings!$B$3="","&lt;&gt;",Settings!$B$3)))</f>
        <v>0</v>
      </c>
      <c r="T91" s="39">
        <f>IF($P91&lt;&gt;1,0,SUMIFS('JLR Machines'!$J$2:$J$20001,'JLR Machines'!$A$2:$A$20001,$O91,'JLR Machines'!$C$2:$C$20001,IF(Settings!$B$2="","&lt;&gt;",Settings!$B$2),'JLR Machines'!$D$2:$D$20001,IF(Settings!$B$3="","&lt;&gt;",Settings!$B$3)))</f>
        <v>0</v>
      </c>
      <c r="U91" s="39">
        <f>IF($P91&lt;&gt;1,0,SUMIFS('JLR Machines'!$K$2:$K$20001,'JLR Machines'!$A$2:$A$20001,$O91,'JLR Machines'!$C$2:$C$20001,IF(Settings!$B$2="","&lt;&gt;",Settings!$B$2),'JLR Machines'!$D$2:$D$20001,IF(Settings!$B$3="","&lt;&gt;",Settings!$B$3)))</f>
        <v>0</v>
      </c>
      <c r="V91" s="39">
        <f>IF($P91&lt;&gt;1,0,SUMIFS('JLR Machines'!$L$2:$L$20001,'JLR Machines'!$A$2:$A$20001,$O91,'JLR Machines'!$C$2:$C$20001,IF(Settings!$B$2="","&lt;&gt;",Settings!$B$2),'JLR Machines'!$D$2:$D$20001,IF(Settings!$B$3="","&lt;&gt;",Settings!$B$3)))</f>
        <v>0</v>
      </c>
      <c r="W91" s="39">
        <f>IF($P91&lt;&gt;1,0,SUMIFS('JLR Machines'!$M$2:$M$20001,'JLR Machines'!$A$2:$A$20001,$O91,'JLR Machines'!$C$2:$C$20001,IF(Settings!$B$2="","&lt;&gt;",Settings!$B$2),'JLR Machines'!$D$2:$D$20001,IF(Settings!$B$3="","&lt;&gt;",Settings!$B$3)))</f>
        <v>0</v>
      </c>
      <c r="X91" s="39">
        <f>IF($P91&lt;&gt;1,0,SUMIFS('JLR Machines'!$N$2:$N$20001,'JLR Machines'!$A$2:$A$20001,$O91,'JLR Machines'!$C$2:$C$20001,IF(Settings!$B$2="","&lt;&gt;",Settings!$B$2),'JLR Machines'!$D$2:$D$20001,IF(Settings!$B$3="","&lt;&gt;",Settings!$B$3)))</f>
        <v>0</v>
      </c>
      <c r="Y91" s="39">
        <f>$Q91+$R91+$S91+$T91+$U91+$V91+$W91</f>
        <v>0</v>
      </c>
      <c r="Z91" s="38">
        <f>IF($X91&lt;=0,0,ROUND((D91+E91+F91+G91+H91+I91)/4400-$X91,4))</f>
        <v>0</v>
      </c>
      <c r="AA91" s="40" t="s">
        <v>2265</v>
      </c>
      <c r="AB91" s="40" t="s">
        <v>2099</v>
      </c>
    </row>
    <row r="92" spans="1:28" x14ac:dyDescent="0.25">
      <c r="A92" s="32" t="s">
        <v>1104</v>
      </c>
      <c r="B92" s="33" t="s">
        <v>2266</v>
      </c>
      <c r="C92" s="33" t="s">
        <v>1379</v>
      </c>
      <c r="D92" s="41">
        <f>IF($X92&gt;0,IF($Y92&gt;0,MAX(0,$Q92+$X92-$Y92)*3825,$X92*3825),55660)</f>
        <v>55660</v>
      </c>
      <c r="E92" s="41">
        <f>IF($X92&gt;0,IF($Y92&gt;0,$S92*3825,0),20192)</f>
        <v>20192</v>
      </c>
      <c r="F92" s="41">
        <f>IF($X92&gt;0,IF($Y92&gt;0,$V92*3825,0),23304)</f>
        <v>23304</v>
      </c>
      <c r="G92" s="41">
        <f>IF($X92&gt;0,IF($Y92&gt;0,$R92*3825,0),12115)</f>
        <v>12115</v>
      </c>
      <c r="H92" s="41">
        <f>IF($X92&gt;0,IF($Y92&gt;0,($T92+$W92)*3825,0),11079)</f>
        <v>11079</v>
      </c>
      <c r="I92" s="41">
        <f>IF($X92&gt;0,IF($Y92&gt;0,$U92*3825,0),6875)</f>
        <v>6875</v>
      </c>
      <c r="J92" s="35">
        <v>4500</v>
      </c>
      <c r="K92" s="42">
        <v>0.85</v>
      </c>
      <c r="L92" s="36" t="str">
        <f>IF($X92&gt;0,IF($P92&lt;&gt;1,$AB92,IFERROR(INDEX('JLR Machines'!$D$2:$D$20001,MATCH($O92,'JLR Machines'!$A$2:$A$20001,0)),$AB92)),$AB92)</f>
        <v>2026-09-29</v>
      </c>
      <c r="M92" s="36" t="str">
        <f>IF($X92&gt;0,IF($Y92&gt;0,"JLR machine "&amp;$O92&amp;" at "&amp;TEXT($X92,"0.00")&amp;" per hr — build-up as supplied","JLR machine "&amp;$O92&amp;" at "&amp;TEXT($X92,"0.00")&amp;" per hr — build-up not supplied"),$AA92)</f>
        <v>UK plastics benchmark Jun 2026. Injection blow moulding linear indexing. Wide-mouth jars, pharmaceutical bottles, narrow-neck containers. No flash. PP/PE.</v>
      </c>
      <c r="N92" s="33" t="s">
        <v>1380</v>
      </c>
      <c r="O92" s="37" t="str">
        <f>IFERROR(INDEX(Mapping!$C$2:$C$549,MATCH($A92,Mapping!$A$2:$A$549,0)),"")</f>
        <v/>
      </c>
      <c r="P92" s="37">
        <f>IF($O92="",0,COUNTIFS('JLR Machines'!$A$2:$A$20001,$O92,'JLR Machines'!$C$2:$C$20001,IF(Settings!$B$2="","&lt;&gt;",Settings!$B$2),'JLR Machines'!$D$2:$D$20001,IF(Settings!$B$3="","&lt;&gt;",Settings!$B$3)))</f>
        <v>0</v>
      </c>
      <c r="Q92" s="39">
        <f>IF($P92&lt;&gt;1,0,SUMIFS('JLR Machines'!$G$2:$G$20001,'JLR Machines'!$A$2:$A$20001,$O92,'JLR Machines'!$C$2:$C$20001,IF(Settings!$B$2="","&lt;&gt;",Settings!$B$2),'JLR Machines'!$D$2:$D$20001,IF(Settings!$B$3="","&lt;&gt;",Settings!$B$3)))</f>
        <v>0</v>
      </c>
      <c r="R92" s="39">
        <f>IF($P92&lt;&gt;1,0,SUMIFS('JLR Machines'!$H$2:$H$20001,'JLR Machines'!$A$2:$A$20001,$O92,'JLR Machines'!$C$2:$C$20001,IF(Settings!$B$2="","&lt;&gt;",Settings!$B$2),'JLR Machines'!$D$2:$D$20001,IF(Settings!$B$3="","&lt;&gt;",Settings!$B$3)))</f>
        <v>0</v>
      </c>
      <c r="S92" s="39">
        <f>IF($P92&lt;&gt;1,0,SUMIFS('JLR Machines'!$I$2:$I$20001,'JLR Machines'!$A$2:$A$20001,$O92,'JLR Machines'!$C$2:$C$20001,IF(Settings!$B$2="","&lt;&gt;",Settings!$B$2),'JLR Machines'!$D$2:$D$20001,IF(Settings!$B$3="","&lt;&gt;",Settings!$B$3)))</f>
        <v>0</v>
      </c>
      <c r="T92" s="39">
        <f>IF($P92&lt;&gt;1,0,SUMIFS('JLR Machines'!$J$2:$J$20001,'JLR Machines'!$A$2:$A$20001,$O92,'JLR Machines'!$C$2:$C$20001,IF(Settings!$B$2="","&lt;&gt;",Settings!$B$2),'JLR Machines'!$D$2:$D$20001,IF(Settings!$B$3="","&lt;&gt;",Settings!$B$3)))</f>
        <v>0</v>
      </c>
      <c r="U92" s="39">
        <f>IF($P92&lt;&gt;1,0,SUMIFS('JLR Machines'!$K$2:$K$20001,'JLR Machines'!$A$2:$A$20001,$O92,'JLR Machines'!$C$2:$C$20001,IF(Settings!$B$2="","&lt;&gt;",Settings!$B$2),'JLR Machines'!$D$2:$D$20001,IF(Settings!$B$3="","&lt;&gt;",Settings!$B$3)))</f>
        <v>0</v>
      </c>
      <c r="V92" s="39">
        <f>IF($P92&lt;&gt;1,0,SUMIFS('JLR Machines'!$L$2:$L$20001,'JLR Machines'!$A$2:$A$20001,$O92,'JLR Machines'!$C$2:$C$20001,IF(Settings!$B$2="","&lt;&gt;",Settings!$B$2),'JLR Machines'!$D$2:$D$20001,IF(Settings!$B$3="","&lt;&gt;",Settings!$B$3)))</f>
        <v>0</v>
      </c>
      <c r="W92" s="39">
        <f>IF($P92&lt;&gt;1,0,SUMIFS('JLR Machines'!$M$2:$M$20001,'JLR Machines'!$A$2:$A$20001,$O92,'JLR Machines'!$C$2:$C$20001,IF(Settings!$B$2="","&lt;&gt;",Settings!$B$2),'JLR Machines'!$D$2:$D$20001,IF(Settings!$B$3="","&lt;&gt;",Settings!$B$3)))</f>
        <v>0</v>
      </c>
      <c r="X92" s="39">
        <f>IF($P92&lt;&gt;1,0,SUMIFS('JLR Machines'!$N$2:$N$20001,'JLR Machines'!$A$2:$A$20001,$O92,'JLR Machines'!$C$2:$C$20001,IF(Settings!$B$2="","&lt;&gt;",Settings!$B$2),'JLR Machines'!$D$2:$D$20001,IF(Settings!$B$3="","&lt;&gt;",Settings!$B$3)))</f>
        <v>0</v>
      </c>
      <c r="Y92" s="39">
        <f>$Q92+$R92+$S92+$T92+$U92+$V92+$W92</f>
        <v>0</v>
      </c>
      <c r="Z92" s="38">
        <f>IF($X92&lt;=0,0,ROUND((D92+E92+F92+G92+H92+I92)/3825-$X92,4))</f>
        <v>0</v>
      </c>
      <c r="AA92" s="40" t="s">
        <v>2267</v>
      </c>
      <c r="AB92" s="40" t="s">
        <v>2099</v>
      </c>
    </row>
    <row r="93" spans="1:28" x14ac:dyDescent="0.25">
      <c r="A93" s="32" t="s">
        <v>1106</v>
      </c>
      <c r="B93" s="33" t="s">
        <v>2268</v>
      </c>
      <c r="C93" s="33" t="s">
        <v>1379</v>
      </c>
      <c r="D93" s="41">
        <f>IF($X93&gt;0,IF($Y93&gt;0,MAX(0,$Q93+$X93-$Y93)*3600,$X93*3600),65780)</f>
        <v>65780</v>
      </c>
      <c r="E93" s="41">
        <f>IF($X93&gt;0,IF($Y93&gt;0,$S93*3600,0),24230)</f>
        <v>24230</v>
      </c>
      <c r="F93" s="41">
        <f>IF($X93&gt;0,IF($Y93&gt;0,$V93*3600,0),40783)</f>
        <v>40783</v>
      </c>
      <c r="G93" s="41">
        <f>IF($X93&gt;0,IF($Y93&gt;0,$R93*3600,0),14135)</f>
        <v>14135</v>
      </c>
      <c r="H93" s="41">
        <f>IF($X93&gt;0,IF($Y93&gt;0,($T93+$W93)*3600,0),13093)</f>
        <v>13093</v>
      </c>
      <c r="I93" s="41">
        <f>IF($X93&gt;0,IF($Y93&gt;0,$U93*3600,0),8125)</f>
        <v>8125</v>
      </c>
      <c r="J93" s="35">
        <v>4500</v>
      </c>
      <c r="K93" s="42">
        <v>0.8</v>
      </c>
      <c r="L93" s="36" t="str">
        <f>IF($X93&gt;0,IF($P93&lt;&gt;1,$AB93,IFERROR(INDEX('JLR Machines'!$D$2:$D$20001,MATCH($O93,'JLR Machines'!$A$2:$A$20001,0)),$AB93)),$AB93)</f>
        <v>2026-09-29</v>
      </c>
      <c r="M93" s="36" t="str">
        <f>IF($X93&gt;0,IF($Y93&gt;0,"JLR machine "&amp;$O93&amp;" at "&amp;TEXT($X93,"0.00")&amp;" per hr — build-up as supplied","JLR machine "&amp;$O93&amp;" at "&amp;TEXT($X93,"0.00")&amp;" per hr — build-up not supplied"),$AA93)</f>
        <v>UK plastics benchmark Jun 2026. Single-stage stretch blow moulding — preform injection and stretch-blow in one machine. PET/PP wide-mouth jars, cosmetics, condiment bottles. Excellent clarity.</v>
      </c>
      <c r="N93" s="33" t="s">
        <v>1380</v>
      </c>
      <c r="O93" s="37" t="str">
        <f>IFERROR(INDEX(Mapping!$C$2:$C$549,MATCH($A93,Mapping!$A$2:$A$549,0)),"")</f>
        <v/>
      </c>
      <c r="P93" s="37">
        <f>IF($O93="",0,COUNTIFS('JLR Machines'!$A$2:$A$20001,$O93,'JLR Machines'!$C$2:$C$20001,IF(Settings!$B$2="","&lt;&gt;",Settings!$B$2),'JLR Machines'!$D$2:$D$20001,IF(Settings!$B$3="","&lt;&gt;",Settings!$B$3)))</f>
        <v>0</v>
      </c>
      <c r="Q93" s="39">
        <f>IF($P93&lt;&gt;1,0,SUMIFS('JLR Machines'!$G$2:$G$20001,'JLR Machines'!$A$2:$A$20001,$O93,'JLR Machines'!$C$2:$C$20001,IF(Settings!$B$2="","&lt;&gt;",Settings!$B$2),'JLR Machines'!$D$2:$D$20001,IF(Settings!$B$3="","&lt;&gt;",Settings!$B$3)))</f>
        <v>0</v>
      </c>
      <c r="R93" s="39">
        <f>IF($P93&lt;&gt;1,0,SUMIFS('JLR Machines'!$H$2:$H$20001,'JLR Machines'!$A$2:$A$20001,$O93,'JLR Machines'!$C$2:$C$20001,IF(Settings!$B$2="","&lt;&gt;",Settings!$B$2),'JLR Machines'!$D$2:$D$20001,IF(Settings!$B$3="","&lt;&gt;",Settings!$B$3)))</f>
        <v>0</v>
      </c>
      <c r="S93" s="39">
        <f>IF($P93&lt;&gt;1,0,SUMIFS('JLR Machines'!$I$2:$I$20001,'JLR Machines'!$A$2:$A$20001,$O93,'JLR Machines'!$C$2:$C$20001,IF(Settings!$B$2="","&lt;&gt;",Settings!$B$2),'JLR Machines'!$D$2:$D$20001,IF(Settings!$B$3="","&lt;&gt;",Settings!$B$3)))</f>
        <v>0</v>
      </c>
      <c r="T93" s="39">
        <f>IF($P93&lt;&gt;1,0,SUMIFS('JLR Machines'!$J$2:$J$20001,'JLR Machines'!$A$2:$A$20001,$O93,'JLR Machines'!$C$2:$C$20001,IF(Settings!$B$2="","&lt;&gt;",Settings!$B$2),'JLR Machines'!$D$2:$D$20001,IF(Settings!$B$3="","&lt;&gt;",Settings!$B$3)))</f>
        <v>0</v>
      </c>
      <c r="U93" s="39">
        <f>IF($P93&lt;&gt;1,0,SUMIFS('JLR Machines'!$K$2:$K$20001,'JLR Machines'!$A$2:$A$20001,$O93,'JLR Machines'!$C$2:$C$20001,IF(Settings!$B$2="","&lt;&gt;",Settings!$B$2),'JLR Machines'!$D$2:$D$20001,IF(Settings!$B$3="","&lt;&gt;",Settings!$B$3)))</f>
        <v>0</v>
      </c>
      <c r="V93" s="39">
        <f>IF($P93&lt;&gt;1,0,SUMIFS('JLR Machines'!$L$2:$L$20001,'JLR Machines'!$A$2:$A$20001,$O93,'JLR Machines'!$C$2:$C$20001,IF(Settings!$B$2="","&lt;&gt;",Settings!$B$2),'JLR Machines'!$D$2:$D$20001,IF(Settings!$B$3="","&lt;&gt;",Settings!$B$3)))</f>
        <v>0</v>
      </c>
      <c r="W93" s="39">
        <f>IF($P93&lt;&gt;1,0,SUMIFS('JLR Machines'!$M$2:$M$20001,'JLR Machines'!$A$2:$A$20001,$O93,'JLR Machines'!$C$2:$C$20001,IF(Settings!$B$2="","&lt;&gt;",Settings!$B$2),'JLR Machines'!$D$2:$D$20001,IF(Settings!$B$3="","&lt;&gt;",Settings!$B$3)))</f>
        <v>0</v>
      </c>
      <c r="X93" s="39">
        <f>IF($P93&lt;&gt;1,0,SUMIFS('JLR Machines'!$N$2:$N$20001,'JLR Machines'!$A$2:$A$20001,$O93,'JLR Machines'!$C$2:$C$20001,IF(Settings!$B$2="","&lt;&gt;",Settings!$B$2),'JLR Machines'!$D$2:$D$20001,IF(Settings!$B$3="","&lt;&gt;",Settings!$B$3)))</f>
        <v>0</v>
      </c>
      <c r="Y93" s="39">
        <f>$Q93+$R93+$S93+$T93+$U93+$V93+$W93</f>
        <v>0</v>
      </c>
      <c r="Z93" s="38">
        <f>IF($X93&lt;=0,0,ROUND((D93+E93+F93+G93+H93+I93)/3600-$X93,4))</f>
        <v>0</v>
      </c>
      <c r="AA93" s="40" t="s">
        <v>2269</v>
      </c>
      <c r="AB93" s="40" t="s">
        <v>2099</v>
      </c>
    </row>
    <row r="94" spans="1:28" x14ac:dyDescent="0.25">
      <c r="A94" s="32" t="s">
        <v>1108</v>
      </c>
      <c r="B94" s="33" t="s">
        <v>2270</v>
      </c>
      <c r="C94" s="33" t="s">
        <v>1379</v>
      </c>
      <c r="D94" s="41">
        <f>IF($X94&gt;0,IF($Y94&gt;0,MAX(0,$Q94+$X94-$Y94)*5400,$X94*5400),91080)</f>
        <v>91080</v>
      </c>
      <c r="E94" s="41">
        <f>IF($X94&gt;0,IF($Y94&gt;0,$S94*5400,0),35335)</f>
        <v>35335</v>
      </c>
      <c r="F94" s="41">
        <f>IF($X94&gt;0,IF($Y94&gt;0,$V94*5400,0),46609)</f>
        <v>46609</v>
      </c>
      <c r="G94" s="41">
        <f>IF($X94&gt;0,IF($Y94&gt;0,$R94*5400,0),16154)</f>
        <v>16154</v>
      </c>
      <c r="H94" s="41">
        <f>IF($X94&gt;0,IF($Y94&gt;0,($T94+$W94)*5400,0),18129)</f>
        <v>18129</v>
      </c>
      <c r="I94" s="41">
        <f>IF($X94&gt;0,IF($Y94&gt;0,$U94*5400,0),11250)</f>
        <v>11250</v>
      </c>
      <c r="J94" s="35">
        <v>6000</v>
      </c>
      <c r="K94" s="42">
        <v>0.9</v>
      </c>
      <c r="L94" s="36" t="str">
        <f>IF($X94&gt;0,IF($P94&lt;&gt;1,$AB94,IFERROR(INDEX('JLR Machines'!$D$2:$D$20001,MATCH($O94,'JLR Machines'!$A$2:$A$20001,0)),$AB94)),$AB94)</f>
        <v>2026-09-29</v>
      </c>
      <c r="M94" s="36" t="str">
        <f>IF($X94&gt;0,IF($Y94&gt;0,"JLR machine "&amp;$O94&amp;" at "&amp;TEXT($X94,"0.00")&amp;" per hr — build-up as supplied","JLR machine "&amp;$O94&amp;" at "&amp;TEXT($X94,"0.00")&amp;" per hr — build-up not supplied"),$AA94)</f>
        <v>UK plastics benchmark Jun 2026. Two-stage reheat SBM — preforms made separately, reheated and blown at 20,000–80,000 bph. Dominant for PET water/CSD/juice bottles. Very low per-part cost at volume.</v>
      </c>
      <c r="N94" s="33" t="s">
        <v>1380</v>
      </c>
      <c r="O94" s="37" t="str">
        <f>IFERROR(INDEX(Mapping!$C$2:$C$549,MATCH($A94,Mapping!$A$2:$A$549,0)),"")</f>
        <v/>
      </c>
      <c r="P94" s="37">
        <f>IF($O94="",0,COUNTIFS('JLR Machines'!$A$2:$A$20001,$O94,'JLR Machines'!$C$2:$C$20001,IF(Settings!$B$2="","&lt;&gt;",Settings!$B$2),'JLR Machines'!$D$2:$D$20001,IF(Settings!$B$3="","&lt;&gt;",Settings!$B$3)))</f>
        <v>0</v>
      </c>
      <c r="Q94" s="39">
        <f>IF($P94&lt;&gt;1,0,SUMIFS('JLR Machines'!$G$2:$G$20001,'JLR Machines'!$A$2:$A$20001,$O94,'JLR Machines'!$C$2:$C$20001,IF(Settings!$B$2="","&lt;&gt;",Settings!$B$2),'JLR Machines'!$D$2:$D$20001,IF(Settings!$B$3="","&lt;&gt;",Settings!$B$3)))</f>
        <v>0</v>
      </c>
      <c r="R94" s="39">
        <f>IF($P94&lt;&gt;1,0,SUMIFS('JLR Machines'!$H$2:$H$20001,'JLR Machines'!$A$2:$A$20001,$O94,'JLR Machines'!$C$2:$C$20001,IF(Settings!$B$2="","&lt;&gt;",Settings!$B$2),'JLR Machines'!$D$2:$D$20001,IF(Settings!$B$3="","&lt;&gt;",Settings!$B$3)))</f>
        <v>0</v>
      </c>
      <c r="S94" s="39">
        <f>IF($P94&lt;&gt;1,0,SUMIFS('JLR Machines'!$I$2:$I$20001,'JLR Machines'!$A$2:$A$20001,$O94,'JLR Machines'!$C$2:$C$20001,IF(Settings!$B$2="","&lt;&gt;",Settings!$B$2),'JLR Machines'!$D$2:$D$20001,IF(Settings!$B$3="","&lt;&gt;",Settings!$B$3)))</f>
        <v>0</v>
      </c>
      <c r="T94" s="39">
        <f>IF($P94&lt;&gt;1,0,SUMIFS('JLR Machines'!$J$2:$J$20001,'JLR Machines'!$A$2:$A$20001,$O94,'JLR Machines'!$C$2:$C$20001,IF(Settings!$B$2="","&lt;&gt;",Settings!$B$2),'JLR Machines'!$D$2:$D$20001,IF(Settings!$B$3="","&lt;&gt;",Settings!$B$3)))</f>
        <v>0</v>
      </c>
      <c r="U94" s="39">
        <f>IF($P94&lt;&gt;1,0,SUMIFS('JLR Machines'!$K$2:$K$20001,'JLR Machines'!$A$2:$A$20001,$O94,'JLR Machines'!$C$2:$C$20001,IF(Settings!$B$2="","&lt;&gt;",Settings!$B$2),'JLR Machines'!$D$2:$D$20001,IF(Settings!$B$3="","&lt;&gt;",Settings!$B$3)))</f>
        <v>0</v>
      </c>
      <c r="V94" s="39">
        <f>IF($P94&lt;&gt;1,0,SUMIFS('JLR Machines'!$L$2:$L$20001,'JLR Machines'!$A$2:$A$20001,$O94,'JLR Machines'!$C$2:$C$20001,IF(Settings!$B$2="","&lt;&gt;",Settings!$B$2),'JLR Machines'!$D$2:$D$20001,IF(Settings!$B$3="","&lt;&gt;",Settings!$B$3)))</f>
        <v>0</v>
      </c>
      <c r="W94" s="39">
        <f>IF($P94&lt;&gt;1,0,SUMIFS('JLR Machines'!$M$2:$M$20001,'JLR Machines'!$A$2:$A$20001,$O94,'JLR Machines'!$C$2:$C$20001,IF(Settings!$B$2="","&lt;&gt;",Settings!$B$2),'JLR Machines'!$D$2:$D$20001,IF(Settings!$B$3="","&lt;&gt;",Settings!$B$3)))</f>
        <v>0</v>
      </c>
      <c r="X94" s="39">
        <f>IF($P94&lt;&gt;1,0,SUMIFS('JLR Machines'!$N$2:$N$20001,'JLR Machines'!$A$2:$A$20001,$O94,'JLR Machines'!$C$2:$C$20001,IF(Settings!$B$2="","&lt;&gt;",Settings!$B$2),'JLR Machines'!$D$2:$D$20001,IF(Settings!$B$3="","&lt;&gt;",Settings!$B$3)))</f>
        <v>0</v>
      </c>
      <c r="Y94" s="39">
        <f>$Q94+$R94+$S94+$T94+$U94+$V94+$W94</f>
        <v>0</v>
      </c>
      <c r="Z94" s="38">
        <f>IF($X94&lt;=0,0,ROUND((D94+E94+F94+G94+H94+I94)/5400-$X94,4))</f>
        <v>0</v>
      </c>
      <c r="AA94" s="40" t="s">
        <v>2271</v>
      </c>
      <c r="AB94" s="40" t="s">
        <v>2099</v>
      </c>
    </row>
    <row r="95" spans="1:28" x14ac:dyDescent="0.25">
      <c r="A95" s="32" t="s">
        <v>1110</v>
      </c>
      <c r="B95" s="33" t="s">
        <v>2272</v>
      </c>
      <c r="C95" s="33" t="s">
        <v>1379</v>
      </c>
      <c r="D95" s="41">
        <f>IF($X95&gt;0,IF($Y95&gt;0,MAX(0,$Q95+$X95-$Y95)*3400,$X95*3400),15180)</f>
        <v>15180</v>
      </c>
      <c r="E95" s="41">
        <f>IF($X95&gt;0,IF($Y95&gt;0,$S95*3400,0),6058)</f>
        <v>6058</v>
      </c>
      <c r="F95" s="41">
        <f>IF($X95&gt;0,IF($Y95&gt;0,$V95*3400,0),9322)</f>
        <v>9322</v>
      </c>
      <c r="G95" s="41">
        <f>IF($X95&gt;0,IF($Y95&gt;0,$R95*3400,0),6058)</f>
        <v>6058</v>
      </c>
      <c r="H95" s="41">
        <f>IF($X95&gt;0,IF($Y95&gt;0,($T95+$W95)*3400,0),3022)</f>
        <v>3022</v>
      </c>
      <c r="I95" s="41">
        <f>IF($X95&gt;0,IF($Y95&gt;0,$U95*3400,0),1875)</f>
        <v>1875</v>
      </c>
      <c r="J95" s="35">
        <v>4000</v>
      </c>
      <c r="K95" s="42">
        <v>0.85</v>
      </c>
      <c r="L95" s="36" t="str">
        <f>IF($X95&gt;0,IF($P95&lt;&gt;1,$AB95,IFERROR(INDEX('JLR Machines'!$D$2:$D$20001,MATCH($O95,'JLR Machines'!$A$2:$A$20001,0)),$AB95)),$AB95)</f>
        <v>2026-09-29</v>
      </c>
      <c r="M95" s="36" t="str">
        <f>IF($X95&gt;0,IF($Y95&gt;0,"JLR machine "&amp;$O95&amp;" at "&amp;TEXT($X95,"0.00")&amp;" per hr — build-up as supplied","JLR machine "&amp;$O95&amp;" at "&amp;TEXT($X95,"0.00")&amp;" per hr — build-up not supplied"),$AA95)</f>
        <v>UK plastics benchmark Jun 2026. Automated deflash trim station / robot for EBM parts. Removes pinch-off flash from bottles, tanks, automotive parts. 6–15s per part cycle.</v>
      </c>
      <c r="N95" s="33" t="s">
        <v>1380</v>
      </c>
      <c r="O95" s="37" t="str">
        <f>IFERROR(INDEX(Mapping!$C$2:$C$549,MATCH($A95,Mapping!$A$2:$A$549,0)),"")</f>
        <v/>
      </c>
      <c r="P95" s="37">
        <f>IF($O95="",0,COUNTIFS('JLR Machines'!$A$2:$A$20001,$O95,'JLR Machines'!$C$2:$C$20001,IF(Settings!$B$2="","&lt;&gt;",Settings!$B$2),'JLR Machines'!$D$2:$D$20001,IF(Settings!$B$3="","&lt;&gt;",Settings!$B$3)))</f>
        <v>0</v>
      </c>
      <c r="Q95" s="39">
        <f>IF($P95&lt;&gt;1,0,SUMIFS('JLR Machines'!$G$2:$G$20001,'JLR Machines'!$A$2:$A$20001,$O95,'JLR Machines'!$C$2:$C$20001,IF(Settings!$B$2="","&lt;&gt;",Settings!$B$2),'JLR Machines'!$D$2:$D$20001,IF(Settings!$B$3="","&lt;&gt;",Settings!$B$3)))</f>
        <v>0</v>
      </c>
      <c r="R95" s="39">
        <f>IF($P95&lt;&gt;1,0,SUMIFS('JLR Machines'!$H$2:$H$20001,'JLR Machines'!$A$2:$A$20001,$O95,'JLR Machines'!$C$2:$C$20001,IF(Settings!$B$2="","&lt;&gt;",Settings!$B$2),'JLR Machines'!$D$2:$D$20001,IF(Settings!$B$3="","&lt;&gt;",Settings!$B$3)))</f>
        <v>0</v>
      </c>
      <c r="S95" s="39">
        <f>IF($P95&lt;&gt;1,0,SUMIFS('JLR Machines'!$I$2:$I$20001,'JLR Machines'!$A$2:$A$20001,$O95,'JLR Machines'!$C$2:$C$20001,IF(Settings!$B$2="","&lt;&gt;",Settings!$B$2),'JLR Machines'!$D$2:$D$20001,IF(Settings!$B$3="","&lt;&gt;",Settings!$B$3)))</f>
        <v>0</v>
      </c>
      <c r="T95" s="39">
        <f>IF($P95&lt;&gt;1,0,SUMIFS('JLR Machines'!$J$2:$J$20001,'JLR Machines'!$A$2:$A$20001,$O95,'JLR Machines'!$C$2:$C$20001,IF(Settings!$B$2="","&lt;&gt;",Settings!$B$2),'JLR Machines'!$D$2:$D$20001,IF(Settings!$B$3="","&lt;&gt;",Settings!$B$3)))</f>
        <v>0</v>
      </c>
      <c r="U95" s="39">
        <f>IF($P95&lt;&gt;1,0,SUMIFS('JLR Machines'!$K$2:$K$20001,'JLR Machines'!$A$2:$A$20001,$O95,'JLR Machines'!$C$2:$C$20001,IF(Settings!$B$2="","&lt;&gt;",Settings!$B$2),'JLR Machines'!$D$2:$D$20001,IF(Settings!$B$3="","&lt;&gt;",Settings!$B$3)))</f>
        <v>0</v>
      </c>
      <c r="V95" s="39">
        <f>IF($P95&lt;&gt;1,0,SUMIFS('JLR Machines'!$L$2:$L$20001,'JLR Machines'!$A$2:$A$20001,$O95,'JLR Machines'!$C$2:$C$20001,IF(Settings!$B$2="","&lt;&gt;",Settings!$B$2),'JLR Machines'!$D$2:$D$20001,IF(Settings!$B$3="","&lt;&gt;",Settings!$B$3)))</f>
        <v>0</v>
      </c>
      <c r="W95" s="39">
        <f>IF($P95&lt;&gt;1,0,SUMIFS('JLR Machines'!$M$2:$M$20001,'JLR Machines'!$A$2:$A$20001,$O95,'JLR Machines'!$C$2:$C$20001,IF(Settings!$B$2="","&lt;&gt;",Settings!$B$2),'JLR Machines'!$D$2:$D$20001,IF(Settings!$B$3="","&lt;&gt;",Settings!$B$3)))</f>
        <v>0</v>
      </c>
      <c r="X95" s="39">
        <f>IF($P95&lt;&gt;1,0,SUMIFS('JLR Machines'!$N$2:$N$20001,'JLR Machines'!$A$2:$A$20001,$O95,'JLR Machines'!$C$2:$C$20001,IF(Settings!$B$2="","&lt;&gt;",Settings!$B$2),'JLR Machines'!$D$2:$D$20001,IF(Settings!$B$3="","&lt;&gt;",Settings!$B$3)))</f>
        <v>0</v>
      </c>
      <c r="Y95" s="39">
        <f>$Q95+$R95+$S95+$T95+$U95+$V95+$W95</f>
        <v>0</v>
      </c>
      <c r="Z95" s="38">
        <f>IF($X95&lt;=0,0,ROUND((D95+E95+F95+G95+H95+I95)/3400-$X95,4))</f>
        <v>0</v>
      </c>
      <c r="AA95" s="40" t="s">
        <v>2273</v>
      </c>
      <c r="AB95" s="40" t="s">
        <v>2099</v>
      </c>
    </row>
    <row r="96" spans="1:28" x14ac:dyDescent="0.25">
      <c r="A96" s="32" t="s">
        <v>1112</v>
      </c>
      <c r="B96" s="33" t="s">
        <v>2274</v>
      </c>
      <c r="C96" s="33" t="s">
        <v>1379</v>
      </c>
      <c r="D96" s="41">
        <f>IF($X96&gt;0,IF($Y96&gt;0,MAX(0,$Q96+$X96-$Y96)*4100,$X96*4100),20240)</f>
        <v>20240</v>
      </c>
      <c r="E96" s="41">
        <f>IF($X96&gt;0,IF($Y96&gt;0,$S96*4100,0),8077)</f>
        <v>8077</v>
      </c>
      <c r="F96" s="41">
        <f>IF($X96&gt;0,IF($Y96&gt;0,$V96*4100,0),40783)</f>
        <v>40783</v>
      </c>
      <c r="G96" s="41">
        <f>IF($X96&gt;0,IF($Y96&gt;0,$R96*4100,0),5048)</f>
        <v>5048</v>
      </c>
      <c r="H96" s="41">
        <f>IF($X96&gt;0,IF($Y96&gt;0,($T96+$W96)*4100,0),4029)</f>
        <v>4029</v>
      </c>
      <c r="I96" s="41">
        <f>IF($X96&gt;0,IF($Y96&gt;0,$U96*4100,0),2500)</f>
        <v>2500</v>
      </c>
      <c r="J96" s="35">
        <v>5000</v>
      </c>
      <c r="K96" s="42">
        <v>0.82</v>
      </c>
      <c r="L96" s="36" t="str">
        <f>IF($X96&gt;0,IF($P96&lt;&gt;1,$AB96,IFERROR(INDEX('JLR Machines'!$D$2:$D$20001,MATCH($O96,'JLR Machines'!$A$2:$A$20001,0)),$AB96)),$AB96)</f>
        <v>2026-09-29</v>
      </c>
      <c r="M96" s="36" t="str">
        <f>IF($X96&gt;0,IF($Y96&gt;0,"JLR machine "&amp;$O96&amp;" at "&amp;TEXT($X96,"0.00")&amp;" per hr — build-up as supplied","JLR machine "&amp;$O96&amp;" at "&amp;TEXT($X96,"0.00")&amp;" per hr — build-up not supplied"),$AA96)</f>
        <v>UK plastics benchmark. 75mm SSE for profile/pipe/sheet. ~200–400 kg/hr. Jun 2026</v>
      </c>
      <c r="N96" s="33" t="s">
        <v>1380</v>
      </c>
      <c r="O96" s="37" t="str">
        <f>IFERROR(INDEX(Mapping!$C$2:$C$549,MATCH($A96,Mapping!$A$2:$A$549,0)),"")</f>
        <v/>
      </c>
      <c r="P96" s="37">
        <f>IF($O96="",0,COUNTIFS('JLR Machines'!$A$2:$A$20001,$O96,'JLR Machines'!$C$2:$C$20001,IF(Settings!$B$2="","&lt;&gt;",Settings!$B$2),'JLR Machines'!$D$2:$D$20001,IF(Settings!$B$3="","&lt;&gt;",Settings!$B$3)))</f>
        <v>0</v>
      </c>
      <c r="Q96" s="39">
        <f>IF($P96&lt;&gt;1,0,SUMIFS('JLR Machines'!$G$2:$G$20001,'JLR Machines'!$A$2:$A$20001,$O96,'JLR Machines'!$C$2:$C$20001,IF(Settings!$B$2="","&lt;&gt;",Settings!$B$2),'JLR Machines'!$D$2:$D$20001,IF(Settings!$B$3="","&lt;&gt;",Settings!$B$3)))</f>
        <v>0</v>
      </c>
      <c r="R96" s="39">
        <f>IF($P96&lt;&gt;1,0,SUMIFS('JLR Machines'!$H$2:$H$20001,'JLR Machines'!$A$2:$A$20001,$O96,'JLR Machines'!$C$2:$C$20001,IF(Settings!$B$2="","&lt;&gt;",Settings!$B$2),'JLR Machines'!$D$2:$D$20001,IF(Settings!$B$3="","&lt;&gt;",Settings!$B$3)))</f>
        <v>0</v>
      </c>
      <c r="S96" s="39">
        <f>IF($P96&lt;&gt;1,0,SUMIFS('JLR Machines'!$I$2:$I$20001,'JLR Machines'!$A$2:$A$20001,$O96,'JLR Machines'!$C$2:$C$20001,IF(Settings!$B$2="","&lt;&gt;",Settings!$B$2),'JLR Machines'!$D$2:$D$20001,IF(Settings!$B$3="","&lt;&gt;",Settings!$B$3)))</f>
        <v>0</v>
      </c>
      <c r="T96" s="39">
        <f>IF($P96&lt;&gt;1,0,SUMIFS('JLR Machines'!$J$2:$J$20001,'JLR Machines'!$A$2:$A$20001,$O96,'JLR Machines'!$C$2:$C$20001,IF(Settings!$B$2="","&lt;&gt;",Settings!$B$2),'JLR Machines'!$D$2:$D$20001,IF(Settings!$B$3="","&lt;&gt;",Settings!$B$3)))</f>
        <v>0</v>
      </c>
      <c r="U96" s="39">
        <f>IF($P96&lt;&gt;1,0,SUMIFS('JLR Machines'!$K$2:$K$20001,'JLR Machines'!$A$2:$A$20001,$O96,'JLR Machines'!$C$2:$C$20001,IF(Settings!$B$2="","&lt;&gt;",Settings!$B$2),'JLR Machines'!$D$2:$D$20001,IF(Settings!$B$3="","&lt;&gt;",Settings!$B$3)))</f>
        <v>0</v>
      </c>
      <c r="V96" s="39">
        <f>IF($P96&lt;&gt;1,0,SUMIFS('JLR Machines'!$L$2:$L$20001,'JLR Machines'!$A$2:$A$20001,$O96,'JLR Machines'!$C$2:$C$20001,IF(Settings!$B$2="","&lt;&gt;",Settings!$B$2),'JLR Machines'!$D$2:$D$20001,IF(Settings!$B$3="","&lt;&gt;",Settings!$B$3)))</f>
        <v>0</v>
      </c>
      <c r="W96" s="39">
        <f>IF($P96&lt;&gt;1,0,SUMIFS('JLR Machines'!$M$2:$M$20001,'JLR Machines'!$A$2:$A$20001,$O96,'JLR Machines'!$C$2:$C$20001,IF(Settings!$B$2="","&lt;&gt;",Settings!$B$2),'JLR Machines'!$D$2:$D$20001,IF(Settings!$B$3="","&lt;&gt;",Settings!$B$3)))</f>
        <v>0</v>
      </c>
      <c r="X96" s="39">
        <f>IF($P96&lt;&gt;1,0,SUMIFS('JLR Machines'!$N$2:$N$20001,'JLR Machines'!$A$2:$A$20001,$O96,'JLR Machines'!$C$2:$C$20001,IF(Settings!$B$2="","&lt;&gt;",Settings!$B$2),'JLR Machines'!$D$2:$D$20001,IF(Settings!$B$3="","&lt;&gt;",Settings!$B$3)))</f>
        <v>0</v>
      </c>
      <c r="Y96" s="39">
        <f>$Q96+$R96+$S96+$T96+$U96+$V96+$W96</f>
        <v>0</v>
      </c>
      <c r="Z96" s="38">
        <f>IF($X96&lt;=0,0,ROUND((D96+E96+F96+G96+H96+I96)/4100-$X96,4))</f>
        <v>0</v>
      </c>
      <c r="AA96" s="40" t="s">
        <v>2275</v>
      </c>
      <c r="AB96" s="40" t="s">
        <v>2099</v>
      </c>
    </row>
    <row r="97" spans="1:28" x14ac:dyDescent="0.25">
      <c r="A97" s="32" t="s">
        <v>1114</v>
      </c>
      <c r="B97" s="33" t="s">
        <v>2276</v>
      </c>
      <c r="C97" s="33" t="s">
        <v>1379</v>
      </c>
      <c r="D97" s="41">
        <f>IF($X97&gt;0,IF($Y97&gt;0,MAX(0,$Q97+$X97-$Y97)*4000,$X97*4000),80960)</f>
        <v>80960</v>
      </c>
      <c r="E97" s="41">
        <f>IF($X97&gt;0,IF($Y97&gt;0,$S97*4000,0),30288)</f>
        <v>30288</v>
      </c>
      <c r="F97" s="41">
        <f>IF($X97&gt;0,IF($Y97&gt;0,$V97*4000,0),81565)</f>
        <v>81565</v>
      </c>
      <c r="G97" s="41">
        <f>IF($X97&gt;0,IF($Y97&gt;0,$R97*4000,0),15144)</f>
        <v>15144</v>
      </c>
      <c r="H97" s="41">
        <f>IF($X97&gt;0,IF($Y97&gt;0,($T97+$W97)*4000,0),15108)</f>
        <v>15108</v>
      </c>
      <c r="I97" s="41">
        <f>IF($X97&gt;0,IF($Y97&gt;0,$U97*4000,0),10000)</f>
        <v>10000</v>
      </c>
      <c r="J97" s="35">
        <v>5000</v>
      </c>
      <c r="K97" s="42">
        <v>0.8</v>
      </c>
      <c r="L97" s="36" t="str">
        <f>IF($X97&gt;0,IF($P97&lt;&gt;1,$AB97,IFERROR(INDEX('JLR Machines'!$D$2:$D$20001,MATCH($O97,'JLR Machines'!$A$2:$A$20001,0)),$AB97)),$AB97)</f>
        <v>2026-09-29</v>
      </c>
      <c r="M97" s="36" t="str">
        <f>IF($X97&gt;0,IF($Y97&gt;0,"JLR machine "&amp;$O97&amp;" at "&amp;TEXT($X97,"0.00")&amp;" per hr — build-up as supplied","JLR machine "&amp;$O97&amp;" at "&amp;TEXT($X97,"0.00")&amp;" per hr — build-up not supplied"),$AA97)</f>
        <v>UK plastics benchmark. 150mm TSE compounding/extrusion line. ~800–1500 kg/hr. Jun 2026</v>
      </c>
      <c r="N97" s="33" t="s">
        <v>1380</v>
      </c>
      <c r="O97" s="37" t="str">
        <f>IFERROR(INDEX(Mapping!$C$2:$C$549,MATCH($A97,Mapping!$A$2:$A$549,0)),"")</f>
        <v/>
      </c>
      <c r="P97" s="37">
        <f>IF($O97="",0,COUNTIFS('JLR Machines'!$A$2:$A$20001,$O97,'JLR Machines'!$C$2:$C$20001,IF(Settings!$B$2="","&lt;&gt;",Settings!$B$2),'JLR Machines'!$D$2:$D$20001,IF(Settings!$B$3="","&lt;&gt;",Settings!$B$3)))</f>
        <v>0</v>
      </c>
      <c r="Q97" s="39">
        <f>IF($P97&lt;&gt;1,0,SUMIFS('JLR Machines'!$G$2:$G$20001,'JLR Machines'!$A$2:$A$20001,$O97,'JLR Machines'!$C$2:$C$20001,IF(Settings!$B$2="","&lt;&gt;",Settings!$B$2),'JLR Machines'!$D$2:$D$20001,IF(Settings!$B$3="","&lt;&gt;",Settings!$B$3)))</f>
        <v>0</v>
      </c>
      <c r="R97" s="39">
        <f>IF($P97&lt;&gt;1,0,SUMIFS('JLR Machines'!$H$2:$H$20001,'JLR Machines'!$A$2:$A$20001,$O97,'JLR Machines'!$C$2:$C$20001,IF(Settings!$B$2="","&lt;&gt;",Settings!$B$2),'JLR Machines'!$D$2:$D$20001,IF(Settings!$B$3="","&lt;&gt;",Settings!$B$3)))</f>
        <v>0</v>
      </c>
      <c r="S97" s="39">
        <f>IF($P97&lt;&gt;1,0,SUMIFS('JLR Machines'!$I$2:$I$20001,'JLR Machines'!$A$2:$A$20001,$O97,'JLR Machines'!$C$2:$C$20001,IF(Settings!$B$2="","&lt;&gt;",Settings!$B$2),'JLR Machines'!$D$2:$D$20001,IF(Settings!$B$3="","&lt;&gt;",Settings!$B$3)))</f>
        <v>0</v>
      </c>
      <c r="T97" s="39">
        <f>IF($P97&lt;&gt;1,0,SUMIFS('JLR Machines'!$J$2:$J$20001,'JLR Machines'!$A$2:$A$20001,$O97,'JLR Machines'!$C$2:$C$20001,IF(Settings!$B$2="","&lt;&gt;",Settings!$B$2),'JLR Machines'!$D$2:$D$20001,IF(Settings!$B$3="","&lt;&gt;",Settings!$B$3)))</f>
        <v>0</v>
      </c>
      <c r="U97" s="39">
        <f>IF($P97&lt;&gt;1,0,SUMIFS('JLR Machines'!$K$2:$K$20001,'JLR Machines'!$A$2:$A$20001,$O97,'JLR Machines'!$C$2:$C$20001,IF(Settings!$B$2="","&lt;&gt;",Settings!$B$2),'JLR Machines'!$D$2:$D$20001,IF(Settings!$B$3="","&lt;&gt;",Settings!$B$3)))</f>
        <v>0</v>
      </c>
      <c r="V97" s="39">
        <f>IF($P97&lt;&gt;1,0,SUMIFS('JLR Machines'!$L$2:$L$20001,'JLR Machines'!$A$2:$A$20001,$O97,'JLR Machines'!$C$2:$C$20001,IF(Settings!$B$2="","&lt;&gt;",Settings!$B$2),'JLR Machines'!$D$2:$D$20001,IF(Settings!$B$3="","&lt;&gt;",Settings!$B$3)))</f>
        <v>0</v>
      </c>
      <c r="W97" s="39">
        <f>IF($P97&lt;&gt;1,0,SUMIFS('JLR Machines'!$M$2:$M$20001,'JLR Machines'!$A$2:$A$20001,$O97,'JLR Machines'!$C$2:$C$20001,IF(Settings!$B$2="","&lt;&gt;",Settings!$B$2),'JLR Machines'!$D$2:$D$20001,IF(Settings!$B$3="","&lt;&gt;",Settings!$B$3)))</f>
        <v>0</v>
      </c>
      <c r="X97" s="39">
        <f>IF($P97&lt;&gt;1,0,SUMIFS('JLR Machines'!$N$2:$N$20001,'JLR Machines'!$A$2:$A$20001,$O97,'JLR Machines'!$C$2:$C$20001,IF(Settings!$B$2="","&lt;&gt;",Settings!$B$2),'JLR Machines'!$D$2:$D$20001,IF(Settings!$B$3="","&lt;&gt;",Settings!$B$3)))</f>
        <v>0</v>
      </c>
      <c r="Y97" s="39">
        <f>$Q97+$R97+$S97+$T97+$U97+$V97+$W97</f>
        <v>0</v>
      </c>
      <c r="Z97" s="38">
        <f>IF($X97&lt;=0,0,ROUND((D97+E97+F97+G97+H97+I97)/4000-$X97,4))</f>
        <v>0</v>
      </c>
      <c r="AA97" s="40" t="s">
        <v>2277</v>
      </c>
      <c r="AB97" s="40" t="s">
        <v>2099</v>
      </c>
    </row>
    <row r="98" spans="1:28" x14ac:dyDescent="0.25">
      <c r="A98" s="32" t="s">
        <v>1116</v>
      </c>
      <c r="B98" s="33" t="s">
        <v>2278</v>
      </c>
      <c r="C98" s="33" t="s">
        <v>1379</v>
      </c>
      <c r="D98" s="41">
        <f>IF($X98&gt;0,IF($Y98&gt;0,MAX(0,$Q98+$X98-$Y98)*5100,$X98*5100),45540)</f>
        <v>45540</v>
      </c>
      <c r="E98" s="41">
        <f>IF($X98&gt;0,IF($Y98&gt;0,$S98*5100,0),15144)</f>
        <v>15144</v>
      </c>
      <c r="F98" s="41">
        <f>IF($X98&gt;0,IF($Y98&gt;0,$V98*5100,0),64087)</f>
        <v>64087</v>
      </c>
      <c r="G98" s="41">
        <f>IF($X98&gt;0,IF($Y98&gt;0,$R98*5100,0),12115)</f>
        <v>12115</v>
      </c>
      <c r="H98" s="41">
        <f>IF($X98&gt;0,IF($Y98&gt;0,($T98+$W98)*5100,0),9065)</f>
        <v>9065</v>
      </c>
      <c r="I98" s="41">
        <f>IF($X98&gt;0,IF($Y98&gt;0,$U98*5100,0),6000)</f>
        <v>6000</v>
      </c>
      <c r="J98" s="35">
        <v>6000</v>
      </c>
      <c r="K98" s="42">
        <v>0.85</v>
      </c>
      <c r="L98" s="36" t="str">
        <f>IF($X98&gt;0,IF($P98&lt;&gt;1,$AB98,IFERROR(INDEX('JLR Machines'!$D$2:$D$20001,MATCH($O98,'JLR Machines'!$A$2:$A$20001,0)),$AB98)),$AB98)</f>
        <v>2026-09-29</v>
      </c>
      <c r="M98" s="36" t="str">
        <f>IF($X98&gt;0,IF($Y98&gt;0,"JLR machine "&amp;$O98&amp;" at "&amp;TEXT($X98,"0.00")&amp;" per hr — build-up as supplied","JLR machine "&amp;$O98&amp;" at "&amp;TEXT($X98,"0.00")&amp;" per hr — build-up not supplied"),$AA98)</f>
        <v>UK plastics benchmark 2026-07. 90mm SSE pipe line — die, vacuum-sizing tank, spray cooling, caterpillar haul-off, planetary saw. PE/PVC pressure &amp; drainage pipe.</v>
      </c>
      <c r="N98" s="33" t="s">
        <v>1380</v>
      </c>
      <c r="O98" s="37" t="str">
        <f>IFERROR(INDEX(Mapping!$C$2:$C$549,MATCH($A98,Mapping!$A$2:$A$549,0)),"")</f>
        <v/>
      </c>
      <c r="P98" s="37">
        <f>IF($O98="",0,COUNTIFS('JLR Machines'!$A$2:$A$20001,$O98,'JLR Machines'!$C$2:$C$20001,IF(Settings!$B$2="","&lt;&gt;",Settings!$B$2),'JLR Machines'!$D$2:$D$20001,IF(Settings!$B$3="","&lt;&gt;",Settings!$B$3)))</f>
        <v>0</v>
      </c>
      <c r="Q98" s="39">
        <f>IF($P98&lt;&gt;1,0,SUMIFS('JLR Machines'!$G$2:$G$20001,'JLR Machines'!$A$2:$A$20001,$O98,'JLR Machines'!$C$2:$C$20001,IF(Settings!$B$2="","&lt;&gt;",Settings!$B$2),'JLR Machines'!$D$2:$D$20001,IF(Settings!$B$3="","&lt;&gt;",Settings!$B$3)))</f>
        <v>0</v>
      </c>
      <c r="R98" s="39">
        <f>IF($P98&lt;&gt;1,0,SUMIFS('JLR Machines'!$H$2:$H$20001,'JLR Machines'!$A$2:$A$20001,$O98,'JLR Machines'!$C$2:$C$20001,IF(Settings!$B$2="","&lt;&gt;",Settings!$B$2),'JLR Machines'!$D$2:$D$20001,IF(Settings!$B$3="","&lt;&gt;",Settings!$B$3)))</f>
        <v>0</v>
      </c>
      <c r="S98" s="39">
        <f>IF($P98&lt;&gt;1,0,SUMIFS('JLR Machines'!$I$2:$I$20001,'JLR Machines'!$A$2:$A$20001,$O98,'JLR Machines'!$C$2:$C$20001,IF(Settings!$B$2="","&lt;&gt;",Settings!$B$2),'JLR Machines'!$D$2:$D$20001,IF(Settings!$B$3="","&lt;&gt;",Settings!$B$3)))</f>
        <v>0</v>
      </c>
      <c r="T98" s="39">
        <f>IF($P98&lt;&gt;1,0,SUMIFS('JLR Machines'!$J$2:$J$20001,'JLR Machines'!$A$2:$A$20001,$O98,'JLR Machines'!$C$2:$C$20001,IF(Settings!$B$2="","&lt;&gt;",Settings!$B$2),'JLR Machines'!$D$2:$D$20001,IF(Settings!$B$3="","&lt;&gt;",Settings!$B$3)))</f>
        <v>0</v>
      </c>
      <c r="U98" s="39">
        <f>IF($P98&lt;&gt;1,0,SUMIFS('JLR Machines'!$K$2:$K$20001,'JLR Machines'!$A$2:$A$20001,$O98,'JLR Machines'!$C$2:$C$20001,IF(Settings!$B$2="","&lt;&gt;",Settings!$B$2),'JLR Machines'!$D$2:$D$20001,IF(Settings!$B$3="","&lt;&gt;",Settings!$B$3)))</f>
        <v>0</v>
      </c>
      <c r="V98" s="39">
        <f>IF($P98&lt;&gt;1,0,SUMIFS('JLR Machines'!$L$2:$L$20001,'JLR Machines'!$A$2:$A$20001,$O98,'JLR Machines'!$C$2:$C$20001,IF(Settings!$B$2="","&lt;&gt;",Settings!$B$2),'JLR Machines'!$D$2:$D$20001,IF(Settings!$B$3="","&lt;&gt;",Settings!$B$3)))</f>
        <v>0</v>
      </c>
      <c r="W98" s="39">
        <f>IF($P98&lt;&gt;1,0,SUMIFS('JLR Machines'!$M$2:$M$20001,'JLR Machines'!$A$2:$A$20001,$O98,'JLR Machines'!$C$2:$C$20001,IF(Settings!$B$2="","&lt;&gt;",Settings!$B$2),'JLR Machines'!$D$2:$D$20001,IF(Settings!$B$3="","&lt;&gt;",Settings!$B$3)))</f>
        <v>0</v>
      </c>
      <c r="X98" s="39">
        <f>IF($P98&lt;&gt;1,0,SUMIFS('JLR Machines'!$N$2:$N$20001,'JLR Machines'!$A$2:$A$20001,$O98,'JLR Machines'!$C$2:$C$20001,IF(Settings!$B$2="","&lt;&gt;",Settings!$B$2),'JLR Machines'!$D$2:$D$20001,IF(Settings!$B$3="","&lt;&gt;",Settings!$B$3)))</f>
        <v>0</v>
      </c>
      <c r="Y98" s="39">
        <f>$Q98+$R98+$S98+$T98+$U98+$V98+$W98</f>
        <v>0</v>
      </c>
      <c r="Z98" s="38">
        <f>IF($X98&lt;=0,0,ROUND((D98+E98+F98+G98+H98+I98)/5100-$X98,4))</f>
        <v>0</v>
      </c>
      <c r="AA98" s="40" t="s">
        <v>2279</v>
      </c>
      <c r="AB98" s="40" t="s">
        <v>2099</v>
      </c>
    </row>
    <row r="99" spans="1:28" x14ac:dyDescent="0.25">
      <c r="A99" s="32" t="s">
        <v>1118</v>
      </c>
      <c r="B99" s="33" t="s">
        <v>2280</v>
      </c>
      <c r="C99" s="33" t="s">
        <v>1379</v>
      </c>
      <c r="D99" s="41">
        <f>IF($X99&gt;0,IF($Y99&gt;0,MAX(0,$Q99+$X99-$Y99)*4400,$X99*4400),30360)</f>
        <v>30360</v>
      </c>
      <c r="E99" s="41">
        <f>IF($X99&gt;0,IF($Y99&gt;0,$S99*4400,0),12115)</f>
        <v>12115</v>
      </c>
      <c r="F99" s="41">
        <f>IF($X99&gt;0,IF($Y99&gt;0,$V99*4400,0),46609)</f>
        <v>46609</v>
      </c>
      <c r="G99" s="41">
        <f>IF($X99&gt;0,IF($Y99&gt;0,$R99*4400,0),8077)</f>
        <v>8077</v>
      </c>
      <c r="H99" s="41">
        <f>IF($X99&gt;0,IF($Y99&gt;0,($T99+$W99)*4400,0),7050)</f>
        <v>7050</v>
      </c>
      <c r="I99" s="41">
        <f>IF($X99&gt;0,IF($Y99&gt;0,$U99*4400,0),4000)</f>
        <v>4000</v>
      </c>
      <c r="J99" s="35">
        <v>5500</v>
      </c>
      <c r="K99" s="42">
        <v>0.8</v>
      </c>
      <c r="L99" s="36" t="str">
        <f>IF($X99&gt;0,IF($P99&lt;&gt;1,$AB99,IFERROR(INDEX('JLR Machines'!$D$2:$D$20001,MATCH($O99,'JLR Machines'!$A$2:$A$20001,0)),$AB99)),$AB99)</f>
        <v>2026-09-29</v>
      </c>
      <c r="M99" s="36" t="str">
        <f>IF($X99&gt;0,IF($Y99&gt;0,"JLR machine "&amp;$O99&amp;" at "&amp;TEXT($X99,"0.00")&amp;" per hr — build-up as supplied","JLR machine "&amp;$O99&amp;" at "&amp;TEXT($X99,"0.00")&amp;" per hr — build-up not supplied"),$AA99)</f>
        <v>UK plastics benchmark 2026-07. 75mm SSE profile line — dry/vacuum calibration table, cooling, haul-off, cut-off. Window/trim/seal profiles.</v>
      </c>
      <c r="N99" s="33" t="s">
        <v>1380</v>
      </c>
      <c r="O99" s="37" t="str">
        <f>IFERROR(INDEX(Mapping!$C$2:$C$549,MATCH($A99,Mapping!$A$2:$A$549,0)),"")</f>
        <v/>
      </c>
      <c r="P99" s="37">
        <f>IF($O99="",0,COUNTIFS('JLR Machines'!$A$2:$A$20001,$O99,'JLR Machines'!$C$2:$C$20001,IF(Settings!$B$2="","&lt;&gt;",Settings!$B$2),'JLR Machines'!$D$2:$D$20001,IF(Settings!$B$3="","&lt;&gt;",Settings!$B$3)))</f>
        <v>0</v>
      </c>
      <c r="Q99" s="39">
        <f>IF($P99&lt;&gt;1,0,SUMIFS('JLR Machines'!$G$2:$G$20001,'JLR Machines'!$A$2:$A$20001,$O99,'JLR Machines'!$C$2:$C$20001,IF(Settings!$B$2="","&lt;&gt;",Settings!$B$2),'JLR Machines'!$D$2:$D$20001,IF(Settings!$B$3="","&lt;&gt;",Settings!$B$3)))</f>
        <v>0</v>
      </c>
      <c r="R99" s="39">
        <f>IF($P99&lt;&gt;1,0,SUMIFS('JLR Machines'!$H$2:$H$20001,'JLR Machines'!$A$2:$A$20001,$O99,'JLR Machines'!$C$2:$C$20001,IF(Settings!$B$2="","&lt;&gt;",Settings!$B$2),'JLR Machines'!$D$2:$D$20001,IF(Settings!$B$3="","&lt;&gt;",Settings!$B$3)))</f>
        <v>0</v>
      </c>
      <c r="S99" s="39">
        <f>IF($P99&lt;&gt;1,0,SUMIFS('JLR Machines'!$I$2:$I$20001,'JLR Machines'!$A$2:$A$20001,$O99,'JLR Machines'!$C$2:$C$20001,IF(Settings!$B$2="","&lt;&gt;",Settings!$B$2),'JLR Machines'!$D$2:$D$20001,IF(Settings!$B$3="","&lt;&gt;",Settings!$B$3)))</f>
        <v>0</v>
      </c>
      <c r="T99" s="39">
        <f>IF($P99&lt;&gt;1,0,SUMIFS('JLR Machines'!$J$2:$J$20001,'JLR Machines'!$A$2:$A$20001,$O99,'JLR Machines'!$C$2:$C$20001,IF(Settings!$B$2="","&lt;&gt;",Settings!$B$2),'JLR Machines'!$D$2:$D$20001,IF(Settings!$B$3="","&lt;&gt;",Settings!$B$3)))</f>
        <v>0</v>
      </c>
      <c r="U99" s="39">
        <f>IF($P99&lt;&gt;1,0,SUMIFS('JLR Machines'!$K$2:$K$20001,'JLR Machines'!$A$2:$A$20001,$O99,'JLR Machines'!$C$2:$C$20001,IF(Settings!$B$2="","&lt;&gt;",Settings!$B$2),'JLR Machines'!$D$2:$D$20001,IF(Settings!$B$3="","&lt;&gt;",Settings!$B$3)))</f>
        <v>0</v>
      </c>
      <c r="V99" s="39">
        <f>IF($P99&lt;&gt;1,0,SUMIFS('JLR Machines'!$L$2:$L$20001,'JLR Machines'!$A$2:$A$20001,$O99,'JLR Machines'!$C$2:$C$20001,IF(Settings!$B$2="","&lt;&gt;",Settings!$B$2),'JLR Machines'!$D$2:$D$20001,IF(Settings!$B$3="","&lt;&gt;",Settings!$B$3)))</f>
        <v>0</v>
      </c>
      <c r="W99" s="39">
        <f>IF($P99&lt;&gt;1,0,SUMIFS('JLR Machines'!$M$2:$M$20001,'JLR Machines'!$A$2:$A$20001,$O99,'JLR Machines'!$C$2:$C$20001,IF(Settings!$B$2="","&lt;&gt;",Settings!$B$2),'JLR Machines'!$D$2:$D$20001,IF(Settings!$B$3="","&lt;&gt;",Settings!$B$3)))</f>
        <v>0</v>
      </c>
      <c r="X99" s="39">
        <f>IF($P99&lt;&gt;1,0,SUMIFS('JLR Machines'!$N$2:$N$20001,'JLR Machines'!$A$2:$A$20001,$O99,'JLR Machines'!$C$2:$C$20001,IF(Settings!$B$2="","&lt;&gt;",Settings!$B$2),'JLR Machines'!$D$2:$D$20001,IF(Settings!$B$3="","&lt;&gt;",Settings!$B$3)))</f>
        <v>0</v>
      </c>
      <c r="Y99" s="39">
        <f>$Q99+$R99+$S99+$T99+$U99+$V99+$W99</f>
        <v>0</v>
      </c>
      <c r="Z99" s="38">
        <f>IF($X99&lt;=0,0,ROUND((D99+E99+F99+G99+H99+I99)/4400-$X99,4))</f>
        <v>0</v>
      </c>
      <c r="AA99" s="40" t="s">
        <v>2281</v>
      </c>
      <c r="AB99" s="40" t="s">
        <v>2099</v>
      </c>
    </row>
    <row r="100" spans="1:28" x14ac:dyDescent="0.25">
      <c r="A100" s="32" t="s">
        <v>1120</v>
      </c>
      <c r="B100" s="33" t="s">
        <v>2282</v>
      </c>
      <c r="C100" s="33" t="s">
        <v>1379</v>
      </c>
      <c r="D100" s="41">
        <f>IF($X100&gt;0,IF($Y100&gt;0,MAX(0,$Q100+$X100-$Y100)*4920,$X100*4920),91080)</f>
        <v>91080</v>
      </c>
      <c r="E100" s="41">
        <f>IF($X100&gt;0,IF($Y100&gt;0,$S100*4920,0),32307)</f>
        <v>32307</v>
      </c>
      <c r="F100" s="41">
        <f>IF($X100&gt;0,IF($Y100&gt;0,$V100*4920,0),99044)</f>
        <v>99044</v>
      </c>
      <c r="G100" s="41">
        <f>IF($X100&gt;0,IF($Y100&gt;0,$R100*4920,0),20192)</f>
        <v>20192</v>
      </c>
      <c r="H100" s="41">
        <f>IF($X100&gt;0,IF($Y100&gt;0,($T100+$W100)*4920,0),16115)</f>
        <v>16115</v>
      </c>
      <c r="I100" s="41">
        <f>IF($X100&gt;0,IF($Y100&gt;0,$U100*4920,0),11000)</f>
        <v>11000</v>
      </c>
      <c r="J100" s="35">
        <v>6000</v>
      </c>
      <c r="K100" s="42">
        <v>0.82</v>
      </c>
      <c r="L100" s="36" t="str">
        <f>IF($X100&gt;0,IF($P100&lt;&gt;1,$AB100,IFERROR(INDEX('JLR Machines'!$D$2:$D$20001,MATCH($O100,'JLR Machines'!$A$2:$A$20001,0)),$AB100)),$AB100)</f>
        <v>2026-09-29</v>
      </c>
      <c r="M100" s="36" t="str">
        <f>IF($X100&gt;0,IF($Y100&gt;0,"JLR machine "&amp;$O100&amp;" at "&amp;TEXT($X100,"0.00")&amp;" per hr — build-up as supplied","JLR machine "&amp;$O100&amp;" at "&amp;TEXT($X100,"0.00")&amp;" per hr — build-up not supplied"),$AA100)</f>
        <v>UK plastics benchmark 2026-07. Sheet line — coat-hanger die, polished 3-roll calender stack, edge-trim, thickness gauging, winder/guillotine. PS/PP/PET/ABS sheet.</v>
      </c>
      <c r="N100" s="33" t="s">
        <v>1380</v>
      </c>
      <c r="O100" s="37" t="str">
        <f>IFERROR(INDEX(Mapping!$C$2:$C$549,MATCH($A100,Mapping!$A$2:$A$549,0)),"")</f>
        <v/>
      </c>
      <c r="P100" s="37">
        <f>IF($O100="",0,COUNTIFS('JLR Machines'!$A$2:$A$20001,$O100,'JLR Machines'!$C$2:$C$20001,IF(Settings!$B$2="","&lt;&gt;",Settings!$B$2),'JLR Machines'!$D$2:$D$20001,IF(Settings!$B$3="","&lt;&gt;",Settings!$B$3)))</f>
        <v>0</v>
      </c>
      <c r="Q100" s="39">
        <f>IF($P100&lt;&gt;1,0,SUMIFS('JLR Machines'!$G$2:$G$20001,'JLR Machines'!$A$2:$A$20001,$O100,'JLR Machines'!$C$2:$C$20001,IF(Settings!$B$2="","&lt;&gt;",Settings!$B$2),'JLR Machines'!$D$2:$D$20001,IF(Settings!$B$3="","&lt;&gt;",Settings!$B$3)))</f>
        <v>0</v>
      </c>
      <c r="R100" s="39">
        <f>IF($P100&lt;&gt;1,0,SUMIFS('JLR Machines'!$H$2:$H$20001,'JLR Machines'!$A$2:$A$20001,$O100,'JLR Machines'!$C$2:$C$20001,IF(Settings!$B$2="","&lt;&gt;",Settings!$B$2),'JLR Machines'!$D$2:$D$20001,IF(Settings!$B$3="","&lt;&gt;",Settings!$B$3)))</f>
        <v>0</v>
      </c>
      <c r="S100" s="39">
        <f>IF($P100&lt;&gt;1,0,SUMIFS('JLR Machines'!$I$2:$I$20001,'JLR Machines'!$A$2:$A$20001,$O100,'JLR Machines'!$C$2:$C$20001,IF(Settings!$B$2="","&lt;&gt;",Settings!$B$2),'JLR Machines'!$D$2:$D$20001,IF(Settings!$B$3="","&lt;&gt;",Settings!$B$3)))</f>
        <v>0</v>
      </c>
      <c r="T100" s="39">
        <f>IF($P100&lt;&gt;1,0,SUMIFS('JLR Machines'!$J$2:$J$20001,'JLR Machines'!$A$2:$A$20001,$O100,'JLR Machines'!$C$2:$C$20001,IF(Settings!$B$2="","&lt;&gt;",Settings!$B$2),'JLR Machines'!$D$2:$D$20001,IF(Settings!$B$3="","&lt;&gt;",Settings!$B$3)))</f>
        <v>0</v>
      </c>
      <c r="U100" s="39">
        <f>IF($P100&lt;&gt;1,0,SUMIFS('JLR Machines'!$K$2:$K$20001,'JLR Machines'!$A$2:$A$20001,$O100,'JLR Machines'!$C$2:$C$20001,IF(Settings!$B$2="","&lt;&gt;",Settings!$B$2),'JLR Machines'!$D$2:$D$20001,IF(Settings!$B$3="","&lt;&gt;",Settings!$B$3)))</f>
        <v>0</v>
      </c>
      <c r="V100" s="39">
        <f>IF($P100&lt;&gt;1,0,SUMIFS('JLR Machines'!$L$2:$L$20001,'JLR Machines'!$A$2:$A$20001,$O100,'JLR Machines'!$C$2:$C$20001,IF(Settings!$B$2="","&lt;&gt;",Settings!$B$2),'JLR Machines'!$D$2:$D$20001,IF(Settings!$B$3="","&lt;&gt;",Settings!$B$3)))</f>
        <v>0</v>
      </c>
      <c r="W100" s="39">
        <f>IF($P100&lt;&gt;1,0,SUMIFS('JLR Machines'!$M$2:$M$20001,'JLR Machines'!$A$2:$A$20001,$O100,'JLR Machines'!$C$2:$C$20001,IF(Settings!$B$2="","&lt;&gt;",Settings!$B$2),'JLR Machines'!$D$2:$D$20001,IF(Settings!$B$3="","&lt;&gt;",Settings!$B$3)))</f>
        <v>0</v>
      </c>
      <c r="X100" s="39">
        <f>IF($P100&lt;&gt;1,0,SUMIFS('JLR Machines'!$N$2:$N$20001,'JLR Machines'!$A$2:$A$20001,$O100,'JLR Machines'!$C$2:$C$20001,IF(Settings!$B$2="","&lt;&gt;",Settings!$B$2),'JLR Machines'!$D$2:$D$20001,IF(Settings!$B$3="","&lt;&gt;",Settings!$B$3)))</f>
        <v>0</v>
      </c>
      <c r="Y100" s="39">
        <f>$Q100+$R100+$S100+$T100+$U100+$V100+$W100</f>
        <v>0</v>
      </c>
      <c r="Z100" s="38">
        <f>IF($X100&lt;=0,0,ROUND((D100+E100+F100+G100+H100+I100)/4920-$X100,4))</f>
        <v>0</v>
      </c>
      <c r="AA100" s="40" t="s">
        <v>2283</v>
      </c>
      <c r="AB100" s="40" t="s">
        <v>2099</v>
      </c>
    </row>
    <row r="101" spans="1:28" x14ac:dyDescent="0.25">
      <c r="A101" s="32" t="s">
        <v>1122</v>
      </c>
      <c r="B101" s="33" t="s">
        <v>2284</v>
      </c>
      <c r="C101" s="33" t="s">
        <v>1379</v>
      </c>
      <c r="D101" s="41">
        <f>IF($X101&gt;0,IF($Y101&gt;0,MAX(0,$Q101+$X101-$Y101)*5525,$X101*5525),40480)</f>
        <v>40480</v>
      </c>
      <c r="E101" s="41">
        <f>IF($X101&gt;0,IF($Y101&gt;0,$S101*5525,0),14134)</f>
        <v>14134</v>
      </c>
      <c r="F101" s="41">
        <f>IF($X101&gt;0,IF($Y101&gt;0,$V101*5525,0),52435)</f>
        <v>52435</v>
      </c>
      <c r="G101" s="41">
        <f>IF($X101&gt;0,IF($Y101&gt;0,$R101*5525,0),10096)</f>
        <v>10096</v>
      </c>
      <c r="H101" s="41">
        <f>IF($X101&gt;0,IF($Y101&gt;0,($T101+$W101)*5525,0),8057)</f>
        <v>8057</v>
      </c>
      <c r="I101" s="41">
        <f>IF($X101&gt;0,IF($Y101&gt;0,$U101*5525,0),5000)</f>
        <v>5000</v>
      </c>
      <c r="J101" s="35">
        <v>6500</v>
      </c>
      <c r="K101" s="42">
        <v>0.85</v>
      </c>
      <c r="L101" s="36" t="str">
        <f>IF($X101&gt;0,IF($P101&lt;&gt;1,$AB101,IFERROR(INDEX('JLR Machines'!$D$2:$D$20001,MATCH($O101,'JLR Machines'!$A$2:$A$20001,0)),$AB101)),$AB101)</f>
        <v>2026-09-29</v>
      </c>
      <c r="M101" s="36" t="str">
        <f>IF($X101&gt;0,IF($Y101&gt;0,"JLR machine "&amp;$O101&amp;" at "&amp;TEXT($X101,"0.00")&amp;" per hr — build-up as supplied","JLR machine "&amp;$O101&amp;" at "&amp;TEXT($X101,"0.00")&amp;" per hr — build-up not supplied"),$AA101)</f>
        <v>UK cable benchmark 2026-07. Crosshead wire/cable coating line — pay-off, crosshead die, cooling trough or CV, spark test, capstan, take-up. PVC/XLPE insulation &amp; sheathing.</v>
      </c>
      <c r="N101" s="33" t="s">
        <v>1380</v>
      </c>
      <c r="O101" s="37" t="str">
        <f>IFERROR(INDEX(Mapping!$C$2:$C$549,MATCH($A101,Mapping!$A$2:$A$549,0)),"")</f>
        <v/>
      </c>
      <c r="P101" s="37">
        <f>IF($O101="",0,COUNTIFS('JLR Machines'!$A$2:$A$20001,$O101,'JLR Machines'!$C$2:$C$20001,IF(Settings!$B$2="","&lt;&gt;",Settings!$B$2),'JLR Machines'!$D$2:$D$20001,IF(Settings!$B$3="","&lt;&gt;",Settings!$B$3)))</f>
        <v>0</v>
      </c>
      <c r="Q101" s="39">
        <f>IF($P101&lt;&gt;1,0,SUMIFS('JLR Machines'!$G$2:$G$20001,'JLR Machines'!$A$2:$A$20001,$O101,'JLR Machines'!$C$2:$C$20001,IF(Settings!$B$2="","&lt;&gt;",Settings!$B$2),'JLR Machines'!$D$2:$D$20001,IF(Settings!$B$3="","&lt;&gt;",Settings!$B$3)))</f>
        <v>0</v>
      </c>
      <c r="R101" s="39">
        <f>IF($P101&lt;&gt;1,0,SUMIFS('JLR Machines'!$H$2:$H$20001,'JLR Machines'!$A$2:$A$20001,$O101,'JLR Machines'!$C$2:$C$20001,IF(Settings!$B$2="","&lt;&gt;",Settings!$B$2),'JLR Machines'!$D$2:$D$20001,IF(Settings!$B$3="","&lt;&gt;",Settings!$B$3)))</f>
        <v>0</v>
      </c>
      <c r="S101" s="39">
        <f>IF($P101&lt;&gt;1,0,SUMIFS('JLR Machines'!$I$2:$I$20001,'JLR Machines'!$A$2:$A$20001,$O101,'JLR Machines'!$C$2:$C$20001,IF(Settings!$B$2="","&lt;&gt;",Settings!$B$2),'JLR Machines'!$D$2:$D$20001,IF(Settings!$B$3="","&lt;&gt;",Settings!$B$3)))</f>
        <v>0</v>
      </c>
      <c r="T101" s="39">
        <f>IF($P101&lt;&gt;1,0,SUMIFS('JLR Machines'!$J$2:$J$20001,'JLR Machines'!$A$2:$A$20001,$O101,'JLR Machines'!$C$2:$C$20001,IF(Settings!$B$2="","&lt;&gt;",Settings!$B$2),'JLR Machines'!$D$2:$D$20001,IF(Settings!$B$3="","&lt;&gt;",Settings!$B$3)))</f>
        <v>0</v>
      </c>
      <c r="U101" s="39">
        <f>IF($P101&lt;&gt;1,0,SUMIFS('JLR Machines'!$K$2:$K$20001,'JLR Machines'!$A$2:$A$20001,$O101,'JLR Machines'!$C$2:$C$20001,IF(Settings!$B$2="","&lt;&gt;",Settings!$B$2),'JLR Machines'!$D$2:$D$20001,IF(Settings!$B$3="","&lt;&gt;",Settings!$B$3)))</f>
        <v>0</v>
      </c>
      <c r="V101" s="39">
        <f>IF($P101&lt;&gt;1,0,SUMIFS('JLR Machines'!$L$2:$L$20001,'JLR Machines'!$A$2:$A$20001,$O101,'JLR Machines'!$C$2:$C$20001,IF(Settings!$B$2="","&lt;&gt;",Settings!$B$2),'JLR Machines'!$D$2:$D$20001,IF(Settings!$B$3="","&lt;&gt;",Settings!$B$3)))</f>
        <v>0</v>
      </c>
      <c r="W101" s="39">
        <f>IF($P101&lt;&gt;1,0,SUMIFS('JLR Machines'!$M$2:$M$20001,'JLR Machines'!$A$2:$A$20001,$O101,'JLR Machines'!$C$2:$C$20001,IF(Settings!$B$2="","&lt;&gt;",Settings!$B$2),'JLR Machines'!$D$2:$D$20001,IF(Settings!$B$3="","&lt;&gt;",Settings!$B$3)))</f>
        <v>0</v>
      </c>
      <c r="X101" s="39">
        <f>IF($P101&lt;&gt;1,0,SUMIFS('JLR Machines'!$N$2:$N$20001,'JLR Machines'!$A$2:$A$20001,$O101,'JLR Machines'!$C$2:$C$20001,IF(Settings!$B$2="","&lt;&gt;",Settings!$B$2),'JLR Machines'!$D$2:$D$20001,IF(Settings!$B$3="","&lt;&gt;",Settings!$B$3)))</f>
        <v>0</v>
      </c>
      <c r="Y101" s="39">
        <f>$Q101+$R101+$S101+$T101+$U101+$V101+$W101</f>
        <v>0</v>
      </c>
      <c r="Z101" s="38">
        <f>IF($X101&lt;=0,0,ROUND((D101+E101+F101+G101+H101+I101)/5525-$X101,4))</f>
        <v>0</v>
      </c>
      <c r="AA101" s="40" t="s">
        <v>2285</v>
      </c>
      <c r="AB101" s="40" t="s">
        <v>2099</v>
      </c>
    </row>
    <row r="102" spans="1:28" x14ac:dyDescent="0.25">
      <c r="A102" s="32" t="s">
        <v>1124</v>
      </c>
      <c r="B102" s="33" t="s">
        <v>2286</v>
      </c>
      <c r="C102" s="33" t="s">
        <v>1379</v>
      </c>
      <c r="D102" s="41">
        <f>IF($X102&gt;0,IF($Y102&gt;0,MAX(0,$Q102+$X102-$Y102)*4800,$X102*4800),121440)</f>
        <v>121440</v>
      </c>
      <c r="E102" s="41">
        <f>IF($X102&gt;0,IF($Y102&gt;0,$S102*4800,0),40383)</f>
        <v>40383</v>
      </c>
      <c r="F102" s="41">
        <f>IF($X102&gt;0,IF($Y102&gt;0,$V102*4800,0),110696)</f>
        <v>110696</v>
      </c>
      <c r="G102" s="41">
        <f>IF($X102&gt;0,IF($Y102&gt;0,$R102*4800,0),22211)</f>
        <v>22211</v>
      </c>
      <c r="H102" s="41">
        <f>IF($X102&gt;0,IF($Y102&gt;0,($T102+$W102)*4800,0),20143)</f>
        <v>20143</v>
      </c>
      <c r="I102" s="41">
        <f>IF($X102&gt;0,IF($Y102&gt;0,$U102*4800,0),14000)</f>
        <v>14000</v>
      </c>
      <c r="J102" s="35">
        <v>6000</v>
      </c>
      <c r="K102" s="42">
        <v>0.8</v>
      </c>
      <c r="L102" s="36" t="str">
        <f>IF($X102&gt;0,IF($P102&lt;&gt;1,$AB102,IFERROR(INDEX('JLR Machines'!$D$2:$D$20001,MATCH($O102,'JLR Machines'!$A$2:$A$20001,0)),$AB102)),$AB102)</f>
        <v>2026-09-29</v>
      </c>
      <c r="M102" s="36" t="str">
        <f>IF($X102&gt;0,IF($Y102&gt;0,"JLR machine "&amp;$O102&amp;" at "&amp;TEXT($X102,"0.00")&amp;" per hr — build-up as supplied","JLR machine "&amp;$O102&amp;" at "&amp;TEXT($X102,"0.00")&amp;" per hr — build-up not supplied"),$AA102)</f>
        <v>UK plastics benchmark 2026-07. 3-extruder co-extrusion line — feed-block/multi-manifold die for skin/tie/barrier layers. Barrier pipe, weatherseals, packaging sheet.</v>
      </c>
      <c r="N102" s="33" t="s">
        <v>1380</v>
      </c>
      <c r="O102" s="37" t="str">
        <f>IFERROR(INDEX(Mapping!$C$2:$C$549,MATCH($A102,Mapping!$A$2:$A$549,0)),"")</f>
        <v/>
      </c>
      <c r="P102" s="37">
        <f>IF($O102="",0,COUNTIFS('JLR Machines'!$A$2:$A$20001,$O102,'JLR Machines'!$C$2:$C$20001,IF(Settings!$B$2="","&lt;&gt;",Settings!$B$2),'JLR Machines'!$D$2:$D$20001,IF(Settings!$B$3="","&lt;&gt;",Settings!$B$3)))</f>
        <v>0</v>
      </c>
      <c r="Q102" s="39">
        <f>IF($P102&lt;&gt;1,0,SUMIFS('JLR Machines'!$G$2:$G$20001,'JLR Machines'!$A$2:$A$20001,$O102,'JLR Machines'!$C$2:$C$20001,IF(Settings!$B$2="","&lt;&gt;",Settings!$B$2),'JLR Machines'!$D$2:$D$20001,IF(Settings!$B$3="","&lt;&gt;",Settings!$B$3)))</f>
        <v>0</v>
      </c>
      <c r="R102" s="39">
        <f>IF($P102&lt;&gt;1,0,SUMIFS('JLR Machines'!$H$2:$H$20001,'JLR Machines'!$A$2:$A$20001,$O102,'JLR Machines'!$C$2:$C$20001,IF(Settings!$B$2="","&lt;&gt;",Settings!$B$2),'JLR Machines'!$D$2:$D$20001,IF(Settings!$B$3="","&lt;&gt;",Settings!$B$3)))</f>
        <v>0</v>
      </c>
      <c r="S102" s="39">
        <f>IF($P102&lt;&gt;1,0,SUMIFS('JLR Machines'!$I$2:$I$20001,'JLR Machines'!$A$2:$A$20001,$O102,'JLR Machines'!$C$2:$C$20001,IF(Settings!$B$2="","&lt;&gt;",Settings!$B$2),'JLR Machines'!$D$2:$D$20001,IF(Settings!$B$3="","&lt;&gt;",Settings!$B$3)))</f>
        <v>0</v>
      </c>
      <c r="T102" s="39">
        <f>IF($P102&lt;&gt;1,0,SUMIFS('JLR Machines'!$J$2:$J$20001,'JLR Machines'!$A$2:$A$20001,$O102,'JLR Machines'!$C$2:$C$20001,IF(Settings!$B$2="","&lt;&gt;",Settings!$B$2),'JLR Machines'!$D$2:$D$20001,IF(Settings!$B$3="","&lt;&gt;",Settings!$B$3)))</f>
        <v>0</v>
      </c>
      <c r="U102" s="39">
        <f>IF($P102&lt;&gt;1,0,SUMIFS('JLR Machines'!$K$2:$K$20001,'JLR Machines'!$A$2:$A$20001,$O102,'JLR Machines'!$C$2:$C$20001,IF(Settings!$B$2="","&lt;&gt;",Settings!$B$2),'JLR Machines'!$D$2:$D$20001,IF(Settings!$B$3="","&lt;&gt;",Settings!$B$3)))</f>
        <v>0</v>
      </c>
      <c r="V102" s="39">
        <f>IF($P102&lt;&gt;1,0,SUMIFS('JLR Machines'!$L$2:$L$20001,'JLR Machines'!$A$2:$A$20001,$O102,'JLR Machines'!$C$2:$C$20001,IF(Settings!$B$2="","&lt;&gt;",Settings!$B$2),'JLR Machines'!$D$2:$D$20001,IF(Settings!$B$3="","&lt;&gt;",Settings!$B$3)))</f>
        <v>0</v>
      </c>
      <c r="W102" s="39">
        <f>IF($P102&lt;&gt;1,0,SUMIFS('JLR Machines'!$M$2:$M$20001,'JLR Machines'!$A$2:$A$20001,$O102,'JLR Machines'!$C$2:$C$20001,IF(Settings!$B$2="","&lt;&gt;",Settings!$B$2),'JLR Machines'!$D$2:$D$20001,IF(Settings!$B$3="","&lt;&gt;",Settings!$B$3)))</f>
        <v>0</v>
      </c>
      <c r="X102" s="39">
        <f>IF($P102&lt;&gt;1,0,SUMIFS('JLR Machines'!$N$2:$N$20001,'JLR Machines'!$A$2:$A$20001,$O102,'JLR Machines'!$C$2:$C$20001,IF(Settings!$B$2="","&lt;&gt;",Settings!$B$2),'JLR Machines'!$D$2:$D$20001,IF(Settings!$B$3="","&lt;&gt;",Settings!$B$3)))</f>
        <v>0</v>
      </c>
      <c r="Y102" s="39">
        <f>$Q102+$R102+$S102+$T102+$U102+$V102+$W102</f>
        <v>0</v>
      </c>
      <c r="Z102" s="38">
        <f>IF($X102&lt;=0,0,ROUND((D102+E102+F102+G102+H102+I102)/4800-$X102,4))</f>
        <v>0</v>
      </c>
      <c r="AA102" s="40" t="s">
        <v>2287</v>
      </c>
      <c r="AB102" s="40" t="s">
        <v>2099</v>
      </c>
    </row>
    <row r="103" spans="1:28" x14ac:dyDescent="0.25">
      <c r="A103" s="32" t="s">
        <v>1126</v>
      </c>
      <c r="B103" s="33" t="s">
        <v>2288</v>
      </c>
      <c r="C103" s="33" t="s">
        <v>1379</v>
      </c>
      <c r="D103" s="41">
        <f>IF($X103&gt;0,IF($Y103&gt;0,MAX(0,$Q103+$X103-$Y103)*3750,$X103*3750),60720)</f>
        <v>60720</v>
      </c>
      <c r="E103" s="41">
        <f>IF($X103&gt;0,IF($Y103&gt;0,$S103*3750,0),18173)</f>
        <v>18173</v>
      </c>
      <c r="F103" s="41">
        <f>IF($X103&gt;0,IF($Y103&gt;0,$V103*3750,0),34957)</f>
        <v>34957</v>
      </c>
      <c r="G103" s="41">
        <f>IF($X103&gt;0,IF($Y103&gt;0,$R103*3750,0),8077)</f>
        <v>8077</v>
      </c>
      <c r="H103" s="41">
        <f>IF($X103&gt;0,IF($Y103&gt;0,($T103+$W103)*3750,0),12086)</f>
        <v>12086</v>
      </c>
      <c r="I103" s="41">
        <f>IF($X103&gt;0,IF($Y103&gt;0,$U103*3750,0),7000)</f>
        <v>7000</v>
      </c>
      <c r="J103" s="35">
        <v>5000</v>
      </c>
      <c r="K103" s="42">
        <v>0.75</v>
      </c>
      <c r="L103" s="36" t="str">
        <f>IF($X103&gt;0,IF($P103&lt;&gt;1,$AB103,IFERROR(INDEX('JLR Machines'!$D$2:$D$20001,MATCH($O103,'JLR Machines'!$A$2:$A$20001,0)),$AB103)),$AB103)</f>
        <v>2026-09-29</v>
      </c>
      <c r="M103" s="36" t="str">
        <f>IF($X103&gt;0,IF($Y103&gt;0,"JLR machine "&amp;$O103&amp;" at "&amp;TEXT($X103,"0.00")&amp;" per hr — build-up as supplied","JLR machine "&amp;$O103&amp;" at "&amp;TEXT($X103,"0.00")&amp;" per hr — build-up not supplied"),$AA103)</f>
        <v>UK medical-extrusion benchmark 2026-07. Precision micro-tubing/multi-lumen line — vacuum sizing, laser OD/ID gauging, precision haul-off, cut-to-length. Catheter/medical tube.</v>
      </c>
      <c r="N103" s="33" t="s">
        <v>1380</v>
      </c>
      <c r="O103" s="37" t="str">
        <f>IFERROR(INDEX(Mapping!$C$2:$C$549,MATCH($A103,Mapping!$A$2:$A$549,0)),"")</f>
        <v/>
      </c>
      <c r="P103" s="37">
        <f>IF($O103="",0,COUNTIFS('JLR Machines'!$A$2:$A$20001,$O103,'JLR Machines'!$C$2:$C$20001,IF(Settings!$B$2="","&lt;&gt;",Settings!$B$2),'JLR Machines'!$D$2:$D$20001,IF(Settings!$B$3="","&lt;&gt;",Settings!$B$3)))</f>
        <v>0</v>
      </c>
      <c r="Q103" s="39">
        <f>IF($P103&lt;&gt;1,0,SUMIFS('JLR Machines'!$G$2:$G$20001,'JLR Machines'!$A$2:$A$20001,$O103,'JLR Machines'!$C$2:$C$20001,IF(Settings!$B$2="","&lt;&gt;",Settings!$B$2),'JLR Machines'!$D$2:$D$20001,IF(Settings!$B$3="","&lt;&gt;",Settings!$B$3)))</f>
        <v>0</v>
      </c>
      <c r="R103" s="39">
        <f>IF($P103&lt;&gt;1,0,SUMIFS('JLR Machines'!$H$2:$H$20001,'JLR Machines'!$A$2:$A$20001,$O103,'JLR Machines'!$C$2:$C$20001,IF(Settings!$B$2="","&lt;&gt;",Settings!$B$2),'JLR Machines'!$D$2:$D$20001,IF(Settings!$B$3="","&lt;&gt;",Settings!$B$3)))</f>
        <v>0</v>
      </c>
      <c r="S103" s="39">
        <f>IF($P103&lt;&gt;1,0,SUMIFS('JLR Machines'!$I$2:$I$20001,'JLR Machines'!$A$2:$A$20001,$O103,'JLR Machines'!$C$2:$C$20001,IF(Settings!$B$2="","&lt;&gt;",Settings!$B$2),'JLR Machines'!$D$2:$D$20001,IF(Settings!$B$3="","&lt;&gt;",Settings!$B$3)))</f>
        <v>0</v>
      </c>
      <c r="T103" s="39">
        <f>IF($P103&lt;&gt;1,0,SUMIFS('JLR Machines'!$J$2:$J$20001,'JLR Machines'!$A$2:$A$20001,$O103,'JLR Machines'!$C$2:$C$20001,IF(Settings!$B$2="","&lt;&gt;",Settings!$B$2),'JLR Machines'!$D$2:$D$20001,IF(Settings!$B$3="","&lt;&gt;",Settings!$B$3)))</f>
        <v>0</v>
      </c>
      <c r="U103" s="39">
        <f>IF($P103&lt;&gt;1,0,SUMIFS('JLR Machines'!$K$2:$K$20001,'JLR Machines'!$A$2:$A$20001,$O103,'JLR Machines'!$C$2:$C$20001,IF(Settings!$B$2="","&lt;&gt;",Settings!$B$2),'JLR Machines'!$D$2:$D$20001,IF(Settings!$B$3="","&lt;&gt;",Settings!$B$3)))</f>
        <v>0</v>
      </c>
      <c r="V103" s="39">
        <f>IF($P103&lt;&gt;1,0,SUMIFS('JLR Machines'!$L$2:$L$20001,'JLR Machines'!$A$2:$A$20001,$O103,'JLR Machines'!$C$2:$C$20001,IF(Settings!$B$2="","&lt;&gt;",Settings!$B$2),'JLR Machines'!$D$2:$D$20001,IF(Settings!$B$3="","&lt;&gt;",Settings!$B$3)))</f>
        <v>0</v>
      </c>
      <c r="W103" s="39">
        <f>IF($P103&lt;&gt;1,0,SUMIFS('JLR Machines'!$M$2:$M$20001,'JLR Machines'!$A$2:$A$20001,$O103,'JLR Machines'!$C$2:$C$20001,IF(Settings!$B$2="","&lt;&gt;",Settings!$B$2),'JLR Machines'!$D$2:$D$20001,IF(Settings!$B$3="","&lt;&gt;",Settings!$B$3)))</f>
        <v>0</v>
      </c>
      <c r="X103" s="39">
        <f>IF($P103&lt;&gt;1,0,SUMIFS('JLR Machines'!$N$2:$N$20001,'JLR Machines'!$A$2:$A$20001,$O103,'JLR Machines'!$C$2:$C$20001,IF(Settings!$B$2="","&lt;&gt;",Settings!$B$2),'JLR Machines'!$D$2:$D$20001,IF(Settings!$B$3="","&lt;&gt;",Settings!$B$3)))</f>
        <v>0</v>
      </c>
      <c r="Y103" s="39">
        <f>$Q103+$R103+$S103+$T103+$U103+$V103+$W103</f>
        <v>0</v>
      </c>
      <c r="Z103" s="38">
        <f>IF($X103&lt;=0,0,ROUND((D103+E103+F103+G103+H103+I103)/3750-$X103,4))</f>
        <v>0</v>
      </c>
      <c r="AA103" s="40" t="s">
        <v>2289</v>
      </c>
      <c r="AB103" s="40" t="s">
        <v>2099</v>
      </c>
    </row>
    <row r="104" spans="1:28" x14ac:dyDescent="0.25">
      <c r="A104" s="32" t="s">
        <v>1128</v>
      </c>
      <c r="B104" s="33" t="s">
        <v>2290</v>
      </c>
      <c r="C104" s="33" t="s">
        <v>1379</v>
      </c>
      <c r="D104" s="41">
        <f>IF($X104&gt;0,IF($Y104&gt;0,MAX(0,$Q104+$X104-$Y104)*3200,$X104*3200),4048)</f>
        <v>4048</v>
      </c>
      <c r="E104" s="41">
        <f>IF($X104&gt;0,IF($Y104&gt;0,$S104*3200,0),2019)</f>
        <v>2019</v>
      </c>
      <c r="F104" s="41">
        <f>IF($X104&gt;0,IF($Y104&gt;0,$V104*3200,0),3496)</f>
        <v>3496</v>
      </c>
      <c r="G104" s="41">
        <f>IF($X104&gt;0,IF($Y104&gt;0,$R104*3200,0),2019)</f>
        <v>2019</v>
      </c>
      <c r="H104" s="41">
        <f>IF($X104&gt;0,IF($Y104&gt;0,($T104+$W104)*3200,0),2014)</f>
        <v>2014</v>
      </c>
      <c r="I104" s="41">
        <f>IF($X104&gt;0,IF($Y104&gt;0,$U104*3200,0),500)</f>
        <v>500</v>
      </c>
      <c r="J104" s="35">
        <v>4000</v>
      </c>
      <c r="K104" s="42">
        <v>0.8</v>
      </c>
      <c r="L104" s="36" t="str">
        <f>IF($X104&gt;0,IF($P104&lt;&gt;1,$AB104,IFERROR(INDEX('JLR Machines'!$D$2:$D$20001,MATCH($O104,'JLR Machines'!$A$2:$A$20001,0)),$AB104)),$AB104)</f>
        <v>2026-09-29</v>
      </c>
      <c r="M104" s="36" t="str">
        <f>IF($X104&gt;0,IF($Y104&gt;0,"JLR machine "&amp;$O104&amp;" at "&amp;TEXT($X104,"0.00")&amp;" per hr — build-up as supplied","JLR machine "&amp;$O104&amp;" at "&amp;TEXT($X104,"0.00")&amp;" per hr — build-up not supplied"),$AA104)</f>
        <v>UK benchmark 2026-07. Downstream cut/coil + dimensional inspection station for extruded product (mostly labour).</v>
      </c>
      <c r="N104" s="33" t="s">
        <v>1380</v>
      </c>
      <c r="O104" s="37" t="str">
        <f>IFERROR(INDEX(Mapping!$C$2:$C$549,MATCH($A104,Mapping!$A$2:$A$549,0)),"")</f>
        <v/>
      </c>
      <c r="P104" s="37">
        <f>IF($O104="",0,COUNTIFS('JLR Machines'!$A$2:$A$20001,$O104,'JLR Machines'!$C$2:$C$20001,IF(Settings!$B$2="","&lt;&gt;",Settings!$B$2),'JLR Machines'!$D$2:$D$20001,IF(Settings!$B$3="","&lt;&gt;",Settings!$B$3)))</f>
        <v>0</v>
      </c>
      <c r="Q104" s="39">
        <f>IF($P104&lt;&gt;1,0,SUMIFS('JLR Machines'!$G$2:$G$20001,'JLR Machines'!$A$2:$A$20001,$O104,'JLR Machines'!$C$2:$C$20001,IF(Settings!$B$2="","&lt;&gt;",Settings!$B$2),'JLR Machines'!$D$2:$D$20001,IF(Settings!$B$3="","&lt;&gt;",Settings!$B$3)))</f>
        <v>0</v>
      </c>
      <c r="R104" s="39">
        <f>IF($P104&lt;&gt;1,0,SUMIFS('JLR Machines'!$H$2:$H$20001,'JLR Machines'!$A$2:$A$20001,$O104,'JLR Machines'!$C$2:$C$20001,IF(Settings!$B$2="","&lt;&gt;",Settings!$B$2),'JLR Machines'!$D$2:$D$20001,IF(Settings!$B$3="","&lt;&gt;",Settings!$B$3)))</f>
        <v>0</v>
      </c>
      <c r="S104" s="39">
        <f>IF($P104&lt;&gt;1,0,SUMIFS('JLR Machines'!$I$2:$I$20001,'JLR Machines'!$A$2:$A$20001,$O104,'JLR Machines'!$C$2:$C$20001,IF(Settings!$B$2="","&lt;&gt;",Settings!$B$2),'JLR Machines'!$D$2:$D$20001,IF(Settings!$B$3="","&lt;&gt;",Settings!$B$3)))</f>
        <v>0</v>
      </c>
      <c r="T104" s="39">
        <f>IF($P104&lt;&gt;1,0,SUMIFS('JLR Machines'!$J$2:$J$20001,'JLR Machines'!$A$2:$A$20001,$O104,'JLR Machines'!$C$2:$C$20001,IF(Settings!$B$2="","&lt;&gt;",Settings!$B$2),'JLR Machines'!$D$2:$D$20001,IF(Settings!$B$3="","&lt;&gt;",Settings!$B$3)))</f>
        <v>0</v>
      </c>
      <c r="U104" s="39">
        <f>IF($P104&lt;&gt;1,0,SUMIFS('JLR Machines'!$K$2:$K$20001,'JLR Machines'!$A$2:$A$20001,$O104,'JLR Machines'!$C$2:$C$20001,IF(Settings!$B$2="","&lt;&gt;",Settings!$B$2),'JLR Machines'!$D$2:$D$20001,IF(Settings!$B$3="","&lt;&gt;",Settings!$B$3)))</f>
        <v>0</v>
      </c>
      <c r="V104" s="39">
        <f>IF($P104&lt;&gt;1,0,SUMIFS('JLR Machines'!$L$2:$L$20001,'JLR Machines'!$A$2:$A$20001,$O104,'JLR Machines'!$C$2:$C$20001,IF(Settings!$B$2="","&lt;&gt;",Settings!$B$2),'JLR Machines'!$D$2:$D$20001,IF(Settings!$B$3="","&lt;&gt;",Settings!$B$3)))</f>
        <v>0</v>
      </c>
      <c r="W104" s="39">
        <f>IF($P104&lt;&gt;1,0,SUMIFS('JLR Machines'!$M$2:$M$20001,'JLR Machines'!$A$2:$A$20001,$O104,'JLR Machines'!$C$2:$C$20001,IF(Settings!$B$2="","&lt;&gt;",Settings!$B$2),'JLR Machines'!$D$2:$D$20001,IF(Settings!$B$3="","&lt;&gt;",Settings!$B$3)))</f>
        <v>0</v>
      </c>
      <c r="X104" s="39">
        <f>IF($P104&lt;&gt;1,0,SUMIFS('JLR Machines'!$N$2:$N$20001,'JLR Machines'!$A$2:$A$20001,$O104,'JLR Machines'!$C$2:$C$20001,IF(Settings!$B$2="","&lt;&gt;",Settings!$B$2),'JLR Machines'!$D$2:$D$20001,IF(Settings!$B$3="","&lt;&gt;",Settings!$B$3)))</f>
        <v>0</v>
      </c>
      <c r="Y104" s="39">
        <f>$Q104+$R104+$S104+$T104+$U104+$V104+$W104</f>
        <v>0</v>
      </c>
      <c r="Z104" s="38">
        <f>IF($X104&lt;=0,0,ROUND((D104+E104+F104+G104+H104+I104)/3200-$X104,4))</f>
        <v>0</v>
      </c>
      <c r="AA104" s="40" t="s">
        <v>2291</v>
      </c>
      <c r="AB104" s="40" t="s">
        <v>2099</v>
      </c>
    </row>
    <row r="105" spans="1:28" x14ac:dyDescent="0.25">
      <c r="A105" s="32" t="s">
        <v>1130</v>
      </c>
      <c r="B105" s="33" t="s">
        <v>2292</v>
      </c>
      <c r="C105" s="33" t="s">
        <v>1379</v>
      </c>
      <c r="D105" s="41">
        <f>IF($X105&gt;0,IF($Y105&gt;0,MAX(0,$Q105+$X105-$Y105)*2800,$X105*2800),6072)</f>
        <v>6072</v>
      </c>
      <c r="E105" s="41">
        <f>IF($X105&gt;0,IF($Y105&gt;0,$S105*2800,0),2524)</f>
        <v>2524</v>
      </c>
      <c r="F105" s="41">
        <f>IF($X105&gt;0,IF($Y105&gt;0,$V105*2800,0),2330)</f>
        <v>2330</v>
      </c>
      <c r="G105" s="41">
        <f>IF($X105&gt;0,IF($Y105&gt;0,$R105*2800,0),2019)</f>
        <v>2019</v>
      </c>
      <c r="H105" s="41">
        <f>IF($X105&gt;0,IF($Y105&gt;0,($T105+$W105)*2800,0),2518)</f>
        <v>2518</v>
      </c>
      <c r="I105" s="41">
        <f>IF($X105&gt;0,IF($Y105&gt;0,$U105*2800,0),800)</f>
        <v>800</v>
      </c>
      <c r="J105" s="35">
        <v>4000</v>
      </c>
      <c r="K105" s="42">
        <v>0.7</v>
      </c>
      <c r="L105" s="36" t="str">
        <f>IF($X105&gt;0,IF($P105&lt;&gt;1,$AB105,IFERROR(INDEX('JLR Machines'!$D$2:$D$20001,MATCH($O105,'JLR Machines'!$A$2:$A$20001,0)),$AB105)),$AB105)</f>
        <v>2026-09-29</v>
      </c>
      <c r="M105" s="36" t="str">
        <f>IF($X105&gt;0,IF($Y105&gt;0,"JLR machine "&amp;$O105&amp;" at "&amp;TEXT($X105,"0.00")&amp;" per hr — build-up as supplied","JLR machine "&amp;$O105&amp;" at "&amp;TEXT($X105,"0.00")&amp;" per hr — build-up not supplied"),$AA105)</f>
        <v>UK benchmark 2026-07. Hydrostatic/air pressure &amp; leak test rig for pipe, hose and tubing.</v>
      </c>
      <c r="N105" s="33" t="s">
        <v>1380</v>
      </c>
      <c r="O105" s="37" t="str">
        <f>IFERROR(INDEX(Mapping!$C$2:$C$549,MATCH($A105,Mapping!$A$2:$A$549,0)),"")</f>
        <v/>
      </c>
      <c r="P105" s="37">
        <f>IF($O105="",0,COUNTIFS('JLR Machines'!$A$2:$A$20001,$O105,'JLR Machines'!$C$2:$C$20001,IF(Settings!$B$2="","&lt;&gt;",Settings!$B$2),'JLR Machines'!$D$2:$D$20001,IF(Settings!$B$3="","&lt;&gt;",Settings!$B$3)))</f>
        <v>0</v>
      </c>
      <c r="Q105" s="39">
        <f>IF($P105&lt;&gt;1,0,SUMIFS('JLR Machines'!$G$2:$G$20001,'JLR Machines'!$A$2:$A$20001,$O105,'JLR Machines'!$C$2:$C$20001,IF(Settings!$B$2="","&lt;&gt;",Settings!$B$2),'JLR Machines'!$D$2:$D$20001,IF(Settings!$B$3="","&lt;&gt;",Settings!$B$3)))</f>
        <v>0</v>
      </c>
      <c r="R105" s="39">
        <f>IF($P105&lt;&gt;1,0,SUMIFS('JLR Machines'!$H$2:$H$20001,'JLR Machines'!$A$2:$A$20001,$O105,'JLR Machines'!$C$2:$C$20001,IF(Settings!$B$2="","&lt;&gt;",Settings!$B$2),'JLR Machines'!$D$2:$D$20001,IF(Settings!$B$3="","&lt;&gt;",Settings!$B$3)))</f>
        <v>0</v>
      </c>
      <c r="S105" s="39">
        <f>IF($P105&lt;&gt;1,0,SUMIFS('JLR Machines'!$I$2:$I$20001,'JLR Machines'!$A$2:$A$20001,$O105,'JLR Machines'!$C$2:$C$20001,IF(Settings!$B$2="","&lt;&gt;",Settings!$B$2),'JLR Machines'!$D$2:$D$20001,IF(Settings!$B$3="","&lt;&gt;",Settings!$B$3)))</f>
        <v>0</v>
      </c>
      <c r="T105" s="39">
        <f>IF($P105&lt;&gt;1,0,SUMIFS('JLR Machines'!$J$2:$J$20001,'JLR Machines'!$A$2:$A$20001,$O105,'JLR Machines'!$C$2:$C$20001,IF(Settings!$B$2="","&lt;&gt;",Settings!$B$2),'JLR Machines'!$D$2:$D$20001,IF(Settings!$B$3="","&lt;&gt;",Settings!$B$3)))</f>
        <v>0</v>
      </c>
      <c r="U105" s="39">
        <f>IF($P105&lt;&gt;1,0,SUMIFS('JLR Machines'!$K$2:$K$20001,'JLR Machines'!$A$2:$A$20001,$O105,'JLR Machines'!$C$2:$C$20001,IF(Settings!$B$2="","&lt;&gt;",Settings!$B$2),'JLR Machines'!$D$2:$D$20001,IF(Settings!$B$3="","&lt;&gt;",Settings!$B$3)))</f>
        <v>0</v>
      </c>
      <c r="V105" s="39">
        <f>IF($P105&lt;&gt;1,0,SUMIFS('JLR Machines'!$L$2:$L$20001,'JLR Machines'!$A$2:$A$20001,$O105,'JLR Machines'!$C$2:$C$20001,IF(Settings!$B$2="","&lt;&gt;",Settings!$B$2),'JLR Machines'!$D$2:$D$20001,IF(Settings!$B$3="","&lt;&gt;",Settings!$B$3)))</f>
        <v>0</v>
      </c>
      <c r="W105" s="39">
        <f>IF($P105&lt;&gt;1,0,SUMIFS('JLR Machines'!$M$2:$M$20001,'JLR Machines'!$A$2:$A$20001,$O105,'JLR Machines'!$C$2:$C$20001,IF(Settings!$B$2="","&lt;&gt;",Settings!$B$2),'JLR Machines'!$D$2:$D$20001,IF(Settings!$B$3="","&lt;&gt;",Settings!$B$3)))</f>
        <v>0</v>
      </c>
      <c r="X105" s="39">
        <f>IF($P105&lt;&gt;1,0,SUMIFS('JLR Machines'!$N$2:$N$20001,'JLR Machines'!$A$2:$A$20001,$O105,'JLR Machines'!$C$2:$C$20001,IF(Settings!$B$2="","&lt;&gt;",Settings!$B$2),'JLR Machines'!$D$2:$D$20001,IF(Settings!$B$3="","&lt;&gt;",Settings!$B$3)))</f>
        <v>0</v>
      </c>
      <c r="Y105" s="39">
        <f>$Q105+$R105+$S105+$T105+$U105+$V105+$W105</f>
        <v>0</v>
      </c>
      <c r="Z105" s="38">
        <f>IF($X105&lt;=0,0,ROUND((D105+E105+F105+G105+H105+I105)/2800-$X105,4))</f>
        <v>0</v>
      </c>
      <c r="AA105" s="40" t="s">
        <v>2293</v>
      </c>
      <c r="AB105" s="40" t="s">
        <v>2099</v>
      </c>
    </row>
    <row r="106" spans="1:28" x14ac:dyDescent="0.25">
      <c r="A106" s="32" t="s">
        <v>1132</v>
      </c>
      <c r="B106" s="33" t="s">
        <v>2294</v>
      </c>
      <c r="C106" s="33" t="s">
        <v>1379</v>
      </c>
      <c r="D106" s="41">
        <f>IF($X106&gt;0,IF($Y106&gt;0,MAX(0,$Q106+$X106-$Y106)*3200,$X106*3200),15180)</f>
        <v>15180</v>
      </c>
      <c r="E106" s="41">
        <f>IF($X106&gt;0,IF($Y106&gt;0,$S106*3200,0),6058)</f>
        <v>6058</v>
      </c>
      <c r="F106" s="41">
        <f>IF($X106&gt;0,IF($Y106&gt;0,$V106*3200,0),13983)</f>
        <v>13983</v>
      </c>
      <c r="G106" s="41">
        <f>IF($X106&gt;0,IF($Y106&gt;0,$R106*3200,0),4038)</f>
        <v>4038</v>
      </c>
      <c r="H106" s="41">
        <f>IF($X106&gt;0,IF($Y106&gt;0,($T106+$W106)*3200,0),3022)</f>
        <v>3022</v>
      </c>
      <c r="I106" s="41">
        <f>IF($X106&gt;0,IF($Y106&gt;0,$U106*3200,0),1875)</f>
        <v>1875</v>
      </c>
      <c r="J106" s="35">
        <v>4000</v>
      </c>
      <c r="K106" s="42">
        <v>0.8</v>
      </c>
      <c r="L106" s="36" t="str">
        <f>IF($X106&gt;0,IF($P106&lt;&gt;1,$AB106,IFERROR(INDEX('JLR Machines'!$D$2:$D$20001,MATCH($O106,'JLR Machines'!$A$2:$A$20001,0)),$AB106)),$AB106)</f>
        <v>2026-09-29</v>
      </c>
      <c r="M106" s="36" t="str">
        <f>IF($X106&gt;0,IF($Y106&gt;0,"JLR machine "&amp;$O106&amp;" at "&amp;TEXT($X106,"0.00")&amp;" per hr — build-up as supplied","JLR machine "&amp;$O106&amp;" at "&amp;TEXT($X106,"0.00")&amp;" per hr — build-up not supplied"),$AA106)</f>
        <v>UK plastics benchmark. Single-station vacuum former, up to 800×600mm sheet. Jun 2026</v>
      </c>
      <c r="N106" s="33" t="s">
        <v>1380</v>
      </c>
      <c r="O106" s="37" t="str">
        <f>IFERROR(INDEX(Mapping!$C$2:$C$549,MATCH($A106,Mapping!$A$2:$A$549,0)),"")</f>
        <v/>
      </c>
      <c r="P106" s="37">
        <f>IF($O106="",0,COUNTIFS('JLR Machines'!$A$2:$A$20001,$O106,'JLR Machines'!$C$2:$C$20001,IF(Settings!$B$2="","&lt;&gt;",Settings!$B$2),'JLR Machines'!$D$2:$D$20001,IF(Settings!$B$3="","&lt;&gt;",Settings!$B$3)))</f>
        <v>0</v>
      </c>
      <c r="Q106" s="39">
        <f>IF($P106&lt;&gt;1,0,SUMIFS('JLR Machines'!$G$2:$G$20001,'JLR Machines'!$A$2:$A$20001,$O106,'JLR Machines'!$C$2:$C$20001,IF(Settings!$B$2="","&lt;&gt;",Settings!$B$2),'JLR Machines'!$D$2:$D$20001,IF(Settings!$B$3="","&lt;&gt;",Settings!$B$3)))</f>
        <v>0</v>
      </c>
      <c r="R106" s="39">
        <f>IF($P106&lt;&gt;1,0,SUMIFS('JLR Machines'!$H$2:$H$20001,'JLR Machines'!$A$2:$A$20001,$O106,'JLR Machines'!$C$2:$C$20001,IF(Settings!$B$2="","&lt;&gt;",Settings!$B$2),'JLR Machines'!$D$2:$D$20001,IF(Settings!$B$3="","&lt;&gt;",Settings!$B$3)))</f>
        <v>0</v>
      </c>
      <c r="S106" s="39">
        <f>IF($P106&lt;&gt;1,0,SUMIFS('JLR Machines'!$I$2:$I$20001,'JLR Machines'!$A$2:$A$20001,$O106,'JLR Machines'!$C$2:$C$20001,IF(Settings!$B$2="","&lt;&gt;",Settings!$B$2),'JLR Machines'!$D$2:$D$20001,IF(Settings!$B$3="","&lt;&gt;",Settings!$B$3)))</f>
        <v>0</v>
      </c>
      <c r="T106" s="39">
        <f>IF($P106&lt;&gt;1,0,SUMIFS('JLR Machines'!$J$2:$J$20001,'JLR Machines'!$A$2:$A$20001,$O106,'JLR Machines'!$C$2:$C$20001,IF(Settings!$B$2="","&lt;&gt;",Settings!$B$2),'JLR Machines'!$D$2:$D$20001,IF(Settings!$B$3="","&lt;&gt;",Settings!$B$3)))</f>
        <v>0</v>
      </c>
      <c r="U106" s="39">
        <f>IF($P106&lt;&gt;1,0,SUMIFS('JLR Machines'!$K$2:$K$20001,'JLR Machines'!$A$2:$A$20001,$O106,'JLR Machines'!$C$2:$C$20001,IF(Settings!$B$2="","&lt;&gt;",Settings!$B$2),'JLR Machines'!$D$2:$D$20001,IF(Settings!$B$3="","&lt;&gt;",Settings!$B$3)))</f>
        <v>0</v>
      </c>
      <c r="V106" s="39">
        <f>IF($P106&lt;&gt;1,0,SUMIFS('JLR Machines'!$L$2:$L$20001,'JLR Machines'!$A$2:$A$20001,$O106,'JLR Machines'!$C$2:$C$20001,IF(Settings!$B$2="","&lt;&gt;",Settings!$B$2),'JLR Machines'!$D$2:$D$20001,IF(Settings!$B$3="","&lt;&gt;",Settings!$B$3)))</f>
        <v>0</v>
      </c>
      <c r="W106" s="39">
        <f>IF($P106&lt;&gt;1,0,SUMIFS('JLR Machines'!$M$2:$M$20001,'JLR Machines'!$A$2:$A$20001,$O106,'JLR Machines'!$C$2:$C$20001,IF(Settings!$B$2="","&lt;&gt;",Settings!$B$2),'JLR Machines'!$D$2:$D$20001,IF(Settings!$B$3="","&lt;&gt;",Settings!$B$3)))</f>
        <v>0</v>
      </c>
      <c r="X106" s="39">
        <f>IF($P106&lt;&gt;1,0,SUMIFS('JLR Machines'!$N$2:$N$20001,'JLR Machines'!$A$2:$A$20001,$O106,'JLR Machines'!$C$2:$C$20001,IF(Settings!$B$2="","&lt;&gt;",Settings!$B$2),'JLR Machines'!$D$2:$D$20001,IF(Settings!$B$3="","&lt;&gt;",Settings!$B$3)))</f>
        <v>0</v>
      </c>
      <c r="Y106" s="39">
        <f>$Q106+$R106+$S106+$T106+$U106+$V106+$W106</f>
        <v>0</v>
      </c>
      <c r="Z106" s="38">
        <f>IF($X106&lt;=0,0,ROUND((D106+E106+F106+G106+H106+I106)/3200-$X106,4))</f>
        <v>0</v>
      </c>
      <c r="AA106" s="40" t="s">
        <v>2295</v>
      </c>
      <c r="AB106" s="40" t="s">
        <v>2099</v>
      </c>
    </row>
    <row r="107" spans="1:28" x14ac:dyDescent="0.25">
      <c r="A107" s="32" t="s">
        <v>1134</v>
      </c>
      <c r="B107" s="33" t="s">
        <v>2296</v>
      </c>
      <c r="C107" s="33" t="s">
        <v>1379</v>
      </c>
      <c r="D107" s="41">
        <f>IF($X107&gt;0,IF($Y107&gt;0,MAX(0,$Q107+$X107-$Y107)*3280,$X107*3280),45540)</f>
        <v>45540</v>
      </c>
      <c r="E107" s="41">
        <f>IF($X107&gt;0,IF($Y107&gt;0,$S107*3280,0),18173)</f>
        <v>18173</v>
      </c>
      <c r="F107" s="41">
        <f>IF($X107&gt;0,IF($Y107&gt;0,$V107*3280,0),32626)</f>
        <v>32626</v>
      </c>
      <c r="G107" s="41">
        <f>IF($X107&gt;0,IF($Y107&gt;0,$R107*3280,0),10096)</f>
        <v>10096</v>
      </c>
      <c r="H107" s="41">
        <f>IF($X107&gt;0,IF($Y107&gt;0,($T107+$W107)*3280,0),9065)</f>
        <v>9065</v>
      </c>
      <c r="I107" s="41">
        <f>IF($X107&gt;0,IF($Y107&gt;0,$U107*3280,0),5625)</f>
        <v>5625</v>
      </c>
      <c r="J107" s="35">
        <v>4000</v>
      </c>
      <c r="K107" s="42">
        <v>0.82</v>
      </c>
      <c r="L107" s="36" t="str">
        <f>IF($X107&gt;0,IF($P107&lt;&gt;1,$AB107,IFERROR(INDEX('JLR Machines'!$D$2:$D$20001,MATCH($O107,'JLR Machines'!$A$2:$A$20001,0)),$AB107)),$AB107)</f>
        <v>2026-09-29</v>
      </c>
      <c r="M107" s="36" t="str">
        <f>IF($X107&gt;0,IF($Y107&gt;0,"JLR machine "&amp;$O107&amp;" at "&amp;TEXT($X107,"0.00")&amp;" per hr — build-up as supplied","JLR machine "&amp;$O107&amp;" at "&amp;TEXT($X107,"0.00")&amp;" per hr — build-up not supplied"),$AA107)</f>
        <v>UK plastics benchmark. Inline rotary thermoformer, 1200×1000mm+ sheet. Jun 2026</v>
      </c>
      <c r="N107" s="33" t="s">
        <v>1380</v>
      </c>
      <c r="O107" s="37" t="str">
        <f>IFERROR(INDEX(Mapping!$C$2:$C$549,MATCH($A107,Mapping!$A$2:$A$549,0)),"")</f>
        <v/>
      </c>
      <c r="P107" s="37">
        <f>IF($O107="",0,COUNTIFS('JLR Machines'!$A$2:$A$20001,$O107,'JLR Machines'!$C$2:$C$20001,IF(Settings!$B$2="","&lt;&gt;",Settings!$B$2),'JLR Machines'!$D$2:$D$20001,IF(Settings!$B$3="","&lt;&gt;",Settings!$B$3)))</f>
        <v>0</v>
      </c>
      <c r="Q107" s="39">
        <f>IF($P107&lt;&gt;1,0,SUMIFS('JLR Machines'!$G$2:$G$20001,'JLR Machines'!$A$2:$A$20001,$O107,'JLR Machines'!$C$2:$C$20001,IF(Settings!$B$2="","&lt;&gt;",Settings!$B$2),'JLR Machines'!$D$2:$D$20001,IF(Settings!$B$3="","&lt;&gt;",Settings!$B$3)))</f>
        <v>0</v>
      </c>
      <c r="R107" s="39">
        <f>IF($P107&lt;&gt;1,0,SUMIFS('JLR Machines'!$H$2:$H$20001,'JLR Machines'!$A$2:$A$20001,$O107,'JLR Machines'!$C$2:$C$20001,IF(Settings!$B$2="","&lt;&gt;",Settings!$B$2),'JLR Machines'!$D$2:$D$20001,IF(Settings!$B$3="","&lt;&gt;",Settings!$B$3)))</f>
        <v>0</v>
      </c>
      <c r="S107" s="39">
        <f>IF($P107&lt;&gt;1,0,SUMIFS('JLR Machines'!$I$2:$I$20001,'JLR Machines'!$A$2:$A$20001,$O107,'JLR Machines'!$C$2:$C$20001,IF(Settings!$B$2="","&lt;&gt;",Settings!$B$2),'JLR Machines'!$D$2:$D$20001,IF(Settings!$B$3="","&lt;&gt;",Settings!$B$3)))</f>
        <v>0</v>
      </c>
      <c r="T107" s="39">
        <f>IF($P107&lt;&gt;1,0,SUMIFS('JLR Machines'!$J$2:$J$20001,'JLR Machines'!$A$2:$A$20001,$O107,'JLR Machines'!$C$2:$C$20001,IF(Settings!$B$2="","&lt;&gt;",Settings!$B$2),'JLR Machines'!$D$2:$D$20001,IF(Settings!$B$3="","&lt;&gt;",Settings!$B$3)))</f>
        <v>0</v>
      </c>
      <c r="U107" s="39">
        <f>IF($P107&lt;&gt;1,0,SUMIFS('JLR Machines'!$K$2:$K$20001,'JLR Machines'!$A$2:$A$20001,$O107,'JLR Machines'!$C$2:$C$20001,IF(Settings!$B$2="","&lt;&gt;",Settings!$B$2),'JLR Machines'!$D$2:$D$20001,IF(Settings!$B$3="","&lt;&gt;",Settings!$B$3)))</f>
        <v>0</v>
      </c>
      <c r="V107" s="39">
        <f>IF($P107&lt;&gt;1,0,SUMIFS('JLR Machines'!$L$2:$L$20001,'JLR Machines'!$A$2:$A$20001,$O107,'JLR Machines'!$C$2:$C$20001,IF(Settings!$B$2="","&lt;&gt;",Settings!$B$2),'JLR Machines'!$D$2:$D$20001,IF(Settings!$B$3="","&lt;&gt;",Settings!$B$3)))</f>
        <v>0</v>
      </c>
      <c r="W107" s="39">
        <f>IF($P107&lt;&gt;1,0,SUMIFS('JLR Machines'!$M$2:$M$20001,'JLR Machines'!$A$2:$A$20001,$O107,'JLR Machines'!$C$2:$C$20001,IF(Settings!$B$2="","&lt;&gt;",Settings!$B$2),'JLR Machines'!$D$2:$D$20001,IF(Settings!$B$3="","&lt;&gt;",Settings!$B$3)))</f>
        <v>0</v>
      </c>
      <c r="X107" s="39">
        <f>IF($P107&lt;&gt;1,0,SUMIFS('JLR Machines'!$N$2:$N$20001,'JLR Machines'!$A$2:$A$20001,$O107,'JLR Machines'!$C$2:$C$20001,IF(Settings!$B$2="","&lt;&gt;",Settings!$B$2),'JLR Machines'!$D$2:$D$20001,IF(Settings!$B$3="","&lt;&gt;",Settings!$B$3)))</f>
        <v>0</v>
      </c>
      <c r="Y107" s="39">
        <f>$Q107+$R107+$S107+$T107+$U107+$V107+$W107</f>
        <v>0</v>
      </c>
      <c r="Z107" s="38">
        <f>IF($X107&lt;=0,0,ROUND((D107+E107+F107+G107+H107+I107)/3280-$X107,4))</f>
        <v>0</v>
      </c>
      <c r="AA107" s="40" t="s">
        <v>2297</v>
      </c>
      <c r="AB107" s="40" t="s">
        <v>2099</v>
      </c>
    </row>
    <row r="108" spans="1:28" x14ac:dyDescent="0.25">
      <c r="A108" s="32" t="s">
        <v>1136</v>
      </c>
      <c r="B108" s="33" t="s">
        <v>2298</v>
      </c>
      <c r="C108" s="33" t="s">
        <v>1379</v>
      </c>
      <c r="D108" s="41">
        <f>IF($X108&gt;0,IF($Y108&gt;0,MAX(0,$Q108+$X108-$Y108)*3200,$X108*3200),32384)</f>
        <v>32384</v>
      </c>
      <c r="E108" s="41">
        <f>IF($X108&gt;0,IF($Y108&gt;0,$S108*3200,0),13125)</f>
        <v>13125</v>
      </c>
      <c r="F108" s="41">
        <f>IF($X108&gt;0,IF($Y108&gt;0,$V108*3200,0),25635)</f>
        <v>25635</v>
      </c>
      <c r="G108" s="41">
        <f>IF($X108&gt;0,IF($Y108&gt;0,$R108*3200,0),7067)</f>
        <v>7067</v>
      </c>
      <c r="H108" s="41">
        <f>IF($X108&gt;0,IF($Y108&gt;0,($T108+$W108)*3200,0),7050)</f>
        <v>7050</v>
      </c>
      <c r="I108" s="41">
        <f>IF($X108&gt;0,IF($Y108&gt;0,$U108*3200,0),4000)</f>
        <v>4000</v>
      </c>
      <c r="J108" s="35">
        <v>4000</v>
      </c>
      <c r="K108" s="42">
        <v>0.8</v>
      </c>
      <c r="L108" s="36" t="str">
        <f>IF($X108&gt;0,IF($P108&lt;&gt;1,$AB108,IFERROR(INDEX('JLR Machines'!$D$2:$D$20001,MATCH($O108,'JLR Machines'!$A$2:$A$20001,0)),$AB108)),$AB108)</f>
        <v>2026-09-29</v>
      </c>
      <c r="M108" s="36" t="str">
        <f>IF($X108&gt;0,IF($Y108&gt;0,"JLR machine "&amp;$O108&amp;" at "&amp;TEXT($X108,"0.00")&amp;" per hr — build-up as supplied","JLR machine "&amp;$O108&amp;" at "&amp;TEXT($X108,"0.00")&amp;" per hr — build-up not supplied"),$AA108)</f>
        <v>UK plastics benchmark 2026-07. Cut-sheet pressure former — compressed-air box (3–6 bar) for crisp detail/texture (appliance fascias, medical). Higher energy + steel/CNC-Al tool.</v>
      </c>
      <c r="N108" s="33" t="s">
        <v>1380</v>
      </c>
      <c r="O108" s="37" t="str">
        <f>IFERROR(INDEX(Mapping!$C$2:$C$549,MATCH($A108,Mapping!$A$2:$A$549,0)),"")</f>
        <v/>
      </c>
      <c r="P108" s="37">
        <f>IF($O108="",0,COUNTIFS('JLR Machines'!$A$2:$A$20001,$O108,'JLR Machines'!$C$2:$C$20001,IF(Settings!$B$2="","&lt;&gt;",Settings!$B$2),'JLR Machines'!$D$2:$D$20001,IF(Settings!$B$3="","&lt;&gt;",Settings!$B$3)))</f>
        <v>0</v>
      </c>
      <c r="Q108" s="39">
        <f>IF($P108&lt;&gt;1,0,SUMIFS('JLR Machines'!$G$2:$G$20001,'JLR Machines'!$A$2:$A$20001,$O108,'JLR Machines'!$C$2:$C$20001,IF(Settings!$B$2="","&lt;&gt;",Settings!$B$2),'JLR Machines'!$D$2:$D$20001,IF(Settings!$B$3="","&lt;&gt;",Settings!$B$3)))</f>
        <v>0</v>
      </c>
      <c r="R108" s="39">
        <f>IF($P108&lt;&gt;1,0,SUMIFS('JLR Machines'!$H$2:$H$20001,'JLR Machines'!$A$2:$A$20001,$O108,'JLR Machines'!$C$2:$C$20001,IF(Settings!$B$2="","&lt;&gt;",Settings!$B$2),'JLR Machines'!$D$2:$D$20001,IF(Settings!$B$3="","&lt;&gt;",Settings!$B$3)))</f>
        <v>0</v>
      </c>
      <c r="S108" s="39">
        <f>IF($P108&lt;&gt;1,0,SUMIFS('JLR Machines'!$I$2:$I$20001,'JLR Machines'!$A$2:$A$20001,$O108,'JLR Machines'!$C$2:$C$20001,IF(Settings!$B$2="","&lt;&gt;",Settings!$B$2),'JLR Machines'!$D$2:$D$20001,IF(Settings!$B$3="","&lt;&gt;",Settings!$B$3)))</f>
        <v>0</v>
      </c>
      <c r="T108" s="39">
        <f>IF($P108&lt;&gt;1,0,SUMIFS('JLR Machines'!$J$2:$J$20001,'JLR Machines'!$A$2:$A$20001,$O108,'JLR Machines'!$C$2:$C$20001,IF(Settings!$B$2="","&lt;&gt;",Settings!$B$2),'JLR Machines'!$D$2:$D$20001,IF(Settings!$B$3="","&lt;&gt;",Settings!$B$3)))</f>
        <v>0</v>
      </c>
      <c r="U108" s="39">
        <f>IF($P108&lt;&gt;1,0,SUMIFS('JLR Machines'!$K$2:$K$20001,'JLR Machines'!$A$2:$A$20001,$O108,'JLR Machines'!$C$2:$C$20001,IF(Settings!$B$2="","&lt;&gt;",Settings!$B$2),'JLR Machines'!$D$2:$D$20001,IF(Settings!$B$3="","&lt;&gt;",Settings!$B$3)))</f>
        <v>0</v>
      </c>
      <c r="V108" s="39">
        <f>IF($P108&lt;&gt;1,0,SUMIFS('JLR Machines'!$L$2:$L$20001,'JLR Machines'!$A$2:$A$20001,$O108,'JLR Machines'!$C$2:$C$20001,IF(Settings!$B$2="","&lt;&gt;",Settings!$B$2),'JLR Machines'!$D$2:$D$20001,IF(Settings!$B$3="","&lt;&gt;",Settings!$B$3)))</f>
        <v>0</v>
      </c>
      <c r="W108" s="39">
        <f>IF($P108&lt;&gt;1,0,SUMIFS('JLR Machines'!$M$2:$M$20001,'JLR Machines'!$A$2:$A$20001,$O108,'JLR Machines'!$C$2:$C$20001,IF(Settings!$B$2="","&lt;&gt;",Settings!$B$2),'JLR Machines'!$D$2:$D$20001,IF(Settings!$B$3="","&lt;&gt;",Settings!$B$3)))</f>
        <v>0</v>
      </c>
      <c r="X108" s="39">
        <f>IF($P108&lt;&gt;1,0,SUMIFS('JLR Machines'!$N$2:$N$20001,'JLR Machines'!$A$2:$A$20001,$O108,'JLR Machines'!$C$2:$C$20001,IF(Settings!$B$2="","&lt;&gt;",Settings!$B$2),'JLR Machines'!$D$2:$D$20001,IF(Settings!$B$3="","&lt;&gt;",Settings!$B$3)))</f>
        <v>0</v>
      </c>
      <c r="Y108" s="39">
        <f>$Q108+$R108+$S108+$T108+$U108+$V108+$W108</f>
        <v>0</v>
      </c>
      <c r="Z108" s="38">
        <f>IF($X108&lt;=0,0,ROUND((D108+E108+F108+G108+H108+I108)/3200-$X108,4))</f>
        <v>0</v>
      </c>
      <c r="AA108" s="40" t="s">
        <v>2299</v>
      </c>
      <c r="AB108" s="40" t="s">
        <v>2099</v>
      </c>
    </row>
    <row r="109" spans="1:28" x14ac:dyDescent="0.25">
      <c r="A109" s="32" t="s">
        <v>1138</v>
      </c>
      <c r="B109" s="33" t="s">
        <v>2300</v>
      </c>
      <c r="C109" s="33" t="s">
        <v>1379</v>
      </c>
      <c r="D109" s="41">
        <f>IF($X109&gt;0,IF($Y109&gt;0,MAX(0,$Q109+$X109-$Y109)*3120,$X109*3120),60720)</f>
        <v>60720</v>
      </c>
      <c r="E109" s="41">
        <f>IF($X109&gt;0,IF($Y109&gt;0,$S109*3120,0),24230)</f>
        <v>24230</v>
      </c>
      <c r="F109" s="41">
        <f>IF($X109&gt;0,IF($Y109&gt;0,$V109*3120,0),46609)</f>
        <v>46609</v>
      </c>
      <c r="G109" s="41">
        <f>IF($X109&gt;0,IF($Y109&gt;0,$R109*3120,0),14135)</f>
        <v>14135</v>
      </c>
      <c r="H109" s="41">
        <f>IF($X109&gt;0,IF($Y109&gt;0,($T109+$W109)*3120,0),12086)</f>
        <v>12086</v>
      </c>
      <c r="I109" s="41">
        <f>IF($X109&gt;0,IF($Y109&gt;0,$U109*3120,0),7500)</f>
        <v>7500</v>
      </c>
      <c r="J109" s="35">
        <v>4000</v>
      </c>
      <c r="K109" s="42">
        <v>0.78</v>
      </c>
      <c r="L109" s="36" t="str">
        <f>IF($X109&gt;0,IF($P109&lt;&gt;1,$AB109,IFERROR(INDEX('JLR Machines'!$D$2:$D$20001,MATCH($O109,'JLR Machines'!$A$2:$A$20001,0)),$AB109)),$AB109)</f>
        <v>2026-09-29</v>
      </c>
      <c r="M109" s="36" t="str">
        <f>IF($X109&gt;0,IF($Y109&gt;0,"JLR machine "&amp;$O109&amp;" at "&amp;TEXT($X109,"0.00")&amp;" per hr — build-up as supplied","JLR machine "&amp;$O109&amp;" at "&amp;TEXT($X109,"0.00")&amp;" per hr — build-up not supplied"),$AA109)</f>
        <v>UK plastics benchmark 2026-07. Twin-sheet former — two heated webs blow-bonded into a hollow part (fuel tanks, pallets, ducts, seat backs). Two ovens, two-half tooling.</v>
      </c>
      <c r="N109" s="33" t="s">
        <v>1380</v>
      </c>
      <c r="O109" s="37" t="str">
        <f>IFERROR(INDEX(Mapping!$C$2:$C$549,MATCH($A109,Mapping!$A$2:$A$549,0)),"")</f>
        <v/>
      </c>
      <c r="P109" s="37">
        <f>IF($O109="",0,COUNTIFS('JLR Machines'!$A$2:$A$20001,$O109,'JLR Machines'!$C$2:$C$20001,IF(Settings!$B$2="","&lt;&gt;",Settings!$B$2),'JLR Machines'!$D$2:$D$20001,IF(Settings!$B$3="","&lt;&gt;",Settings!$B$3)))</f>
        <v>0</v>
      </c>
      <c r="Q109" s="39">
        <f>IF($P109&lt;&gt;1,0,SUMIFS('JLR Machines'!$G$2:$G$20001,'JLR Machines'!$A$2:$A$20001,$O109,'JLR Machines'!$C$2:$C$20001,IF(Settings!$B$2="","&lt;&gt;",Settings!$B$2),'JLR Machines'!$D$2:$D$20001,IF(Settings!$B$3="","&lt;&gt;",Settings!$B$3)))</f>
        <v>0</v>
      </c>
      <c r="R109" s="39">
        <f>IF($P109&lt;&gt;1,0,SUMIFS('JLR Machines'!$H$2:$H$20001,'JLR Machines'!$A$2:$A$20001,$O109,'JLR Machines'!$C$2:$C$20001,IF(Settings!$B$2="","&lt;&gt;",Settings!$B$2),'JLR Machines'!$D$2:$D$20001,IF(Settings!$B$3="","&lt;&gt;",Settings!$B$3)))</f>
        <v>0</v>
      </c>
      <c r="S109" s="39">
        <f>IF($P109&lt;&gt;1,0,SUMIFS('JLR Machines'!$I$2:$I$20001,'JLR Machines'!$A$2:$A$20001,$O109,'JLR Machines'!$C$2:$C$20001,IF(Settings!$B$2="","&lt;&gt;",Settings!$B$2),'JLR Machines'!$D$2:$D$20001,IF(Settings!$B$3="","&lt;&gt;",Settings!$B$3)))</f>
        <v>0</v>
      </c>
      <c r="T109" s="39">
        <f>IF($P109&lt;&gt;1,0,SUMIFS('JLR Machines'!$J$2:$J$20001,'JLR Machines'!$A$2:$A$20001,$O109,'JLR Machines'!$C$2:$C$20001,IF(Settings!$B$2="","&lt;&gt;",Settings!$B$2),'JLR Machines'!$D$2:$D$20001,IF(Settings!$B$3="","&lt;&gt;",Settings!$B$3)))</f>
        <v>0</v>
      </c>
      <c r="U109" s="39">
        <f>IF($P109&lt;&gt;1,0,SUMIFS('JLR Machines'!$K$2:$K$20001,'JLR Machines'!$A$2:$A$20001,$O109,'JLR Machines'!$C$2:$C$20001,IF(Settings!$B$2="","&lt;&gt;",Settings!$B$2),'JLR Machines'!$D$2:$D$20001,IF(Settings!$B$3="","&lt;&gt;",Settings!$B$3)))</f>
        <v>0</v>
      </c>
      <c r="V109" s="39">
        <f>IF($P109&lt;&gt;1,0,SUMIFS('JLR Machines'!$L$2:$L$20001,'JLR Machines'!$A$2:$A$20001,$O109,'JLR Machines'!$C$2:$C$20001,IF(Settings!$B$2="","&lt;&gt;",Settings!$B$2),'JLR Machines'!$D$2:$D$20001,IF(Settings!$B$3="","&lt;&gt;",Settings!$B$3)))</f>
        <v>0</v>
      </c>
      <c r="W109" s="39">
        <f>IF($P109&lt;&gt;1,0,SUMIFS('JLR Machines'!$M$2:$M$20001,'JLR Machines'!$A$2:$A$20001,$O109,'JLR Machines'!$C$2:$C$20001,IF(Settings!$B$2="","&lt;&gt;",Settings!$B$2),'JLR Machines'!$D$2:$D$20001,IF(Settings!$B$3="","&lt;&gt;",Settings!$B$3)))</f>
        <v>0</v>
      </c>
      <c r="X109" s="39">
        <f>IF($P109&lt;&gt;1,0,SUMIFS('JLR Machines'!$N$2:$N$20001,'JLR Machines'!$A$2:$A$20001,$O109,'JLR Machines'!$C$2:$C$20001,IF(Settings!$B$2="","&lt;&gt;",Settings!$B$2),'JLR Machines'!$D$2:$D$20001,IF(Settings!$B$3="","&lt;&gt;",Settings!$B$3)))</f>
        <v>0</v>
      </c>
      <c r="Y109" s="39">
        <f>$Q109+$R109+$S109+$T109+$U109+$V109+$W109</f>
        <v>0</v>
      </c>
      <c r="Z109" s="38">
        <f>IF($X109&lt;=0,0,ROUND((D109+E109+F109+G109+H109+I109)/3120-$X109,4))</f>
        <v>0</v>
      </c>
      <c r="AA109" s="40" t="s">
        <v>2301</v>
      </c>
      <c r="AB109" s="40" t="s">
        <v>2099</v>
      </c>
    </row>
    <row r="110" spans="1:28" x14ac:dyDescent="0.25">
      <c r="A110" s="32" t="s">
        <v>1140</v>
      </c>
      <c r="B110" s="33" t="s">
        <v>2302</v>
      </c>
      <c r="C110" s="33" t="s">
        <v>1379</v>
      </c>
      <c r="D110" s="41">
        <f>IF($X110&gt;0,IF($Y110&gt;0,MAX(0,$Q110+$X110-$Y110)*4250,$X110*4250),91080)</f>
        <v>91080</v>
      </c>
      <c r="E110" s="41">
        <f>IF($X110&gt;0,IF($Y110&gt;0,$S110*4250,0),32307)</f>
        <v>32307</v>
      </c>
      <c r="F110" s="41">
        <f>IF($X110&gt;0,IF($Y110&gt;0,$V110*4250,0),64087)</f>
        <v>64087</v>
      </c>
      <c r="G110" s="41">
        <f>IF($X110&gt;0,IF($Y110&gt;0,$R110*4250,0),16154)</f>
        <v>16154</v>
      </c>
      <c r="H110" s="41">
        <f>IF($X110&gt;0,IF($Y110&gt;0,($T110+$W110)*4250,0),16115)</f>
        <v>16115</v>
      </c>
      <c r="I110" s="41">
        <f>IF($X110&gt;0,IF($Y110&gt;0,$U110*4250,0),11250)</f>
        <v>11250</v>
      </c>
      <c r="J110" s="35">
        <v>5000</v>
      </c>
      <c r="K110" s="42">
        <v>0.85</v>
      </c>
      <c r="L110" s="36" t="str">
        <f>IF($X110&gt;0,IF($P110&lt;&gt;1,$AB110,IFERROR(INDEX('JLR Machines'!$D$2:$D$20001,MATCH($O110,'JLR Machines'!$A$2:$A$20001,0)),$AB110)),$AB110)</f>
        <v>2026-09-29</v>
      </c>
      <c r="M110" s="36" t="str">
        <f>IF($X110&gt;0,IF($Y110&gt;0,"JLR machine "&amp;$O110&amp;" at "&amp;TEXT($X110,"0.00")&amp;" per hr — build-up as supplied","JLR machine "&amp;$O110&amp;" at "&amp;TEXT($X110,"0.00")&amp;" per hr — build-up not supplied"),$AA110)</f>
        <v>UK packaging benchmark 2026-07. High-speed roll-fed former-filler line — cups/trays/blister from reel; form-cut-stack at 20–40 cycles/min. Highest throughput, lowest £/part at volume.</v>
      </c>
      <c r="N110" s="33" t="s">
        <v>1380</v>
      </c>
      <c r="O110" s="37" t="str">
        <f>IFERROR(INDEX(Mapping!$C$2:$C$549,MATCH($A110,Mapping!$A$2:$A$549,0)),"")</f>
        <v/>
      </c>
      <c r="P110" s="37">
        <f>IF($O110="",0,COUNTIFS('JLR Machines'!$A$2:$A$20001,$O110,'JLR Machines'!$C$2:$C$20001,IF(Settings!$B$2="","&lt;&gt;",Settings!$B$2),'JLR Machines'!$D$2:$D$20001,IF(Settings!$B$3="","&lt;&gt;",Settings!$B$3)))</f>
        <v>0</v>
      </c>
      <c r="Q110" s="39">
        <f>IF($P110&lt;&gt;1,0,SUMIFS('JLR Machines'!$G$2:$G$20001,'JLR Machines'!$A$2:$A$20001,$O110,'JLR Machines'!$C$2:$C$20001,IF(Settings!$B$2="","&lt;&gt;",Settings!$B$2),'JLR Machines'!$D$2:$D$20001,IF(Settings!$B$3="","&lt;&gt;",Settings!$B$3)))</f>
        <v>0</v>
      </c>
      <c r="R110" s="39">
        <f>IF($P110&lt;&gt;1,0,SUMIFS('JLR Machines'!$H$2:$H$20001,'JLR Machines'!$A$2:$A$20001,$O110,'JLR Machines'!$C$2:$C$20001,IF(Settings!$B$2="","&lt;&gt;",Settings!$B$2),'JLR Machines'!$D$2:$D$20001,IF(Settings!$B$3="","&lt;&gt;",Settings!$B$3)))</f>
        <v>0</v>
      </c>
      <c r="S110" s="39">
        <f>IF($P110&lt;&gt;1,0,SUMIFS('JLR Machines'!$I$2:$I$20001,'JLR Machines'!$A$2:$A$20001,$O110,'JLR Machines'!$C$2:$C$20001,IF(Settings!$B$2="","&lt;&gt;",Settings!$B$2),'JLR Machines'!$D$2:$D$20001,IF(Settings!$B$3="","&lt;&gt;",Settings!$B$3)))</f>
        <v>0</v>
      </c>
      <c r="T110" s="39">
        <f>IF($P110&lt;&gt;1,0,SUMIFS('JLR Machines'!$J$2:$J$20001,'JLR Machines'!$A$2:$A$20001,$O110,'JLR Machines'!$C$2:$C$20001,IF(Settings!$B$2="","&lt;&gt;",Settings!$B$2),'JLR Machines'!$D$2:$D$20001,IF(Settings!$B$3="","&lt;&gt;",Settings!$B$3)))</f>
        <v>0</v>
      </c>
      <c r="U110" s="39">
        <f>IF($P110&lt;&gt;1,0,SUMIFS('JLR Machines'!$K$2:$K$20001,'JLR Machines'!$A$2:$A$20001,$O110,'JLR Machines'!$C$2:$C$20001,IF(Settings!$B$2="","&lt;&gt;",Settings!$B$2),'JLR Machines'!$D$2:$D$20001,IF(Settings!$B$3="","&lt;&gt;",Settings!$B$3)))</f>
        <v>0</v>
      </c>
      <c r="V110" s="39">
        <f>IF($P110&lt;&gt;1,0,SUMIFS('JLR Machines'!$L$2:$L$20001,'JLR Machines'!$A$2:$A$20001,$O110,'JLR Machines'!$C$2:$C$20001,IF(Settings!$B$2="","&lt;&gt;",Settings!$B$2),'JLR Machines'!$D$2:$D$20001,IF(Settings!$B$3="","&lt;&gt;",Settings!$B$3)))</f>
        <v>0</v>
      </c>
      <c r="W110" s="39">
        <f>IF($P110&lt;&gt;1,0,SUMIFS('JLR Machines'!$M$2:$M$20001,'JLR Machines'!$A$2:$A$20001,$O110,'JLR Machines'!$C$2:$C$20001,IF(Settings!$B$2="","&lt;&gt;",Settings!$B$2),'JLR Machines'!$D$2:$D$20001,IF(Settings!$B$3="","&lt;&gt;",Settings!$B$3)))</f>
        <v>0</v>
      </c>
      <c r="X110" s="39">
        <f>IF($P110&lt;&gt;1,0,SUMIFS('JLR Machines'!$N$2:$N$20001,'JLR Machines'!$A$2:$A$20001,$O110,'JLR Machines'!$C$2:$C$20001,IF(Settings!$B$2="","&lt;&gt;",Settings!$B$2),'JLR Machines'!$D$2:$D$20001,IF(Settings!$B$3="","&lt;&gt;",Settings!$B$3)))</f>
        <v>0</v>
      </c>
      <c r="Y110" s="39">
        <f>$Q110+$R110+$S110+$T110+$U110+$V110+$W110</f>
        <v>0</v>
      </c>
      <c r="Z110" s="38">
        <f>IF($X110&lt;=0,0,ROUND((D110+E110+F110+G110+H110+I110)/4250-$X110,4))</f>
        <v>0</v>
      </c>
      <c r="AA110" s="40" t="s">
        <v>2303</v>
      </c>
      <c r="AB110" s="40" t="s">
        <v>2099</v>
      </c>
    </row>
    <row r="111" spans="1:28" x14ac:dyDescent="0.25">
      <c r="A111" s="32" t="s">
        <v>1142</v>
      </c>
      <c r="B111" s="33" t="s">
        <v>2304</v>
      </c>
      <c r="C111" s="33" t="s">
        <v>1379</v>
      </c>
      <c r="D111" s="41">
        <f>IF($X111&gt;0,IF($Y111&gt;0,MAX(0,$Q111+$X111-$Y111)*3200,$X111*3200),9108)</f>
        <v>9108</v>
      </c>
      <c r="E111" s="41">
        <f>IF($X111&gt;0,IF($Y111&gt;0,$S111*3200,0),4038)</f>
        <v>4038</v>
      </c>
      <c r="F111" s="41">
        <f>IF($X111&gt;0,IF($Y111&gt;0,$V111*3200,0),18644)</f>
        <v>18644</v>
      </c>
      <c r="G111" s="41">
        <f>IF($X111&gt;0,IF($Y111&gt;0,$R111*3200,0),3029)</f>
        <v>3029</v>
      </c>
      <c r="H111" s="41">
        <f>IF($X111&gt;0,IF($Y111&gt;0,($T111+$W111)*3200,0),2014)</f>
        <v>2014</v>
      </c>
      <c r="I111" s="41">
        <f>IF($X111&gt;0,IF($Y111&gt;0,$U111*3200,0),1125)</f>
        <v>1125</v>
      </c>
      <c r="J111" s="35">
        <v>4000</v>
      </c>
      <c r="K111" s="42">
        <v>0.8</v>
      </c>
      <c r="L111" s="36" t="str">
        <f>IF($X111&gt;0,IF($P111&lt;&gt;1,$AB111,IFERROR(INDEX('JLR Machines'!$D$2:$D$20001,MATCH($O111,'JLR Machines'!$A$2:$A$20001,0)),$AB111)),$AB111)</f>
        <v>2026-09-29</v>
      </c>
      <c r="M111" s="36" t="str">
        <f>IF($X111&gt;0,IF($Y111&gt;0,"JLR machine "&amp;$O111&amp;" at "&amp;TEXT($X111,"0.00")&amp;" per hr — build-up as supplied","JLR machine "&amp;$O111&amp;" at "&amp;TEXT($X111,"0.00")&amp;" per hr — build-up not supplied"),$AA111)</f>
        <v>UK plastics benchmark 2026-07. Standalone radiant/convection sheet oven — pre-heat for heavy-gauge/twin-station forming. Energy-dominated (quartz/ceramic emitters).</v>
      </c>
      <c r="N111" s="33" t="s">
        <v>1380</v>
      </c>
      <c r="O111" s="37" t="str">
        <f>IFERROR(INDEX(Mapping!$C$2:$C$549,MATCH($A111,Mapping!$A$2:$A$549,0)),"")</f>
        <v/>
      </c>
      <c r="P111" s="37">
        <f>IF($O111="",0,COUNTIFS('JLR Machines'!$A$2:$A$20001,$O111,'JLR Machines'!$C$2:$C$20001,IF(Settings!$B$2="","&lt;&gt;",Settings!$B$2),'JLR Machines'!$D$2:$D$20001,IF(Settings!$B$3="","&lt;&gt;",Settings!$B$3)))</f>
        <v>0</v>
      </c>
      <c r="Q111" s="39">
        <f>IF($P111&lt;&gt;1,0,SUMIFS('JLR Machines'!$G$2:$G$20001,'JLR Machines'!$A$2:$A$20001,$O111,'JLR Machines'!$C$2:$C$20001,IF(Settings!$B$2="","&lt;&gt;",Settings!$B$2),'JLR Machines'!$D$2:$D$20001,IF(Settings!$B$3="","&lt;&gt;",Settings!$B$3)))</f>
        <v>0</v>
      </c>
      <c r="R111" s="39">
        <f>IF($P111&lt;&gt;1,0,SUMIFS('JLR Machines'!$H$2:$H$20001,'JLR Machines'!$A$2:$A$20001,$O111,'JLR Machines'!$C$2:$C$20001,IF(Settings!$B$2="","&lt;&gt;",Settings!$B$2),'JLR Machines'!$D$2:$D$20001,IF(Settings!$B$3="","&lt;&gt;",Settings!$B$3)))</f>
        <v>0</v>
      </c>
      <c r="S111" s="39">
        <f>IF($P111&lt;&gt;1,0,SUMIFS('JLR Machines'!$I$2:$I$20001,'JLR Machines'!$A$2:$A$20001,$O111,'JLR Machines'!$C$2:$C$20001,IF(Settings!$B$2="","&lt;&gt;",Settings!$B$2),'JLR Machines'!$D$2:$D$20001,IF(Settings!$B$3="","&lt;&gt;",Settings!$B$3)))</f>
        <v>0</v>
      </c>
      <c r="T111" s="39">
        <f>IF($P111&lt;&gt;1,0,SUMIFS('JLR Machines'!$J$2:$J$20001,'JLR Machines'!$A$2:$A$20001,$O111,'JLR Machines'!$C$2:$C$20001,IF(Settings!$B$2="","&lt;&gt;",Settings!$B$2),'JLR Machines'!$D$2:$D$20001,IF(Settings!$B$3="","&lt;&gt;",Settings!$B$3)))</f>
        <v>0</v>
      </c>
      <c r="U111" s="39">
        <f>IF($P111&lt;&gt;1,0,SUMIFS('JLR Machines'!$K$2:$K$20001,'JLR Machines'!$A$2:$A$20001,$O111,'JLR Machines'!$C$2:$C$20001,IF(Settings!$B$2="","&lt;&gt;",Settings!$B$2),'JLR Machines'!$D$2:$D$20001,IF(Settings!$B$3="","&lt;&gt;",Settings!$B$3)))</f>
        <v>0</v>
      </c>
      <c r="V111" s="39">
        <f>IF($P111&lt;&gt;1,0,SUMIFS('JLR Machines'!$L$2:$L$20001,'JLR Machines'!$A$2:$A$20001,$O111,'JLR Machines'!$C$2:$C$20001,IF(Settings!$B$2="","&lt;&gt;",Settings!$B$2),'JLR Machines'!$D$2:$D$20001,IF(Settings!$B$3="","&lt;&gt;",Settings!$B$3)))</f>
        <v>0</v>
      </c>
      <c r="W111" s="39">
        <f>IF($P111&lt;&gt;1,0,SUMIFS('JLR Machines'!$M$2:$M$20001,'JLR Machines'!$A$2:$A$20001,$O111,'JLR Machines'!$C$2:$C$20001,IF(Settings!$B$2="","&lt;&gt;",Settings!$B$2),'JLR Machines'!$D$2:$D$20001,IF(Settings!$B$3="","&lt;&gt;",Settings!$B$3)))</f>
        <v>0</v>
      </c>
      <c r="X111" s="39">
        <f>IF($P111&lt;&gt;1,0,SUMIFS('JLR Machines'!$N$2:$N$20001,'JLR Machines'!$A$2:$A$20001,$O111,'JLR Machines'!$C$2:$C$20001,IF(Settings!$B$2="","&lt;&gt;",Settings!$B$2),'JLR Machines'!$D$2:$D$20001,IF(Settings!$B$3="","&lt;&gt;",Settings!$B$3)))</f>
        <v>0</v>
      </c>
      <c r="Y111" s="39">
        <f>$Q111+$R111+$S111+$T111+$U111+$V111+$W111</f>
        <v>0</v>
      </c>
      <c r="Z111" s="38">
        <f>IF($X111&lt;=0,0,ROUND((D111+E111+F111+G111+H111+I111)/3200-$X111,4))</f>
        <v>0</v>
      </c>
      <c r="AA111" s="40" t="s">
        <v>2305</v>
      </c>
      <c r="AB111" s="40" t="s">
        <v>2099</v>
      </c>
    </row>
    <row r="112" spans="1:28" x14ac:dyDescent="0.25">
      <c r="A112" s="32" t="s">
        <v>1144</v>
      </c>
      <c r="B112" s="33" t="s">
        <v>2306</v>
      </c>
      <c r="C112" s="33" t="s">
        <v>1379</v>
      </c>
      <c r="D112" s="41">
        <f>IF($X112&gt;0,IF($Y112&gt;0,MAX(0,$Q112+$X112-$Y112)*3200,$X112*3200),22264)</f>
        <v>22264</v>
      </c>
      <c r="E112" s="41">
        <f>IF($X112&gt;0,IF($Y112&gt;0,$S112*3200,0),9086)</f>
        <v>9086</v>
      </c>
      <c r="F112" s="41">
        <f>IF($X112&gt;0,IF($Y112&gt;0,$V112*3200,0),9322)</f>
        <v>9322</v>
      </c>
      <c r="G112" s="41">
        <f>IF($X112&gt;0,IF($Y112&gt;0,$R112*3200,0),5048)</f>
        <v>5048</v>
      </c>
      <c r="H112" s="41">
        <f>IF($X112&gt;0,IF($Y112&gt;0,($T112+$W112)*3200,0),5036)</f>
        <v>5036</v>
      </c>
      <c r="I112" s="41">
        <f>IF($X112&gt;0,IF($Y112&gt;0,$U112*3200,0),2750)</f>
        <v>2750</v>
      </c>
      <c r="J112" s="35">
        <v>4000</v>
      </c>
      <c r="K112" s="42">
        <v>0.8</v>
      </c>
      <c r="L112" s="36" t="str">
        <f>IF($X112&gt;0,IF($P112&lt;&gt;1,$AB112,IFERROR(INDEX('JLR Machines'!$D$2:$D$20001,MATCH($O112,'JLR Machines'!$A$2:$A$20001,0)),$AB112)),$AB112)</f>
        <v>2026-09-29</v>
      </c>
      <c r="M112" s="36" t="str">
        <f>IF($X112&gt;0,IF($Y112&gt;0,"JLR machine "&amp;$O112&amp;" at "&amp;TEXT($X112,"0.00")&amp;" per hr — build-up as supplied","JLR machine "&amp;$O112&amp;" at "&amp;TEXT($X112,"0.00")&amp;" per hr — build-up not supplied"),$AA112)</f>
        <v>UK plastics benchmark 2026-07. 5-axis CNC router / trim robot — finishes heavy-gauge formed parts; no part-specific trim die (offsets tool cost vs steel-rule).</v>
      </c>
      <c r="N112" s="33" t="s">
        <v>1380</v>
      </c>
      <c r="O112" s="37" t="str">
        <f>IFERROR(INDEX(Mapping!$C$2:$C$549,MATCH($A112,Mapping!$A$2:$A$549,0)),"")</f>
        <v/>
      </c>
      <c r="P112" s="37">
        <f>IF($O112="",0,COUNTIFS('JLR Machines'!$A$2:$A$20001,$O112,'JLR Machines'!$C$2:$C$20001,IF(Settings!$B$2="","&lt;&gt;",Settings!$B$2),'JLR Machines'!$D$2:$D$20001,IF(Settings!$B$3="","&lt;&gt;",Settings!$B$3)))</f>
        <v>0</v>
      </c>
      <c r="Q112" s="39">
        <f>IF($P112&lt;&gt;1,0,SUMIFS('JLR Machines'!$G$2:$G$20001,'JLR Machines'!$A$2:$A$20001,$O112,'JLR Machines'!$C$2:$C$20001,IF(Settings!$B$2="","&lt;&gt;",Settings!$B$2),'JLR Machines'!$D$2:$D$20001,IF(Settings!$B$3="","&lt;&gt;",Settings!$B$3)))</f>
        <v>0</v>
      </c>
      <c r="R112" s="39">
        <f>IF($P112&lt;&gt;1,0,SUMIFS('JLR Machines'!$H$2:$H$20001,'JLR Machines'!$A$2:$A$20001,$O112,'JLR Machines'!$C$2:$C$20001,IF(Settings!$B$2="","&lt;&gt;",Settings!$B$2),'JLR Machines'!$D$2:$D$20001,IF(Settings!$B$3="","&lt;&gt;",Settings!$B$3)))</f>
        <v>0</v>
      </c>
      <c r="S112" s="39">
        <f>IF($P112&lt;&gt;1,0,SUMIFS('JLR Machines'!$I$2:$I$20001,'JLR Machines'!$A$2:$A$20001,$O112,'JLR Machines'!$C$2:$C$20001,IF(Settings!$B$2="","&lt;&gt;",Settings!$B$2),'JLR Machines'!$D$2:$D$20001,IF(Settings!$B$3="","&lt;&gt;",Settings!$B$3)))</f>
        <v>0</v>
      </c>
      <c r="T112" s="39">
        <f>IF($P112&lt;&gt;1,0,SUMIFS('JLR Machines'!$J$2:$J$20001,'JLR Machines'!$A$2:$A$20001,$O112,'JLR Machines'!$C$2:$C$20001,IF(Settings!$B$2="","&lt;&gt;",Settings!$B$2),'JLR Machines'!$D$2:$D$20001,IF(Settings!$B$3="","&lt;&gt;",Settings!$B$3)))</f>
        <v>0</v>
      </c>
      <c r="U112" s="39">
        <f>IF($P112&lt;&gt;1,0,SUMIFS('JLR Machines'!$K$2:$K$20001,'JLR Machines'!$A$2:$A$20001,$O112,'JLR Machines'!$C$2:$C$20001,IF(Settings!$B$2="","&lt;&gt;",Settings!$B$2),'JLR Machines'!$D$2:$D$20001,IF(Settings!$B$3="","&lt;&gt;",Settings!$B$3)))</f>
        <v>0</v>
      </c>
      <c r="V112" s="39">
        <f>IF($P112&lt;&gt;1,0,SUMIFS('JLR Machines'!$L$2:$L$20001,'JLR Machines'!$A$2:$A$20001,$O112,'JLR Machines'!$C$2:$C$20001,IF(Settings!$B$2="","&lt;&gt;",Settings!$B$2),'JLR Machines'!$D$2:$D$20001,IF(Settings!$B$3="","&lt;&gt;",Settings!$B$3)))</f>
        <v>0</v>
      </c>
      <c r="W112" s="39">
        <f>IF($P112&lt;&gt;1,0,SUMIFS('JLR Machines'!$M$2:$M$20001,'JLR Machines'!$A$2:$A$20001,$O112,'JLR Machines'!$C$2:$C$20001,IF(Settings!$B$2="","&lt;&gt;",Settings!$B$2),'JLR Machines'!$D$2:$D$20001,IF(Settings!$B$3="","&lt;&gt;",Settings!$B$3)))</f>
        <v>0</v>
      </c>
      <c r="X112" s="39">
        <f>IF($P112&lt;&gt;1,0,SUMIFS('JLR Machines'!$N$2:$N$20001,'JLR Machines'!$A$2:$A$20001,$O112,'JLR Machines'!$C$2:$C$20001,IF(Settings!$B$2="","&lt;&gt;",Settings!$B$2),'JLR Machines'!$D$2:$D$20001,IF(Settings!$B$3="","&lt;&gt;",Settings!$B$3)))</f>
        <v>0</v>
      </c>
      <c r="Y112" s="39">
        <f>$Q112+$R112+$S112+$T112+$U112+$V112+$W112</f>
        <v>0</v>
      </c>
      <c r="Z112" s="38">
        <f>IF($X112&lt;=0,0,ROUND((D112+E112+F112+G112+H112+I112)/3200-$X112,4))</f>
        <v>0</v>
      </c>
      <c r="AA112" s="40" t="s">
        <v>2307</v>
      </c>
      <c r="AB112" s="40" t="s">
        <v>2099</v>
      </c>
    </row>
    <row r="113" spans="1:28" x14ac:dyDescent="0.25">
      <c r="A113" s="32" t="s">
        <v>1146</v>
      </c>
      <c r="B113" s="33" t="s">
        <v>2308</v>
      </c>
      <c r="C113" s="33" t="s">
        <v>1379</v>
      </c>
      <c r="D113" s="41">
        <f>IF($X113&gt;0,IF($Y113&gt;0,MAX(0,$Q113+$X113-$Y113)*2625,$X113*2625),30360)</f>
        <v>30360</v>
      </c>
      <c r="E113" s="41">
        <f>IF($X113&gt;0,IF($Y113&gt;0,$S113*2625,0),14134)</f>
        <v>14134</v>
      </c>
      <c r="F113" s="41">
        <f>IF($X113&gt;0,IF($Y113&gt;0,$V113*2625,0),46609)</f>
        <v>46609</v>
      </c>
      <c r="G113" s="41">
        <f>IF($X113&gt;0,IF($Y113&gt;0,$R113*2625,0),20192)</f>
        <v>20192</v>
      </c>
      <c r="H113" s="41">
        <f>IF($X113&gt;0,IF($Y113&gt;0,($T113+$W113)*2625,0),8057)</f>
        <v>8057</v>
      </c>
      <c r="I113" s="41">
        <f>IF($X113&gt;0,IF($Y113&gt;0,$U113*2625,0),3750)</f>
        <v>3750</v>
      </c>
      <c r="J113" s="35">
        <v>3500</v>
      </c>
      <c r="K113" s="42">
        <v>0.75</v>
      </c>
      <c r="L113" s="36" t="str">
        <f>IF($X113&gt;0,IF($P113&lt;&gt;1,$AB113,IFERROR(INDEX('JLR Machines'!$D$2:$D$20001,MATCH($O113,'JLR Machines'!$A$2:$A$20001,0)),$AB113)),$AB113)</f>
        <v>2026-09-29</v>
      </c>
      <c r="M113" s="36" t="str">
        <f>IF($X113&gt;0,IF($Y113&gt;0,"JLR machine "&amp;$O113&amp;" at "&amp;TEXT($X113,"0.00")&amp;" per hr — build-up as supplied","JLR machine "&amp;$O113&amp;" at "&amp;TEXT($X113,"0.00")&amp;" per hr — build-up not supplied"),$AA113)</f>
        <v>UK plastics benchmark. 3-arm biaxial carousel. Large tanks/playground equip. Jun 2026</v>
      </c>
      <c r="N113" s="33" t="s">
        <v>1380</v>
      </c>
      <c r="O113" s="37" t="str">
        <f>IFERROR(INDEX(Mapping!$C$2:$C$549,MATCH($A113,Mapping!$A$2:$A$549,0)),"")</f>
        <v/>
      </c>
      <c r="P113" s="37">
        <f>IF($O113="",0,COUNTIFS('JLR Machines'!$A$2:$A$20001,$O113,'JLR Machines'!$C$2:$C$20001,IF(Settings!$B$2="","&lt;&gt;",Settings!$B$2),'JLR Machines'!$D$2:$D$20001,IF(Settings!$B$3="","&lt;&gt;",Settings!$B$3)))</f>
        <v>0</v>
      </c>
      <c r="Q113" s="39">
        <f>IF($P113&lt;&gt;1,0,SUMIFS('JLR Machines'!$G$2:$G$20001,'JLR Machines'!$A$2:$A$20001,$O113,'JLR Machines'!$C$2:$C$20001,IF(Settings!$B$2="","&lt;&gt;",Settings!$B$2),'JLR Machines'!$D$2:$D$20001,IF(Settings!$B$3="","&lt;&gt;",Settings!$B$3)))</f>
        <v>0</v>
      </c>
      <c r="R113" s="39">
        <f>IF($P113&lt;&gt;1,0,SUMIFS('JLR Machines'!$H$2:$H$20001,'JLR Machines'!$A$2:$A$20001,$O113,'JLR Machines'!$C$2:$C$20001,IF(Settings!$B$2="","&lt;&gt;",Settings!$B$2),'JLR Machines'!$D$2:$D$20001,IF(Settings!$B$3="","&lt;&gt;",Settings!$B$3)))</f>
        <v>0</v>
      </c>
      <c r="S113" s="39">
        <f>IF($P113&lt;&gt;1,0,SUMIFS('JLR Machines'!$I$2:$I$20001,'JLR Machines'!$A$2:$A$20001,$O113,'JLR Machines'!$C$2:$C$20001,IF(Settings!$B$2="","&lt;&gt;",Settings!$B$2),'JLR Machines'!$D$2:$D$20001,IF(Settings!$B$3="","&lt;&gt;",Settings!$B$3)))</f>
        <v>0</v>
      </c>
      <c r="T113" s="39">
        <f>IF($P113&lt;&gt;1,0,SUMIFS('JLR Machines'!$J$2:$J$20001,'JLR Machines'!$A$2:$A$20001,$O113,'JLR Machines'!$C$2:$C$20001,IF(Settings!$B$2="","&lt;&gt;",Settings!$B$2),'JLR Machines'!$D$2:$D$20001,IF(Settings!$B$3="","&lt;&gt;",Settings!$B$3)))</f>
        <v>0</v>
      </c>
      <c r="U113" s="39">
        <f>IF($P113&lt;&gt;1,0,SUMIFS('JLR Machines'!$K$2:$K$20001,'JLR Machines'!$A$2:$A$20001,$O113,'JLR Machines'!$C$2:$C$20001,IF(Settings!$B$2="","&lt;&gt;",Settings!$B$2),'JLR Machines'!$D$2:$D$20001,IF(Settings!$B$3="","&lt;&gt;",Settings!$B$3)))</f>
        <v>0</v>
      </c>
      <c r="V113" s="39">
        <f>IF($P113&lt;&gt;1,0,SUMIFS('JLR Machines'!$L$2:$L$20001,'JLR Machines'!$A$2:$A$20001,$O113,'JLR Machines'!$C$2:$C$20001,IF(Settings!$B$2="","&lt;&gt;",Settings!$B$2),'JLR Machines'!$D$2:$D$20001,IF(Settings!$B$3="","&lt;&gt;",Settings!$B$3)))</f>
        <v>0</v>
      </c>
      <c r="W113" s="39">
        <f>IF($P113&lt;&gt;1,0,SUMIFS('JLR Machines'!$M$2:$M$20001,'JLR Machines'!$A$2:$A$20001,$O113,'JLR Machines'!$C$2:$C$20001,IF(Settings!$B$2="","&lt;&gt;",Settings!$B$2),'JLR Machines'!$D$2:$D$20001,IF(Settings!$B$3="","&lt;&gt;",Settings!$B$3)))</f>
        <v>0</v>
      </c>
      <c r="X113" s="39">
        <f>IF($P113&lt;&gt;1,0,SUMIFS('JLR Machines'!$N$2:$N$20001,'JLR Machines'!$A$2:$A$20001,$O113,'JLR Machines'!$C$2:$C$20001,IF(Settings!$B$2="","&lt;&gt;",Settings!$B$2),'JLR Machines'!$D$2:$D$20001,IF(Settings!$B$3="","&lt;&gt;",Settings!$B$3)))</f>
        <v>0</v>
      </c>
      <c r="Y113" s="39">
        <f>$Q113+$R113+$S113+$T113+$U113+$V113+$W113</f>
        <v>0</v>
      </c>
      <c r="Z113" s="38">
        <f>IF($X113&lt;=0,0,ROUND((D113+E113+F113+G113+H113+I113)/2625-$X113,4))</f>
        <v>0</v>
      </c>
      <c r="AA113" s="40" t="s">
        <v>2309</v>
      </c>
      <c r="AB113" s="40" t="s">
        <v>2099</v>
      </c>
    </row>
    <row r="114" spans="1:28" x14ac:dyDescent="0.25">
      <c r="A114" s="32" t="s">
        <v>1148</v>
      </c>
      <c r="B114" s="33" t="s">
        <v>2310</v>
      </c>
      <c r="C114" s="33" t="s">
        <v>1379</v>
      </c>
      <c r="D114" s="41">
        <f>IF($X114&gt;0,IF($Y114&gt;0,MAX(0,$Q114+$X114-$Y114)*2275,$X114*2275),12144)</f>
        <v>12144</v>
      </c>
      <c r="E114" s="41">
        <f>IF($X114&gt;0,IF($Y114&gt;0,$S114*2275,0),5048)</f>
        <v>5048</v>
      </c>
      <c r="F114" s="41">
        <f>IF($X114&gt;0,IF($Y114&gt;0,$V114*2275,0),17478)</f>
        <v>17478</v>
      </c>
      <c r="G114" s="41">
        <f>IF($X114&gt;0,IF($Y114&gt;0,$R114*2275,0),8077)</f>
        <v>8077</v>
      </c>
      <c r="H114" s="41">
        <f>IF($X114&gt;0,IF($Y114&gt;0,($T114+$W114)*2275,0),3022)</f>
        <v>3022</v>
      </c>
      <c r="I114" s="41">
        <f>IF($X114&gt;0,IF($Y114&gt;0,$U114*2275,0),1500)</f>
        <v>1500</v>
      </c>
      <c r="J114" s="35">
        <v>3500</v>
      </c>
      <c r="K114" s="42">
        <v>0.65</v>
      </c>
      <c r="L114" s="36" t="str">
        <f>IF($X114&gt;0,IF($P114&lt;&gt;1,$AB114,IFERROR(INDEX('JLR Machines'!$D$2:$D$20001,MATCH($O114,'JLR Machines'!$A$2:$A$20001,0)),$AB114)),$AB114)</f>
        <v>2026-09-29</v>
      </c>
      <c r="M114" s="36" t="str">
        <f>IF($X114&gt;0,IF($Y114&gt;0,"JLR machine "&amp;$O114&amp;" at "&amp;TEXT($X114,"0.00")&amp;" per hr — build-up as supplied","JLR machine "&amp;$O114&amp;" at "&amp;TEXT($X114,"0.00")&amp;" per hr — build-up not supplied"),$AA114)</f>
        <v>UK plastics benchmark. Single-arm / lab roto — small tanks, prototyping, low volume. Jun 2026</v>
      </c>
      <c r="N114" s="33" t="s">
        <v>1380</v>
      </c>
      <c r="O114" s="37" t="str">
        <f>IFERROR(INDEX(Mapping!$C$2:$C$549,MATCH($A114,Mapping!$A$2:$A$549,0)),"")</f>
        <v/>
      </c>
      <c r="P114" s="37">
        <f>IF($O114="",0,COUNTIFS('JLR Machines'!$A$2:$A$20001,$O114,'JLR Machines'!$C$2:$C$20001,IF(Settings!$B$2="","&lt;&gt;",Settings!$B$2),'JLR Machines'!$D$2:$D$20001,IF(Settings!$B$3="","&lt;&gt;",Settings!$B$3)))</f>
        <v>0</v>
      </c>
      <c r="Q114" s="39">
        <f>IF($P114&lt;&gt;1,0,SUMIFS('JLR Machines'!$G$2:$G$20001,'JLR Machines'!$A$2:$A$20001,$O114,'JLR Machines'!$C$2:$C$20001,IF(Settings!$B$2="","&lt;&gt;",Settings!$B$2),'JLR Machines'!$D$2:$D$20001,IF(Settings!$B$3="","&lt;&gt;",Settings!$B$3)))</f>
        <v>0</v>
      </c>
      <c r="R114" s="39">
        <f>IF($P114&lt;&gt;1,0,SUMIFS('JLR Machines'!$H$2:$H$20001,'JLR Machines'!$A$2:$A$20001,$O114,'JLR Machines'!$C$2:$C$20001,IF(Settings!$B$2="","&lt;&gt;",Settings!$B$2),'JLR Machines'!$D$2:$D$20001,IF(Settings!$B$3="","&lt;&gt;",Settings!$B$3)))</f>
        <v>0</v>
      </c>
      <c r="S114" s="39">
        <f>IF($P114&lt;&gt;1,0,SUMIFS('JLR Machines'!$I$2:$I$20001,'JLR Machines'!$A$2:$A$20001,$O114,'JLR Machines'!$C$2:$C$20001,IF(Settings!$B$2="","&lt;&gt;",Settings!$B$2),'JLR Machines'!$D$2:$D$20001,IF(Settings!$B$3="","&lt;&gt;",Settings!$B$3)))</f>
        <v>0</v>
      </c>
      <c r="T114" s="39">
        <f>IF($P114&lt;&gt;1,0,SUMIFS('JLR Machines'!$J$2:$J$20001,'JLR Machines'!$A$2:$A$20001,$O114,'JLR Machines'!$C$2:$C$20001,IF(Settings!$B$2="","&lt;&gt;",Settings!$B$2),'JLR Machines'!$D$2:$D$20001,IF(Settings!$B$3="","&lt;&gt;",Settings!$B$3)))</f>
        <v>0</v>
      </c>
      <c r="U114" s="39">
        <f>IF($P114&lt;&gt;1,0,SUMIFS('JLR Machines'!$K$2:$K$20001,'JLR Machines'!$A$2:$A$20001,$O114,'JLR Machines'!$C$2:$C$20001,IF(Settings!$B$2="","&lt;&gt;",Settings!$B$2),'JLR Machines'!$D$2:$D$20001,IF(Settings!$B$3="","&lt;&gt;",Settings!$B$3)))</f>
        <v>0</v>
      </c>
      <c r="V114" s="39">
        <f>IF($P114&lt;&gt;1,0,SUMIFS('JLR Machines'!$L$2:$L$20001,'JLR Machines'!$A$2:$A$20001,$O114,'JLR Machines'!$C$2:$C$20001,IF(Settings!$B$2="","&lt;&gt;",Settings!$B$2),'JLR Machines'!$D$2:$D$20001,IF(Settings!$B$3="","&lt;&gt;",Settings!$B$3)))</f>
        <v>0</v>
      </c>
      <c r="W114" s="39">
        <f>IF($P114&lt;&gt;1,0,SUMIFS('JLR Machines'!$M$2:$M$20001,'JLR Machines'!$A$2:$A$20001,$O114,'JLR Machines'!$C$2:$C$20001,IF(Settings!$B$2="","&lt;&gt;",Settings!$B$2),'JLR Machines'!$D$2:$D$20001,IF(Settings!$B$3="","&lt;&gt;",Settings!$B$3)))</f>
        <v>0</v>
      </c>
      <c r="X114" s="39">
        <f>IF($P114&lt;&gt;1,0,SUMIFS('JLR Machines'!$N$2:$N$20001,'JLR Machines'!$A$2:$A$20001,$O114,'JLR Machines'!$C$2:$C$20001,IF(Settings!$B$2="","&lt;&gt;",Settings!$B$2),'JLR Machines'!$D$2:$D$20001,IF(Settings!$B$3="","&lt;&gt;",Settings!$B$3)))</f>
        <v>0</v>
      </c>
      <c r="Y114" s="39">
        <f>$Q114+$R114+$S114+$T114+$U114+$V114+$W114</f>
        <v>0</v>
      </c>
      <c r="Z114" s="38">
        <f>IF($X114&lt;=0,0,ROUND((D114+E114+F114+G114+H114+I114)/2275-$X114,4))</f>
        <v>0</v>
      </c>
      <c r="AA114" s="40" t="s">
        <v>2311</v>
      </c>
      <c r="AB114" s="40" t="s">
        <v>2099</v>
      </c>
    </row>
    <row r="115" spans="1:28" x14ac:dyDescent="0.25">
      <c r="A115" s="32" t="s">
        <v>1150</v>
      </c>
      <c r="B115" s="33" t="s">
        <v>2312</v>
      </c>
      <c r="C115" s="33" t="s">
        <v>1379</v>
      </c>
      <c r="D115" s="41">
        <f>IF($X115&gt;0,IF($Y115&gt;0,MAX(0,$Q115+$X115-$Y115)*2520,$X115*2520),26312)</f>
        <v>26312</v>
      </c>
      <c r="E115" s="41">
        <f>IF($X115&gt;0,IF($Y115&gt;0,$S115*2520,0),12115)</f>
        <v>12115</v>
      </c>
      <c r="F115" s="41">
        <f>IF($X115&gt;0,IF($Y115&gt;0,$V115*2520,0),40783)</f>
        <v>40783</v>
      </c>
      <c r="G115" s="41">
        <f>IF($X115&gt;0,IF($Y115&gt;0,$R115*2520,0),18173)</f>
        <v>18173</v>
      </c>
      <c r="H115" s="41">
        <f>IF($X115&gt;0,IF($Y115&gt;0,($T115+$W115)*2520,0),7050)</f>
        <v>7050</v>
      </c>
      <c r="I115" s="41">
        <f>IF($X115&gt;0,IF($Y115&gt;0,$U115*2520,0),3250)</f>
        <v>3250</v>
      </c>
      <c r="J115" s="35">
        <v>3500</v>
      </c>
      <c r="K115" s="42">
        <v>0.72</v>
      </c>
      <c r="L115" s="36" t="str">
        <f>IF($X115&gt;0,IF($P115&lt;&gt;1,$AB115,IFERROR(INDEX('JLR Machines'!$D$2:$D$20001,MATCH($O115,'JLR Machines'!$A$2:$A$20001,0)),$AB115)),$AB115)</f>
        <v>2026-09-29</v>
      </c>
      <c r="M115" s="36" t="str">
        <f>IF($X115&gt;0,IF($Y115&gt;0,"JLR machine "&amp;$O115&amp;" at "&amp;TEXT($X115,"0.00")&amp;" per hr — build-up as supplied","JLR machine "&amp;$O115&amp;" at "&amp;TEXT($X115,"0.00")&amp;" per hr — build-up not supplied"),$AA115)</f>
        <v>UK plastics benchmark. Shuttle roto — mid volume, large/awkward parts, flexible tool changes. Jun 2026</v>
      </c>
      <c r="N115" s="33" t="s">
        <v>1380</v>
      </c>
      <c r="O115" s="37" t="str">
        <f>IFERROR(INDEX(Mapping!$C$2:$C$549,MATCH($A115,Mapping!$A$2:$A$549,0)),"")</f>
        <v/>
      </c>
      <c r="P115" s="37">
        <f>IF($O115="",0,COUNTIFS('JLR Machines'!$A$2:$A$20001,$O115,'JLR Machines'!$C$2:$C$20001,IF(Settings!$B$2="","&lt;&gt;",Settings!$B$2),'JLR Machines'!$D$2:$D$20001,IF(Settings!$B$3="","&lt;&gt;",Settings!$B$3)))</f>
        <v>0</v>
      </c>
      <c r="Q115" s="39">
        <f>IF($P115&lt;&gt;1,0,SUMIFS('JLR Machines'!$G$2:$G$20001,'JLR Machines'!$A$2:$A$20001,$O115,'JLR Machines'!$C$2:$C$20001,IF(Settings!$B$2="","&lt;&gt;",Settings!$B$2),'JLR Machines'!$D$2:$D$20001,IF(Settings!$B$3="","&lt;&gt;",Settings!$B$3)))</f>
        <v>0</v>
      </c>
      <c r="R115" s="39">
        <f>IF($P115&lt;&gt;1,0,SUMIFS('JLR Machines'!$H$2:$H$20001,'JLR Machines'!$A$2:$A$20001,$O115,'JLR Machines'!$C$2:$C$20001,IF(Settings!$B$2="","&lt;&gt;",Settings!$B$2),'JLR Machines'!$D$2:$D$20001,IF(Settings!$B$3="","&lt;&gt;",Settings!$B$3)))</f>
        <v>0</v>
      </c>
      <c r="S115" s="39">
        <f>IF($P115&lt;&gt;1,0,SUMIFS('JLR Machines'!$I$2:$I$20001,'JLR Machines'!$A$2:$A$20001,$O115,'JLR Machines'!$C$2:$C$20001,IF(Settings!$B$2="","&lt;&gt;",Settings!$B$2),'JLR Machines'!$D$2:$D$20001,IF(Settings!$B$3="","&lt;&gt;",Settings!$B$3)))</f>
        <v>0</v>
      </c>
      <c r="T115" s="39">
        <f>IF($P115&lt;&gt;1,0,SUMIFS('JLR Machines'!$J$2:$J$20001,'JLR Machines'!$A$2:$A$20001,$O115,'JLR Machines'!$C$2:$C$20001,IF(Settings!$B$2="","&lt;&gt;",Settings!$B$2),'JLR Machines'!$D$2:$D$20001,IF(Settings!$B$3="","&lt;&gt;",Settings!$B$3)))</f>
        <v>0</v>
      </c>
      <c r="U115" s="39">
        <f>IF($P115&lt;&gt;1,0,SUMIFS('JLR Machines'!$K$2:$K$20001,'JLR Machines'!$A$2:$A$20001,$O115,'JLR Machines'!$C$2:$C$20001,IF(Settings!$B$2="","&lt;&gt;",Settings!$B$2),'JLR Machines'!$D$2:$D$20001,IF(Settings!$B$3="","&lt;&gt;",Settings!$B$3)))</f>
        <v>0</v>
      </c>
      <c r="V115" s="39">
        <f>IF($P115&lt;&gt;1,0,SUMIFS('JLR Machines'!$L$2:$L$20001,'JLR Machines'!$A$2:$A$20001,$O115,'JLR Machines'!$C$2:$C$20001,IF(Settings!$B$2="","&lt;&gt;",Settings!$B$2),'JLR Machines'!$D$2:$D$20001,IF(Settings!$B$3="","&lt;&gt;",Settings!$B$3)))</f>
        <v>0</v>
      </c>
      <c r="W115" s="39">
        <f>IF($P115&lt;&gt;1,0,SUMIFS('JLR Machines'!$M$2:$M$20001,'JLR Machines'!$A$2:$A$20001,$O115,'JLR Machines'!$C$2:$C$20001,IF(Settings!$B$2="","&lt;&gt;",Settings!$B$2),'JLR Machines'!$D$2:$D$20001,IF(Settings!$B$3="","&lt;&gt;",Settings!$B$3)))</f>
        <v>0</v>
      </c>
      <c r="X115" s="39">
        <f>IF($P115&lt;&gt;1,0,SUMIFS('JLR Machines'!$N$2:$N$20001,'JLR Machines'!$A$2:$A$20001,$O115,'JLR Machines'!$C$2:$C$20001,IF(Settings!$B$2="","&lt;&gt;",Settings!$B$2),'JLR Machines'!$D$2:$D$20001,IF(Settings!$B$3="","&lt;&gt;",Settings!$B$3)))</f>
        <v>0</v>
      </c>
      <c r="Y115" s="39">
        <f>$Q115+$R115+$S115+$T115+$U115+$V115+$W115</f>
        <v>0</v>
      </c>
      <c r="Z115" s="38">
        <f>IF($X115&lt;=0,0,ROUND((D115+E115+F115+G115+H115+I115)/2520-$X115,4))</f>
        <v>0</v>
      </c>
      <c r="AA115" s="40" t="s">
        <v>2313</v>
      </c>
      <c r="AB115" s="40" t="s">
        <v>2099</v>
      </c>
    </row>
    <row r="116" spans="1:28" x14ac:dyDescent="0.25">
      <c r="A116" s="32" t="s">
        <v>1152</v>
      </c>
      <c r="B116" s="33" t="s">
        <v>2314</v>
      </c>
      <c r="C116" s="33" t="s">
        <v>1379</v>
      </c>
      <c r="D116" s="41">
        <f>IF($X116&gt;0,IF($Y116&gt;0,MAX(0,$Q116+$X116-$Y116)*2520,$X116*2520),22264)</f>
        <v>22264</v>
      </c>
      <c r="E116" s="41">
        <f>IF($X116&gt;0,IF($Y116&gt;0,$S116*2520,0),10096)</f>
        <v>10096</v>
      </c>
      <c r="F116" s="41">
        <f>IF($X116&gt;0,IF($Y116&gt;0,$V116*2520,0),34957)</f>
        <v>34957</v>
      </c>
      <c r="G116" s="41">
        <f>IF($X116&gt;0,IF($Y116&gt;0,$R116*2520,0),15144)</f>
        <v>15144</v>
      </c>
      <c r="H116" s="41">
        <f>IF($X116&gt;0,IF($Y116&gt;0,($T116+$W116)*2520,0),6043)</f>
        <v>6043</v>
      </c>
      <c r="I116" s="41">
        <f>IF($X116&gt;0,IF($Y116&gt;0,$U116*2520,0),2750)</f>
        <v>2750</v>
      </c>
      <c r="J116" s="35">
        <v>3500</v>
      </c>
      <c r="K116" s="42">
        <v>0.72</v>
      </c>
      <c r="L116" s="36" t="str">
        <f>IF($X116&gt;0,IF($P116&lt;&gt;1,$AB116,IFERROR(INDEX('JLR Machines'!$D$2:$D$20001,MATCH($O116,'JLR Machines'!$A$2:$A$20001,0)),$AB116)),$AB116)</f>
        <v>2026-09-29</v>
      </c>
      <c r="M116" s="36" t="str">
        <f>IF($X116&gt;0,IF($Y116&gt;0,"JLR machine "&amp;$O116&amp;" at "&amp;TEXT($X116,"0.00")&amp;" per hr — build-up as supplied","JLR machine "&amp;$O116&amp;" at "&amp;TEXT($X116,"0.00")&amp;" per hr — build-up not supplied"),$AA116)</f>
        <v>UK plastics benchmark. Rock-and-roll — long narrow parts (kayaks, ducts, pontoons); minor-axis rock + major-axis roll. Jun 2026</v>
      </c>
      <c r="N116" s="33" t="s">
        <v>1380</v>
      </c>
      <c r="O116" s="37" t="str">
        <f>IFERROR(INDEX(Mapping!$C$2:$C$549,MATCH($A116,Mapping!$A$2:$A$549,0)),"")</f>
        <v/>
      </c>
      <c r="P116" s="37">
        <f>IF($O116="",0,COUNTIFS('JLR Machines'!$A$2:$A$20001,$O116,'JLR Machines'!$C$2:$C$20001,IF(Settings!$B$2="","&lt;&gt;",Settings!$B$2),'JLR Machines'!$D$2:$D$20001,IF(Settings!$B$3="","&lt;&gt;",Settings!$B$3)))</f>
        <v>0</v>
      </c>
      <c r="Q116" s="39">
        <f>IF($P116&lt;&gt;1,0,SUMIFS('JLR Machines'!$G$2:$G$20001,'JLR Machines'!$A$2:$A$20001,$O116,'JLR Machines'!$C$2:$C$20001,IF(Settings!$B$2="","&lt;&gt;",Settings!$B$2),'JLR Machines'!$D$2:$D$20001,IF(Settings!$B$3="","&lt;&gt;",Settings!$B$3)))</f>
        <v>0</v>
      </c>
      <c r="R116" s="39">
        <f>IF($P116&lt;&gt;1,0,SUMIFS('JLR Machines'!$H$2:$H$20001,'JLR Machines'!$A$2:$A$20001,$O116,'JLR Machines'!$C$2:$C$20001,IF(Settings!$B$2="","&lt;&gt;",Settings!$B$2),'JLR Machines'!$D$2:$D$20001,IF(Settings!$B$3="","&lt;&gt;",Settings!$B$3)))</f>
        <v>0</v>
      </c>
      <c r="S116" s="39">
        <f>IF($P116&lt;&gt;1,0,SUMIFS('JLR Machines'!$I$2:$I$20001,'JLR Machines'!$A$2:$A$20001,$O116,'JLR Machines'!$C$2:$C$20001,IF(Settings!$B$2="","&lt;&gt;",Settings!$B$2),'JLR Machines'!$D$2:$D$20001,IF(Settings!$B$3="","&lt;&gt;",Settings!$B$3)))</f>
        <v>0</v>
      </c>
      <c r="T116" s="39">
        <f>IF($P116&lt;&gt;1,0,SUMIFS('JLR Machines'!$J$2:$J$20001,'JLR Machines'!$A$2:$A$20001,$O116,'JLR Machines'!$C$2:$C$20001,IF(Settings!$B$2="","&lt;&gt;",Settings!$B$2),'JLR Machines'!$D$2:$D$20001,IF(Settings!$B$3="","&lt;&gt;",Settings!$B$3)))</f>
        <v>0</v>
      </c>
      <c r="U116" s="39">
        <f>IF($P116&lt;&gt;1,0,SUMIFS('JLR Machines'!$K$2:$K$20001,'JLR Machines'!$A$2:$A$20001,$O116,'JLR Machines'!$C$2:$C$20001,IF(Settings!$B$2="","&lt;&gt;",Settings!$B$2),'JLR Machines'!$D$2:$D$20001,IF(Settings!$B$3="","&lt;&gt;",Settings!$B$3)))</f>
        <v>0</v>
      </c>
      <c r="V116" s="39">
        <f>IF($P116&lt;&gt;1,0,SUMIFS('JLR Machines'!$L$2:$L$20001,'JLR Machines'!$A$2:$A$20001,$O116,'JLR Machines'!$C$2:$C$20001,IF(Settings!$B$2="","&lt;&gt;",Settings!$B$2),'JLR Machines'!$D$2:$D$20001,IF(Settings!$B$3="","&lt;&gt;",Settings!$B$3)))</f>
        <v>0</v>
      </c>
      <c r="W116" s="39">
        <f>IF($P116&lt;&gt;1,0,SUMIFS('JLR Machines'!$M$2:$M$20001,'JLR Machines'!$A$2:$A$20001,$O116,'JLR Machines'!$C$2:$C$20001,IF(Settings!$B$2="","&lt;&gt;",Settings!$B$2),'JLR Machines'!$D$2:$D$20001,IF(Settings!$B$3="","&lt;&gt;",Settings!$B$3)))</f>
        <v>0</v>
      </c>
      <c r="X116" s="39">
        <f>IF($P116&lt;&gt;1,0,SUMIFS('JLR Machines'!$N$2:$N$20001,'JLR Machines'!$A$2:$A$20001,$O116,'JLR Machines'!$C$2:$C$20001,IF(Settings!$B$2="","&lt;&gt;",Settings!$B$2),'JLR Machines'!$D$2:$D$20001,IF(Settings!$B$3="","&lt;&gt;",Settings!$B$3)))</f>
        <v>0</v>
      </c>
      <c r="Y116" s="39">
        <f>$Q116+$R116+$S116+$T116+$U116+$V116+$W116</f>
        <v>0</v>
      </c>
      <c r="Z116" s="38">
        <f>IF($X116&lt;=0,0,ROUND((D116+E116+F116+G116+H116+I116)/2520-$X116,4))</f>
        <v>0</v>
      </c>
      <c r="AA116" s="40" t="s">
        <v>2315</v>
      </c>
      <c r="AB116" s="40" t="s">
        <v>2099</v>
      </c>
    </row>
    <row r="117" spans="1:28" x14ac:dyDescent="0.25">
      <c r="A117" s="32" t="s">
        <v>1154</v>
      </c>
      <c r="B117" s="33" t="s">
        <v>2316</v>
      </c>
      <c r="C117" s="33" t="s">
        <v>1379</v>
      </c>
      <c r="D117" s="41">
        <f>IF($X117&gt;0,IF($Y117&gt;0,MAX(0,$Q117+$X117-$Y117)*2730,$X117*2730),45540)</f>
        <v>45540</v>
      </c>
      <c r="E117" s="41">
        <f>IF($X117&gt;0,IF($Y117&gt;0,$S117*2730,0),20192)</f>
        <v>20192</v>
      </c>
      <c r="F117" s="41">
        <f>IF($X117&gt;0,IF($Y117&gt;0,$V117*2730,0),69913)</f>
        <v>69913</v>
      </c>
      <c r="G117" s="41">
        <f>IF($X117&gt;0,IF($Y117&gt;0,$R117*2730,0),28269)</f>
        <v>28269</v>
      </c>
      <c r="H117" s="41">
        <f>IF($X117&gt;0,IF($Y117&gt;0,($T117+$W117)*2730,0),12086)</f>
        <v>12086</v>
      </c>
      <c r="I117" s="41">
        <f>IF($X117&gt;0,IF($Y117&gt;0,$U117*2730,0),5625)</f>
        <v>5625</v>
      </c>
      <c r="J117" s="35">
        <v>3500</v>
      </c>
      <c r="K117" s="42">
        <v>0.78</v>
      </c>
      <c r="L117" s="36" t="str">
        <f>IF($X117&gt;0,IF($P117&lt;&gt;1,$AB117,IFERROR(INDEX('JLR Machines'!$D$2:$D$20001,MATCH($O117,'JLR Machines'!$A$2:$A$20001,0)),$AB117)),$AB117)</f>
        <v>2026-09-29</v>
      </c>
      <c r="M117" s="36" t="str">
        <f>IF($X117&gt;0,IF($Y117&gt;0,"JLR machine "&amp;$O117&amp;" at "&amp;TEXT($X117,"0.00")&amp;" per hr — build-up as supplied","JLR machine "&amp;$O117&amp;" at "&amp;TEXT($X117,"0.00")&amp;" per hr — build-up not supplied"),$AA117)</f>
        <v>UK plastics benchmark. 4-arm fixed-carousel — high-volume independent-arm production, best oven utilisation. Jun 2026</v>
      </c>
      <c r="N117" s="33" t="s">
        <v>1380</v>
      </c>
      <c r="O117" s="37" t="str">
        <f>IFERROR(INDEX(Mapping!$C$2:$C$549,MATCH($A117,Mapping!$A$2:$A$549,0)),"")</f>
        <v/>
      </c>
      <c r="P117" s="37">
        <f>IF($O117="",0,COUNTIFS('JLR Machines'!$A$2:$A$20001,$O117,'JLR Machines'!$C$2:$C$20001,IF(Settings!$B$2="","&lt;&gt;",Settings!$B$2),'JLR Machines'!$D$2:$D$20001,IF(Settings!$B$3="","&lt;&gt;",Settings!$B$3)))</f>
        <v>0</v>
      </c>
      <c r="Q117" s="39">
        <f>IF($P117&lt;&gt;1,0,SUMIFS('JLR Machines'!$G$2:$G$20001,'JLR Machines'!$A$2:$A$20001,$O117,'JLR Machines'!$C$2:$C$20001,IF(Settings!$B$2="","&lt;&gt;",Settings!$B$2),'JLR Machines'!$D$2:$D$20001,IF(Settings!$B$3="","&lt;&gt;",Settings!$B$3)))</f>
        <v>0</v>
      </c>
      <c r="R117" s="39">
        <f>IF($P117&lt;&gt;1,0,SUMIFS('JLR Machines'!$H$2:$H$20001,'JLR Machines'!$A$2:$A$20001,$O117,'JLR Machines'!$C$2:$C$20001,IF(Settings!$B$2="","&lt;&gt;",Settings!$B$2),'JLR Machines'!$D$2:$D$20001,IF(Settings!$B$3="","&lt;&gt;",Settings!$B$3)))</f>
        <v>0</v>
      </c>
      <c r="S117" s="39">
        <f>IF($P117&lt;&gt;1,0,SUMIFS('JLR Machines'!$I$2:$I$20001,'JLR Machines'!$A$2:$A$20001,$O117,'JLR Machines'!$C$2:$C$20001,IF(Settings!$B$2="","&lt;&gt;",Settings!$B$2),'JLR Machines'!$D$2:$D$20001,IF(Settings!$B$3="","&lt;&gt;",Settings!$B$3)))</f>
        <v>0</v>
      </c>
      <c r="T117" s="39">
        <f>IF($P117&lt;&gt;1,0,SUMIFS('JLR Machines'!$J$2:$J$20001,'JLR Machines'!$A$2:$A$20001,$O117,'JLR Machines'!$C$2:$C$20001,IF(Settings!$B$2="","&lt;&gt;",Settings!$B$2),'JLR Machines'!$D$2:$D$20001,IF(Settings!$B$3="","&lt;&gt;",Settings!$B$3)))</f>
        <v>0</v>
      </c>
      <c r="U117" s="39">
        <f>IF($P117&lt;&gt;1,0,SUMIFS('JLR Machines'!$K$2:$K$20001,'JLR Machines'!$A$2:$A$20001,$O117,'JLR Machines'!$C$2:$C$20001,IF(Settings!$B$2="","&lt;&gt;",Settings!$B$2),'JLR Machines'!$D$2:$D$20001,IF(Settings!$B$3="","&lt;&gt;",Settings!$B$3)))</f>
        <v>0</v>
      </c>
      <c r="V117" s="39">
        <f>IF($P117&lt;&gt;1,0,SUMIFS('JLR Machines'!$L$2:$L$20001,'JLR Machines'!$A$2:$A$20001,$O117,'JLR Machines'!$C$2:$C$20001,IF(Settings!$B$2="","&lt;&gt;",Settings!$B$2),'JLR Machines'!$D$2:$D$20001,IF(Settings!$B$3="","&lt;&gt;",Settings!$B$3)))</f>
        <v>0</v>
      </c>
      <c r="W117" s="39">
        <f>IF($P117&lt;&gt;1,0,SUMIFS('JLR Machines'!$M$2:$M$20001,'JLR Machines'!$A$2:$A$20001,$O117,'JLR Machines'!$C$2:$C$20001,IF(Settings!$B$2="","&lt;&gt;",Settings!$B$2),'JLR Machines'!$D$2:$D$20001,IF(Settings!$B$3="","&lt;&gt;",Settings!$B$3)))</f>
        <v>0</v>
      </c>
      <c r="X117" s="39">
        <f>IF($P117&lt;&gt;1,0,SUMIFS('JLR Machines'!$N$2:$N$20001,'JLR Machines'!$A$2:$A$20001,$O117,'JLR Machines'!$C$2:$C$20001,IF(Settings!$B$2="","&lt;&gt;",Settings!$B$2),'JLR Machines'!$D$2:$D$20001,IF(Settings!$B$3="","&lt;&gt;",Settings!$B$3)))</f>
        <v>0</v>
      </c>
      <c r="Y117" s="39">
        <f>$Q117+$R117+$S117+$T117+$U117+$V117+$W117</f>
        <v>0</v>
      </c>
      <c r="Z117" s="38">
        <f>IF($X117&lt;=0,0,ROUND((D117+E117+F117+G117+H117+I117)/2730-$X117,4))</f>
        <v>0</v>
      </c>
      <c r="AA117" s="40" t="s">
        <v>2317</v>
      </c>
      <c r="AB117" s="40" t="s">
        <v>2099</v>
      </c>
    </row>
    <row r="118" spans="1:28" x14ac:dyDescent="0.25">
      <c r="A118" s="32" t="s">
        <v>1156</v>
      </c>
      <c r="B118" s="33" t="s">
        <v>2318</v>
      </c>
      <c r="C118" s="33" t="s">
        <v>1379</v>
      </c>
      <c r="D118" s="41">
        <f>IF($X118&gt;0,IF($Y118&gt;0,MAX(0,$Q118+$X118-$Y118)*3200,$X118*3200),8096)</f>
        <v>8096</v>
      </c>
      <c r="E118" s="41">
        <f>IF($X118&gt;0,IF($Y118&gt;0,$S118*3200,0),3029)</f>
        <v>3029</v>
      </c>
      <c r="F118" s="41">
        <f>IF($X118&gt;0,IF($Y118&gt;0,$V118*3200,0),2330)</f>
        <v>2330</v>
      </c>
      <c r="G118" s="41">
        <f>IF($X118&gt;0,IF($Y118&gt;0,$R118*3200,0),1514)</f>
        <v>1514</v>
      </c>
      <c r="H118" s="41">
        <f>IF($X118&gt;0,IF($Y118&gt;0,($T118+$W118)*3200,0),2014)</f>
        <v>2014</v>
      </c>
      <c r="I118" s="41">
        <f>IF($X118&gt;0,IF($Y118&gt;0,$U118*3200,0),1000)</f>
        <v>1000</v>
      </c>
      <c r="J118" s="35">
        <v>4000</v>
      </c>
      <c r="K118" s="42">
        <v>0.8</v>
      </c>
      <c r="L118" s="36" t="str">
        <f>IF($X118&gt;0,IF($P118&lt;&gt;1,$AB118,IFERROR(INDEX('JLR Machines'!$D$2:$D$20001,MATCH($O118,'JLR Machines'!$A$2:$A$20001,0)),$AB118)),$AB118)</f>
        <v>2026-09-29</v>
      </c>
      <c r="M118" s="36" t="str">
        <f>IF($X118&gt;0,IF($Y118&gt;0,"JLR machine "&amp;$O118&amp;" at "&amp;TEXT($X118,"0.00")&amp;" per hr — build-up as supplied","JLR machine "&amp;$O118&amp;" at "&amp;TEXT($X118,"0.00")&amp;" per hr — build-up not supplied"),$AA118)</f>
        <v>UK plastics assembly benchmark. 3kW+ ultrasonic welder, small–medium plastic parts. Jun 2026</v>
      </c>
      <c r="N118" s="33" t="s">
        <v>1380</v>
      </c>
      <c r="O118" s="37" t="str">
        <f>IFERROR(INDEX(Mapping!$C$2:$C$549,MATCH($A118,Mapping!$A$2:$A$549,0)),"")</f>
        <v/>
      </c>
      <c r="P118" s="37">
        <f>IF($O118="",0,COUNTIFS('JLR Machines'!$A$2:$A$20001,$O118,'JLR Machines'!$C$2:$C$20001,IF(Settings!$B$2="","&lt;&gt;",Settings!$B$2),'JLR Machines'!$D$2:$D$20001,IF(Settings!$B$3="","&lt;&gt;",Settings!$B$3)))</f>
        <v>0</v>
      </c>
      <c r="Q118" s="39">
        <f>IF($P118&lt;&gt;1,0,SUMIFS('JLR Machines'!$G$2:$G$20001,'JLR Machines'!$A$2:$A$20001,$O118,'JLR Machines'!$C$2:$C$20001,IF(Settings!$B$2="","&lt;&gt;",Settings!$B$2),'JLR Machines'!$D$2:$D$20001,IF(Settings!$B$3="","&lt;&gt;",Settings!$B$3)))</f>
        <v>0</v>
      </c>
      <c r="R118" s="39">
        <f>IF($P118&lt;&gt;1,0,SUMIFS('JLR Machines'!$H$2:$H$20001,'JLR Machines'!$A$2:$A$20001,$O118,'JLR Machines'!$C$2:$C$20001,IF(Settings!$B$2="","&lt;&gt;",Settings!$B$2),'JLR Machines'!$D$2:$D$20001,IF(Settings!$B$3="","&lt;&gt;",Settings!$B$3)))</f>
        <v>0</v>
      </c>
      <c r="S118" s="39">
        <f>IF($P118&lt;&gt;1,0,SUMIFS('JLR Machines'!$I$2:$I$20001,'JLR Machines'!$A$2:$A$20001,$O118,'JLR Machines'!$C$2:$C$20001,IF(Settings!$B$2="","&lt;&gt;",Settings!$B$2),'JLR Machines'!$D$2:$D$20001,IF(Settings!$B$3="","&lt;&gt;",Settings!$B$3)))</f>
        <v>0</v>
      </c>
      <c r="T118" s="39">
        <f>IF($P118&lt;&gt;1,0,SUMIFS('JLR Machines'!$J$2:$J$20001,'JLR Machines'!$A$2:$A$20001,$O118,'JLR Machines'!$C$2:$C$20001,IF(Settings!$B$2="","&lt;&gt;",Settings!$B$2),'JLR Machines'!$D$2:$D$20001,IF(Settings!$B$3="","&lt;&gt;",Settings!$B$3)))</f>
        <v>0</v>
      </c>
      <c r="U118" s="39">
        <f>IF($P118&lt;&gt;1,0,SUMIFS('JLR Machines'!$K$2:$K$20001,'JLR Machines'!$A$2:$A$20001,$O118,'JLR Machines'!$C$2:$C$20001,IF(Settings!$B$2="","&lt;&gt;",Settings!$B$2),'JLR Machines'!$D$2:$D$20001,IF(Settings!$B$3="","&lt;&gt;",Settings!$B$3)))</f>
        <v>0</v>
      </c>
      <c r="V118" s="39">
        <f>IF($P118&lt;&gt;1,0,SUMIFS('JLR Machines'!$L$2:$L$20001,'JLR Machines'!$A$2:$A$20001,$O118,'JLR Machines'!$C$2:$C$20001,IF(Settings!$B$2="","&lt;&gt;",Settings!$B$2),'JLR Machines'!$D$2:$D$20001,IF(Settings!$B$3="","&lt;&gt;",Settings!$B$3)))</f>
        <v>0</v>
      </c>
      <c r="W118" s="39">
        <f>IF($P118&lt;&gt;1,0,SUMIFS('JLR Machines'!$M$2:$M$20001,'JLR Machines'!$A$2:$A$20001,$O118,'JLR Machines'!$C$2:$C$20001,IF(Settings!$B$2="","&lt;&gt;",Settings!$B$2),'JLR Machines'!$D$2:$D$20001,IF(Settings!$B$3="","&lt;&gt;",Settings!$B$3)))</f>
        <v>0</v>
      </c>
      <c r="X118" s="39">
        <f>IF($P118&lt;&gt;1,0,SUMIFS('JLR Machines'!$N$2:$N$20001,'JLR Machines'!$A$2:$A$20001,$O118,'JLR Machines'!$C$2:$C$20001,IF(Settings!$B$2="","&lt;&gt;",Settings!$B$2),'JLR Machines'!$D$2:$D$20001,IF(Settings!$B$3="","&lt;&gt;",Settings!$B$3)))</f>
        <v>0</v>
      </c>
      <c r="Y118" s="39">
        <f>$Q118+$R118+$S118+$T118+$U118+$V118+$W118</f>
        <v>0</v>
      </c>
      <c r="Z118" s="38">
        <f>IF($X118&lt;=0,0,ROUND((D118+E118+F118+G118+H118+I118)/3200-$X118,4))</f>
        <v>0</v>
      </c>
      <c r="AA118" s="40" t="s">
        <v>2319</v>
      </c>
      <c r="AB118" s="40" t="s">
        <v>2099</v>
      </c>
    </row>
    <row r="119" spans="1:28" x14ac:dyDescent="0.25">
      <c r="A119" s="32" t="s">
        <v>1158</v>
      </c>
      <c r="B119" s="33" t="s">
        <v>2320</v>
      </c>
      <c r="C119" s="33" t="s">
        <v>1379</v>
      </c>
      <c r="D119" s="41">
        <f>IF($X119&gt;0,IF($Y119&gt;0,MAX(0,$Q119+$X119-$Y119)*3200,$X119*3200),12144)</f>
        <v>12144</v>
      </c>
      <c r="E119" s="41">
        <f>IF($X119&gt;0,IF($Y119&gt;0,$S119*3200,0),4038)</f>
        <v>4038</v>
      </c>
      <c r="F119" s="41">
        <f>IF($X119&gt;0,IF($Y119&gt;0,$V119*3200,0),3496)</f>
        <v>3496</v>
      </c>
      <c r="G119" s="41">
        <f>IF($X119&gt;0,IF($Y119&gt;0,$R119*3200,0),3029)</f>
        <v>3029</v>
      </c>
      <c r="H119" s="41">
        <f>IF($X119&gt;0,IF($Y119&gt;0,($T119+$W119)*3200,0),2518)</f>
        <v>2518</v>
      </c>
      <c r="I119" s="41">
        <f>IF($X119&gt;0,IF($Y119&gt;0,$U119*3200,0),1500)</f>
        <v>1500</v>
      </c>
      <c r="J119" s="35">
        <v>4000</v>
      </c>
      <c r="K119" s="42">
        <v>0.8</v>
      </c>
      <c r="L119" s="36" t="str">
        <f>IF($X119&gt;0,IF($P119&lt;&gt;1,$AB119,IFERROR(INDEX('JLR Machines'!$D$2:$D$20001,MATCH($O119,'JLR Machines'!$A$2:$A$20001,0)),$AB119)),$AB119)</f>
        <v>2026-09-29</v>
      </c>
      <c r="M119" s="36" t="str">
        <f>IF($X119&gt;0,IF($Y119&gt;0,"JLR machine "&amp;$O119&amp;" at "&amp;TEXT($X119,"0.00")&amp;" per hr — build-up as supplied","JLR machine "&amp;$O119&amp;" at "&amp;TEXT($X119,"0.00")&amp;" per hr — build-up not supplied"),$AA119)</f>
        <v>UK plastics assembly benchmark. Hot plate welding for tanks and manifolds. Jun 2026</v>
      </c>
      <c r="N119" s="33" t="s">
        <v>1380</v>
      </c>
      <c r="O119" s="37" t="str">
        <f>IFERROR(INDEX(Mapping!$C$2:$C$549,MATCH($A119,Mapping!$A$2:$A$549,0)),"")</f>
        <v/>
      </c>
      <c r="P119" s="37">
        <f>IF($O119="",0,COUNTIFS('JLR Machines'!$A$2:$A$20001,$O119,'JLR Machines'!$C$2:$C$20001,IF(Settings!$B$2="","&lt;&gt;",Settings!$B$2),'JLR Machines'!$D$2:$D$20001,IF(Settings!$B$3="","&lt;&gt;",Settings!$B$3)))</f>
        <v>0</v>
      </c>
      <c r="Q119" s="39">
        <f>IF($P119&lt;&gt;1,0,SUMIFS('JLR Machines'!$G$2:$G$20001,'JLR Machines'!$A$2:$A$20001,$O119,'JLR Machines'!$C$2:$C$20001,IF(Settings!$B$2="","&lt;&gt;",Settings!$B$2),'JLR Machines'!$D$2:$D$20001,IF(Settings!$B$3="","&lt;&gt;",Settings!$B$3)))</f>
        <v>0</v>
      </c>
      <c r="R119" s="39">
        <f>IF($P119&lt;&gt;1,0,SUMIFS('JLR Machines'!$H$2:$H$20001,'JLR Machines'!$A$2:$A$20001,$O119,'JLR Machines'!$C$2:$C$20001,IF(Settings!$B$2="","&lt;&gt;",Settings!$B$2),'JLR Machines'!$D$2:$D$20001,IF(Settings!$B$3="","&lt;&gt;",Settings!$B$3)))</f>
        <v>0</v>
      </c>
      <c r="S119" s="39">
        <f>IF($P119&lt;&gt;1,0,SUMIFS('JLR Machines'!$I$2:$I$20001,'JLR Machines'!$A$2:$A$20001,$O119,'JLR Machines'!$C$2:$C$20001,IF(Settings!$B$2="","&lt;&gt;",Settings!$B$2),'JLR Machines'!$D$2:$D$20001,IF(Settings!$B$3="","&lt;&gt;",Settings!$B$3)))</f>
        <v>0</v>
      </c>
      <c r="T119" s="39">
        <f>IF($P119&lt;&gt;1,0,SUMIFS('JLR Machines'!$J$2:$J$20001,'JLR Machines'!$A$2:$A$20001,$O119,'JLR Machines'!$C$2:$C$20001,IF(Settings!$B$2="","&lt;&gt;",Settings!$B$2),'JLR Machines'!$D$2:$D$20001,IF(Settings!$B$3="","&lt;&gt;",Settings!$B$3)))</f>
        <v>0</v>
      </c>
      <c r="U119" s="39">
        <f>IF($P119&lt;&gt;1,0,SUMIFS('JLR Machines'!$K$2:$K$20001,'JLR Machines'!$A$2:$A$20001,$O119,'JLR Machines'!$C$2:$C$20001,IF(Settings!$B$2="","&lt;&gt;",Settings!$B$2),'JLR Machines'!$D$2:$D$20001,IF(Settings!$B$3="","&lt;&gt;",Settings!$B$3)))</f>
        <v>0</v>
      </c>
      <c r="V119" s="39">
        <f>IF($P119&lt;&gt;1,0,SUMIFS('JLR Machines'!$L$2:$L$20001,'JLR Machines'!$A$2:$A$20001,$O119,'JLR Machines'!$C$2:$C$20001,IF(Settings!$B$2="","&lt;&gt;",Settings!$B$2),'JLR Machines'!$D$2:$D$20001,IF(Settings!$B$3="","&lt;&gt;",Settings!$B$3)))</f>
        <v>0</v>
      </c>
      <c r="W119" s="39">
        <f>IF($P119&lt;&gt;1,0,SUMIFS('JLR Machines'!$M$2:$M$20001,'JLR Machines'!$A$2:$A$20001,$O119,'JLR Machines'!$C$2:$C$20001,IF(Settings!$B$2="","&lt;&gt;",Settings!$B$2),'JLR Machines'!$D$2:$D$20001,IF(Settings!$B$3="","&lt;&gt;",Settings!$B$3)))</f>
        <v>0</v>
      </c>
      <c r="X119" s="39">
        <f>IF($P119&lt;&gt;1,0,SUMIFS('JLR Machines'!$N$2:$N$20001,'JLR Machines'!$A$2:$A$20001,$O119,'JLR Machines'!$C$2:$C$20001,IF(Settings!$B$2="","&lt;&gt;",Settings!$B$2),'JLR Machines'!$D$2:$D$20001,IF(Settings!$B$3="","&lt;&gt;",Settings!$B$3)))</f>
        <v>0</v>
      </c>
      <c r="Y119" s="39">
        <f>$Q119+$R119+$S119+$T119+$U119+$V119+$W119</f>
        <v>0</v>
      </c>
      <c r="Z119" s="38">
        <f>IF($X119&lt;=0,0,ROUND((D119+E119+F119+G119+H119+I119)/3200-$X119,4))</f>
        <v>0</v>
      </c>
      <c r="AA119" s="40" t="s">
        <v>2321</v>
      </c>
      <c r="AB119" s="40" t="s">
        <v>2099</v>
      </c>
    </row>
    <row r="120" spans="1:28" x14ac:dyDescent="0.25">
      <c r="A120" s="32" t="s">
        <v>1160</v>
      </c>
      <c r="B120" s="33" t="s">
        <v>2322</v>
      </c>
      <c r="C120" s="33" t="s">
        <v>1379</v>
      </c>
      <c r="D120" s="41">
        <f>IF($X120&gt;0,IF($Y120&gt;0,MAX(0,$Q120+$X120-$Y120)*3200,$X120*3200),18216)</f>
        <v>18216</v>
      </c>
      <c r="E120" s="41">
        <f>IF($X120&gt;0,IF($Y120&gt;0,$S120*3200,0),7067)</f>
        <v>7067</v>
      </c>
      <c r="F120" s="41">
        <f>IF($X120&gt;0,IF($Y120&gt;0,$V120*3200,0),4661)</f>
        <v>4661</v>
      </c>
      <c r="G120" s="41">
        <f>IF($X120&gt;0,IF($Y120&gt;0,$R120*3200,0),4038)</f>
        <v>4038</v>
      </c>
      <c r="H120" s="41">
        <f>IF($X120&gt;0,IF($Y120&gt;0,($T120+$W120)*3200,0),4029)</f>
        <v>4029</v>
      </c>
      <c r="I120" s="41">
        <f>IF($X120&gt;0,IF($Y120&gt;0,$U120*3200,0),2250)</f>
        <v>2250</v>
      </c>
      <c r="J120" s="35">
        <v>4000</v>
      </c>
      <c r="K120" s="42">
        <v>0.8</v>
      </c>
      <c r="L120" s="36" t="str">
        <f>IF($X120&gt;0,IF($P120&lt;&gt;1,$AB120,IFERROR(INDEX('JLR Machines'!$D$2:$D$20001,MATCH($O120,'JLR Machines'!$A$2:$A$20001,0)),$AB120)),$AB120)</f>
        <v>2026-09-29</v>
      </c>
      <c r="M120" s="36" t="str">
        <f>IF($X120&gt;0,IF($Y120&gt;0,"JLR machine "&amp;$O120&amp;" at "&amp;TEXT($X120,"0.00")&amp;" per hr — build-up as supplied","JLR machine "&amp;$O120&amp;" at "&amp;TEXT($X120,"0.00")&amp;" per hr — build-up not supplied"),$AA120)</f>
        <v>UK plastics assembly benchmark. Vibration welding, large flat interfaces (automotive ducts). Jun 2026</v>
      </c>
      <c r="N120" s="33" t="s">
        <v>1380</v>
      </c>
      <c r="O120" s="37" t="str">
        <f>IFERROR(INDEX(Mapping!$C$2:$C$549,MATCH($A120,Mapping!$A$2:$A$549,0)),"")</f>
        <v/>
      </c>
      <c r="P120" s="37">
        <f>IF($O120="",0,COUNTIFS('JLR Machines'!$A$2:$A$20001,$O120,'JLR Machines'!$C$2:$C$20001,IF(Settings!$B$2="","&lt;&gt;",Settings!$B$2),'JLR Machines'!$D$2:$D$20001,IF(Settings!$B$3="","&lt;&gt;",Settings!$B$3)))</f>
        <v>0</v>
      </c>
      <c r="Q120" s="39">
        <f>IF($P120&lt;&gt;1,0,SUMIFS('JLR Machines'!$G$2:$G$20001,'JLR Machines'!$A$2:$A$20001,$O120,'JLR Machines'!$C$2:$C$20001,IF(Settings!$B$2="","&lt;&gt;",Settings!$B$2),'JLR Machines'!$D$2:$D$20001,IF(Settings!$B$3="","&lt;&gt;",Settings!$B$3)))</f>
        <v>0</v>
      </c>
      <c r="R120" s="39">
        <f>IF($P120&lt;&gt;1,0,SUMIFS('JLR Machines'!$H$2:$H$20001,'JLR Machines'!$A$2:$A$20001,$O120,'JLR Machines'!$C$2:$C$20001,IF(Settings!$B$2="","&lt;&gt;",Settings!$B$2),'JLR Machines'!$D$2:$D$20001,IF(Settings!$B$3="","&lt;&gt;",Settings!$B$3)))</f>
        <v>0</v>
      </c>
      <c r="S120" s="39">
        <f>IF($P120&lt;&gt;1,0,SUMIFS('JLR Machines'!$I$2:$I$20001,'JLR Machines'!$A$2:$A$20001,$O120,'JLR Machines'!$C$2:$C$20001,IF(Settings!$B$2="","&lt;&gt;",Settings!$B$2),'JLR Machines'!$D$2:$D$20001,IF(Settings!$B$3="","&lt;&gt;",Settings!$B$3)))</f>
        <v>0</v>
      </c>
      <c r="T120" s="39">
        <f>IF($P120&lt;&gt;1,0,SUMIFS('JLR Machines'!$J$2:$J$20001,'JLR Machines'!$A$2:$A$20001,$O120,'JLR Machines'!$C$2:$C$20001,IF(Settings!$B$2="","&lt;&gt;",Settings!$B$2),'JLR Machines'!$D$2:$D$20001,IF(Settings!$B$3="","&lt;&gt;",Settings!$B$3)))</f>
        <v>0</v>
      </c>
      <c r="U120" s="39">
        <f>IF($P120&lt;&gt;1,0,SUMIFS('JLR Machines'!$K$2:$K$20001,'JLR Machines'!$A$2:$A$20001,$O120,'JLR Machines'!$C$2:$C$20001,IF(Settings!$B$2="","&lt;&gt;",Settings!$B$2),'JLR Machines'!$D$2:$D$20001,IF(Settings!$B$3="","&lt;&gt;",Settings!$B$3)))</f>
        <v>0</v>
      </c>
      <c r="V120" s="39">
        <f>IF($P120&lt;&gt;1,0,SUMIFS('JLR Machines'!$L$2:$L$20001,'JLR Machines'!$A$2:$A$20001,$O120,'JLR Machines'!$C$2:$C$20001,IF(Settings!$B$2="","&lt;&gt;",Settings!$B$2),'JLR Machines'!$D$2:$D$20001,IF(Settings!$B$3="","&lt;&gt;",Settings!$B$3)))</f>
        <v>0</v>
      </c>
      <c r="W120" s="39">
        <f>IF($P120&lt;&gt;1,0,SUMIFS('JLR Machines'!$M$2:$M$20001,'JLR Machines'!$A$2:$A$20001,$O120,'JLR Machines'!$C$2:$C$20001,IF(Settings!$B$2="","&lt;&gt;",Settings!$B$2),'JLR Machines'!$D$2:$D$20001,IF(Settings!$B$3="","&lt;&gt;",Settings!$B$3)))</f>
        <v>0</v>
      </c>
      <c r="X120" s="39">
        <f>IF($P120&lt;&gt;1,0,SUMIFS('JLR Machines'!$N$2:$N$20001,'JLR Machines'!$A$2:$A$20001,$O120,'JLR Machines'!$C$2:$C$20001,IF(Settings!$B$2="","&lt;&gt;",Settings!$B$2),'JLR Machines'!$D$2:$D$20001,IF(Settings!$B$3="","&lt;&gt;",Settings!$B$3)))</f>
        <v>0</v>
      </c>
      <c r="Y120" s="39">
        <f>$Q120+$R120+$S120+$T120+$U120+$V120+$W120</f>
        <v>0</v>
      </c>
      <c r="Z120" s="38">
        <f>IF($X120&lt;=0,0,ROUND((D120+E120+F120+G120+H120+I120)/3200-$X120,4))</f>
        <v>0</v>
      </c>
      <c r="AA120" s="40" t="s">
        <v>2323</v>
      </c>
      <c r="AB120" s="40" t="s">
        <v>2099</v>
      </c>
    </row>
    <row r="121" spans="1:28" x14ac:dyDescent="0.25">
      <c r="A121" s="32" t="s">
        <v>1162</v>
      </c>
      <c r="B121" s="33" t="s">
        <v>2324</v>
      </c>
      <c r="C121" s="33" t="s">
        <v>1379</v>
      </c>
      <c r="D121" s="41">
        <f>IF($X121&gt;0,IF($Y121&gt;0,MAX(0,$Q121+$X121-$Y121)*3000,$X121*3000),91080)</f>
        <v>91080</v>
      </c>
      <c r="E121" s="41">
        <f>IF($X121&gt;0,IF($Y121&gt;0,$S121*3000,0),65623)</f>
        <v>65623</v>
      </c>
      <c r="F121" s="41">
        <f>IF($X121&gt;0,IF($Y121&gt;0,$V121*3000,0),37287)</f>
        <v>37287</v>
      </c>
      <c r="G121" s="41">
        <f>IF($X121&gt;0,IF($Y121&gt;0,$R121*3000,0),10096)</f>
        <v>10096</v>
      </c>
      <c r="H121" s="41">
        <f>IF($X121&gt;0,IF($Y121&gt;0,($T121+$W121)*3000,0),40287)</f>
        <v>40287</v>
      </c>
      <c r="I121" s="41">
        <f>IF($X121&gt;0,IF($Y121&gt;0,$U121*3000,0),18000)</f>
        <v>18000</v>
      </c>
      <c r="J121" s="35">
        <v>4000</v>
      </c>
      <c r="K121" s="42">
        <v>0.75</v>
      </c>
      <c r="L121" s="36" t="str">
        <f>IF($X121&gt;0,IF($P121&lt;&gt;1,$AB121,IFERROR(INDEX('JLR Machines'!$D$2:$D$20001,MATCH($O121,'JLR Machines'!$A$2:$A$20001,0)),$AB121)),$AB121)</f>
        <v>2026-09-29</v>
      </c>
      <c r="M121" s="36" t="str">
        <f>IF($X121&gt;0,IF($Y121&gt;0,"JLR machine "&amp;$O121&amp;" at "&amp;TEXT($X121,"0.00")&amp;" per hr — build-up as supplied","JLR machine "&amp;$O121&amp;" at "&amp;TEXT($X121,"0.00")&amp;" per hr — build-up not supplied"),$AA121)</f>
        <v>Trumpf TruLaser 3030, 6kW fiber, 3000×1500 bed. UK fab shop benchmark. Target £85/hr. Jun 2026</v>
      </c>
      <c r="N121" s="33" t="s">
        <v>1380</v>
      </c>
      <c r="O121" s="37" t="str">
        <f>IFERROR(INDEX(Mapping!$C$2:$C$549,MATCH($A121,Mapping!$A$2:$A$549,0)),"")</f>
        <v/>
      </c>
      <c r="P121" s="37">
        <f>IF($O121="",0,COUNTIFS('JLR Machines'!$A$2:$A$20001,$O121,'JLR Machines'!$C$2:$C$20001,IF(Settings!$B$2="","&lt;&gt;",Settings!$B$2),'JLR Machines'!$D$2:$D$20001,IF(Settings!$B$3="","&lt;&gt;",Settings!$B$3)))</f>
        <v>0</v>
      </c>
      <c r="Q121" s="39">
        <f>IF($P121&lt;&gt;1,0,SUMIFS('JLR Machines'!$G$2:$G$20001,'JLR Machines'!$A$2:$A$20001,$O121,'JLR Machines'!$C$2:$C$20001,IF(Settings!$B$2="","&lt;&gt;",Settings!$B$2),'JLR Machines'!$D$2:$D$20001,IF(Settings!$B$3="","&lt;&gt;",Settings!$B$3)))</f>
        <v>0</v>
      </c>
      <c r="R121" s="39">
        <f>IF($P121&lt;&gt;1,0,SUMIFS('JLR Machines'!$H$2:$H$20001,'JLR Machines'!$A$2:$A$20001,$O121,'JLR Machines'!$C$2:$C$20001,IF(Settings!$B$2="","&lt;&gt;",Settings!$B$2),'JLR Machines'!$D$2:$D$20001,IF(Settings!$B$3="","&lt;&gt;",Settings!$B$3)))</f>
        <v>0</v>
      </c>
      <c r="S121" s="39">
        <f>IF($P121&lt;&gt;1,0,SUMIFS('JLR Machines'!$I$2:$I$20001,'JLR Machines'!$A$2:$A$20001,$O121,'JLR Machines'!$C$2:$C$20001,IF(Settings!$B$2="","&lt;&gt;",Settings!$B$2),'JLR Machines'!$D$2:$D$20001,IF(Settings!$B$3="","&lt;&gt;",Settings!$B$3)))</f>
        <v>0</v>
      </c>
      <c r="T121" s="39">
        <f>IF($P121&lt;&gt;1,0,SUMIFS('JLR Machines'!$J$2:$J$20001,'JLR Machines'!$A$2:$A$20001,$O121,'JLR Machines'!$C$2:$C$20001,IF(Settings!$B$2="","&lt;&gt;",Settings!$B$2),'JLR Machines'!$D$2:$D$20001,IF(Settings!$B$3="","&lt;&gt;",Settings!$B$3)))</f>
        <v>0</v>
      </c>
      <c r="U121" s="39">
        <f>IF($P121&lt;&gt;1,0,SUMIFS('JLR Machines'!$K$2:$K$20001,'JLR Machines'!$A$2:$A$20001,$O121,'JLR Machines'!$C$2:$C$20001,IF(Settings!$B$2="","&lt;&gt;",Settings!$B$2),'JLR Machines'!$D$2:$D$20001,IF(Settings!$B$3="","&lt;&gt;",Settings!$B$3)))</f>
        <v>0</v>
      </c>
      <c r="V121" s="39">
        <f>IF($P121&lt;&gt;1,0,SUMIFS('JLR Machines'!$L$2:$L$20001,'JLR Machines'!$A$2:$A$20001,$O121,'JLR Machines'!$C$2:$C$20001,IF(Settings!$B$2="","&lt;&gt;",Settings!$B$2),'JLR Machines'!$D$2:$D$20001,IF(Settings!$B$3="","&lt;&gt;",Settings!$B$3)))</f>
        <v>0</v>
      </c>
      <c r="W121" s="39">
        <f>IF($P121&lt;&gt;1,0,SUMIFS('JLR Machines'!$M$2:$M$20001,'JLR Machines'!$A$2:$A$20001,$O121,'JLR Machines'!$C$2:$C$20001,IF(Settings!$B$2="","&lt;&gt;",Settings!$B$2),'JLR Machines'!$D$2:$D$20001,IF(Settings!$B$3="","&lt;&gt;",Settings!$B$3)))</f>
        <v>0</v>
      </c>
      <c r="X121" s="39">
        <f>IF($P121&lt;&gt;1,0,SUMIFS('JLR Machines'!$N$2:$N$20001,'JLR Machines'!$A$2:$A$20001,$O121,'JLR Machines'!$C$2:$C$20001,IF(Settings!$B$2="","&lt;&gt;",Settings!$B$2),'JLR Machines'!$D$2:$D$20001,IF(Settings!$B$3="","&lt;&gt;",Settings!$B$3)))</f>
        <v>0</v>
      </c>
      <c r="Y121" s="39">
        <f>$Q121+$R121+$S121+$T121+$U121+$V121+$W121</f>
        <v>0</v>
      </c>
      <c r="Z121" s="38">
        <f>IF($X121&lt;=0,0,ROUND((D121+E121+F121+G121+H121+I121)/3000-$X121,4))</f>
        <v>0</v>
      </c>
      <c r="AA121" s="40" t="s">
        <v>2325</v>
      </c>
      <c r="AB121" s="40" t="s">
        <v>2099</v>
      </c>
    </row>
    <row r="122" spans="1:28" x14ac:dyDescent="0.25">
      <c r="A122" s="32" t="s">
        <v>1164</v>
      </c>
      <c r="B122" s="33" t="s">
        <v>2326</v>
      </c>
      <c r="C122" s="33" t="s">
        <v>1379</v>
      </c>
      <c r="D122" s="41">
        <f>IF($X122&gt;0,IF($Y122&gt;0,MAX(0,$Q122+$X122-$Y122)*3000,$X122*3000),68816)</f>
        <v>68816</v>
      </c>
      <c r="E122" s="41">
        <f>IF($X122&gt;0,IF($Y122&gt;0,$S122*3000,0),50479)</f>
        <v>50479</v>
      </c>
      <c r="F122" s="41">
        <f>IF($X122&gt;0,IF($Y122&gt;0,$V122*3000,0),27965)</f>
        <v>27965</v>
      </c>
      <c r="G122" s="41">
        <f>IF($X122&gt;0,IF($Y122&gt;0,$R122*3000,0),9086)</f>
        <v>9086</v>
      </c>
      <c r="H122" s="41">
        <f>IF($X122&gt;0,IF($Y122&gt;0,($T122+$W122)*3000,0),35251)</f>
        <v>35251</v>
      </c>
      <c r="I122" s="41">
        <f>IF($X122&gt;0,IF($Y122&gt;0,$U122*3000,0),24000)</f>
        <v>24000</v>
      </c>
      <c r="J122" s="35">
        <v>4000</v>
      </c>
      <c r="K122" s="42">
        <v>0.75</v>
      </c>
      <c r="L122" s="36" t="str">
        <f>IF($X122&gt;0,IF($P122&lt;&gt;1,$AB122,IFERROR(INDEX('JLR Machines'!$D$2:$D$20001,MATCH($O122,'JLR Machines'!$A$2:$A$20001,0)),$AB122)),$AB122)</f>
        <v>2026-09-29</v>
      </c>
      <c r="M122" s="36" t="str">
        <f>IF($X122&gt;0,IF($Y122&gt;0,"JLR machine "&amp;$O122&amp;" at "&amp;TEXT($X122,"0.00")&amp;" per hr — build-up as supplied","JLR machine "&amp;$O122&amp;" at "&amp;TEXT($X122,"0.00")&amp;" per hr — build-up not supplied"),$AA122)</f>
        <v>Bystronic BySmart 3015, 4kW fiber, 3000×1500 bed. UK fab shop benchmark. Target £70/hr. Jun 2026</v>
      </c>
      <c r="N122" s="33" t="s">
        <v>1380</v>
      </c>
      <c r="O122" s="37" t="str">
        <f>IFERROR(INDEX(Mapping!$C$2:$C$549,MATCH($A122,Mapping!$A$2:$A$549,0)),"")</f>
        <v/>
      </c>
      <c r="P122" s="37">
        <f>IF($O122="",0,COUNTIFS('JLR Machines'!$A$2:$A$20001,$O122,'JLR Machines'!$C$2:$C$20001,IF(Settings!$B$2="","&lt;&gt;",Settings!$B$2),'JLR Machines'!$D$2:$D$20001,IF(Settings!$B$3="","&lt;&gt;",Settings!$B$3)))</f>
        <v>0</v>
      </c>
      <c r="Q122" s="39">
        <f>IF($P122&lt;&gt;1,0,SUMIFS('JLR Machines'!$G$2:$G$20001,'JLR Machines'!$A$2:$A$20001,$O122,'JLR Machines'!$C$2:$C$20001,IF(Settings!$B$2="","&lt;&gt;",Settings!$B$2),'JLR Machines'!$D$2:$D$20001,IF(Settings!$B$3="","&lt;&gt;",Settings!$B$3)))</f>
        <v>0</v>
      </c>
      <c r="R122" s="39">
        <f>IF($P122&lt;&gt;1,0,SUMIFS('JLR Machines'!$H$2:$H$20001,'JLR Machines'!$A$2:$A$20001,$O122,'JLR Machines'!$C$2:$C$20001,IF(Settings!$B$2="","&lt;&gt;",Settings!$B$2),'JLR Machines'!$D$2:$D$20001,IF(Settings!$B$3="","&lt;&gt;",Settings!$B$3)))</f>
        <v>0</v>
      </c>
      <c r="S122" s="39">
        <f>IF($P122&lt;&gt;1,0,SUMIFS('JLR Machines'!$I$2:$I$20001,'JLR Machines'!$A$2:$A$20001,$O122,'JLR Machines'!$C$2:$C$20001,IF(Settings!$B$2="","&lt;&gt;",Settings!$B$2),'JLR Machines'!$D$2:$D$20001,IF(Settings!$B$3="","&lt;&gt;",Settings!$B$3)))</f>
        <v>0</v>
      </c>
      <c r="T122" s="39">
        <f>IF($P122&lt;&gt;1,0,SUMIFS('JLR Machines'!$J$2:$J$20001,'JLR Machines'!$A$2:$A$20001,$O122,'JLR Machines'!$C$2:$C$20001,IF(Settings!$B$2="","&lt;&gt;",Settings!$B$2),'JLR Machines'!$D$2:$D$20001,IF(Settings!$B$3="","&lt;&gt;",Settings!$B$3)))</f>
        <v>0</v>
      </c>
      <c r="U122" s="39">
        <f>IF($P122&lt;&gt;1,0,SUMIFS('JLR Machines'!$K$2:$K$20001,'JLR Machines'!$A$2:$A$20001,$O122,'JLR Machines'!$C$2:$C$20001,IF(Settings!$B$2="","&lt;&gt;",Settings!$B$2),'JLR Machines'!$D$2:$D$20001,IF(Settings!$B$3="","&lt;&gt;",Settings!$B$3)))</f>
        <v>0</v>
      </c>
      <c r="V122" s="39">
        <f>IF($P122&lt;&gt;1,0,SUMIFS('JLR Machines'!$L$2:$L$20001,'JLR Machines'!$A$2:$A$20001,$O122,'JLR Machines'!$C$2:$C$20001,IF(Settings!$B$2="","&lt;&gt;",Settings!$B$2),'JLR Machines'!$D$2:$D$20001,IF(Settings!$B$3="","&lt;&gt;",Settings!$B$3)))</f>
        <v>0</v>
      </c>
      <c r="W122" s="39">
        <f>IF($P122&lt;&gt;1,0,SUMIFS('JLR Machines'!$M$2:$M$20001,'JLR Machines'!$A$2:$A$20001,$O122,'JLR Machines'!$C$2:$C$20001,IF(Settings!$B$2="","&lt;&gt;",Settings!$B$2),'JLR Machines'!$D$2:$D$20001,IF(Settings!$B$3="","&lt;&gt;",Settings!$B$3)))</f>
        <v>0</v>
      </c>
      <c r="X122" s="39">
        <f>IF($P122&lt;&gt;1,0,SUMIFS('JLR Machines'!$N$2:$N$20001,'JLR Machines'!$A$2:$A$20001,$O122,'JLR Machines'!$C$2:$C$20001,IF(Settings!$B$2="","&lt;&gt;",Settings!$B$2),'JLR Machines'!$D$2:$D$20001,IF(Settings!$B$3="","&lt;&gt;",Settings!$B$3)))</f>
        <v>0</v>
      </c>
      <c r="Y122" s="39">
        <f>$Q122+$R122+$S122+$T122+$U122+$V122+$W122</f>
        <v>0</v>
      </c>
      <c r="Z122" s="38">
        <f>IF($X122&lt;=0,0,ROUND((D122+E122+F122+G122+H122+I122)/3000-$X122,4))</f>
        <v>0</v>
      </c>
      <c r="AA122" s="40" t="s">
        <v>2327</v>
      </c>
      <c r="AB122" s="40" t="s">
        <v>2099</v>
      </c>
    </row>
    <row r="123" spans="1:28" x14ac:dyDescent="0.25">
      <c r="A123" s="32" t="s">
        <v>1166</v>
      </c>
      <c r="B123" s="33" t="s">
        <v>2328</v>
      </c>
      <c r="C123" s="33" t="s">
        <v>1379</v>
      </c>
      <c r="D123" s="41">
        <f>IF($X123&gt;0,IF($Y123&gt;0,MAX(0,$Q123+$X123-$Y123)*2730,$X123*2730),58696)</f>
        <v>58696</v>
      </c>
      <c r="E123" s="41">
        <f>IF($X123&gt;0,IF($Y123&gt;0,$S123*2730,0),45431)</f>
        <v>45431</v>
      </c>
      <c r="F123" s="41">
        <f>IF($X123&gt;0,IF($Y123&gt;0,$V123*2730,0),20974)</f>
        <v>20974</v>
      </c>
      <c r="G123" s="41">
        <f>IF($X123&gt;0,IF($Y123&gt;0,$R123*2730,0),9086)</f>
        <v>9086</v>
      </c>
      <c r="H123" s="41">
        <f>IF($X123&gt;0,IF($Y123&gt;0,($T123+$W123)*2730,0),30215)</f>
        <v>30215</v>
      </c>
      <c r="I123" s="41">
        <f>IF($X123&gt;0,IF($Y123&gt;0,$U123*2730,0),18000)</f>
        <v>18000</v>
      </c>
      <c r="J123" s="35">
        <v>3500</v>
      </c>
      <c r="K123" s="42">
        <v>0.78</v>
      </c>
      <c r="L123" s="36" t="str">
        <f>IF($X123&gt;0,IF($P123&lt;&gt;1,$AB123,IFERROR(INDEX('JLR Machines'!$D$2:$D$20001,MATCH($O123,'JLR Machines'!$A$2:$A$20001,0)),$AB123)),$AB123)</f>
        <v>2026-09-29</v>
      </c>
      <c r="M123" s="36" t="str">
        <f>IF($X123&gt;0,IF($Y123&gt;0,"JLR machine "&amp;$O123&amp;" at "&amp;TEXT($X123,"0.00")&amp;" per hr — build-up as supplied","JLR machine "&amp;$O123&amp;" at "&amp;TEXT($X123,"0.00")&amp;" per hr — build-up not supplied"),$AA123)</f>
        <v>Amada EMZ 3610, 30T, 58-tool capacity. UK fab shop benchmark. Target £65/hr. Jun 2026</v>
      </c>
      <c r="N123" s="33" t="s">
        <v>1380</v>
      </c>
      <c r="O123" s="37" t="str">
        <f>IFERROR(INDEX(Mapping!$C$2:$C$549,MATCH($A123,Mapping!$A$2:$A$549,0)),"")</f>
        <v/>
      </c>
      <c r="P123" s="37">
        <f>IF($O123="",0,COUNTIFS('JLR Machines'!$A$2:$A$20001,$O123,'JLR Machines'!$C$2:$C$20001,IF(Settings!$B$2="","&lt;&gt;",Settings!$B$2),'JLR Machines'!$D$2:$D$20001,IF(Settings!$B$3="","&lt;&gt;",Settings!$B$3)))</f>
        <v>0</v>
      </c>
      <c r="Q123" s="39">
        <f>IF($P123&lt;&gt;1,0,SUMIFS('JLR Machines'!$G$2:$G$20001,'JLR Machines'!$A$2:$A$20001,$O123,'JLR Machines'!$C$2:$C$20001,IF(Settings!$B$2="","&lt;&gt;",Settings!$B$2),'JLR Machines'!$D$2:$D$20001,IF(Settings!$B$3="","&lt;&gt;",Settings!$B$3)))</f>
        <v>0</v>
      </c>
      <c r="R123" s="39">
        <f>IF($P123&lt;&gt;1,0,SUMIFS('JLR Machines'!$H$2:$H$20001,'JLR Machines'!$A$2:$A$20001,$O123,'JLR Machines'!$C$2:$C$20001,IF(Settings!$B$2="","&lt;&gt;",Settings!$B$2),'JLR Machines'!$D$2:$D$20001,IF(Settings!$B$3="","&lt;&gt;",Settings!$B$3)))</f>
        <v>0</v>
      </c>
      <c r="S123" s="39">
        <f>IF($P123&lt;&gt;1,0,SUMIFS('JLR Machines'!$I$2:$I$20001,'JLR Machines'!$A$2:$A$20001,$O123,'JLR Machines'!$C$2:$C$20001,IF(Settings!$B$2="","&lt;&gt;",Settings!$B$2),'JLR Machines'!$D$2:$D$20001,IF(Settings!$B$3="","&lt;&gt;",Settings!$B$3)))</f>
        <v>0</v>
      </c>
      <c r="T123" s="39">
        <f>IF($P123&lt;&gt;1,0,SUMIFS('JLR Machines'!$J$2:$J$20001,'JLR Machines'!$A$2:$A$20001,$O123,'JLR Machines'!$C$2:$C$20001,IF(Settings!$B$2="","&lt;&gt;",Settings!$B$2),'JLR Machines'!$D$2:$D$20001,IF(Settings!$B$3="","&lt;&gt;",Settings!$B$3)))</f>
        <v>0</v>
      </c>
      <c r="U123" s="39">
        <f>IF($P123&lt;&gt;1,0,SUMIFS('JLR Machines'!$K$2:$K$20001,'JLR Machines'!$A$2:$A$20001,$O123,'JLR Machines'!$C$2:$C$20001,IF(Settings!$B$2="","&lt;&gt;",Settings!$B$2),'JLR Machines'!$D$2:$D$20001,IF(Settings!$B$3="","&lt;&gt;",Settings!$B$3)))</f>
        <v>0</v>
      </c>
      <c r="V123" s="39">
        <f>IF($P123&lt;&gt;1,0,SUMIFS('JLR Machines'!$L$2:$L$20001,'JLR Machines'!$A$2:$A$20001,$O123,'JLR Machines'!$C$2:$C$20001,IF(Settings!$B$2="","&lt;&gt;",Settings!$B$2),'JLR Machines'!$D$2:$D$20001,IF(Settings!$B$3="","&lt;&gt;",Settings!$B$3)))</f>
        <v>0</v>
      </c>
      <c r="W123" s="39">
        <f>IF($P123&lt;&gt;1,0,SUMIFS('JLR Machines'!$M$2:$M$20001,'JLR Machines'!$A$2:$A$20001,$O123,'JLR Machines'!$C$2:$C$20001,IF(Settings!$B$2="","&lt;&gt;",Settings!$B$2),'JLR Machines'!$D$2:$D$20001,IF(Settings!$B$3="","&lt;&gt;",Settings!$B$3)))</f>
        <v>0</v>
      </c>
      <c r="X123" s="39">
        <f>IF($P123&lt;&gt;1,0,SUMIFS('JLR Machines'!$N$2:$N$20001,'JLR Machines'!$A$2:$A$20001,$O123,'JLR Machines'!$C$2:$C$20001,IF(Settings!$B$2="","&lt;&gt;",Settings!$B$2),'JLR Machines'!$D$2:$D$20001,IF(Settings!$B$3="","&lt;&gt;",Settings!$B$3)))</f>
        <v>0</v>
      </c>
      <c r="Y123" s="39">
        <f>$Q123+$R123+$S123+$T123+$U123+$V123+$W123</f>
        <v>0</v>
      </c>
      <c r="Z123" s="38">
        <f>IF($X123&lt;=0,0,ROUND((D123+E123+F123+G123+H123+I123)/2730-$X123,4))</f>
        <v>0</v>
      </c>
      <c r="AA123" s="40" t="s">
        <v>2329</v>
      </c>
      <c r="AB123" s="40" t="s">
        <v>2099</v>
      </c>
    </row>
    <row r="124" spans="1:28" x14ac:dyDescent="0.25">
      <c r="A124" s="32" t="s">
        <v>1168</v>
      </c>
      <c r="B124" s="33" t="s">
        <v>2330</v>
      </c>
      <c r="C124" s="33" t="s">
        <v>1379</v>
      </c>
      <c r="D124" s="41">
        <f>IF($X124&gt;0,IF($Y124&gt;0,MAX(0,$Q124+$X124-$Y124)*2730,$X124*2730),68816)</f>
        <v>68816</v>
      </c>
      <c r="E124" s="41">
        <f>IF($X124&gt;0,IF($Y124&gt;0,$S124*2730,0),55527)</f>
        <v>55527</v>
      </c>
      <c r="F124" s="41">
        <f>IF($X124&gt;0,IF($Y124&gt;0,$V124*2730,0),25635)</f>
        <v>25635</v>
      </c>
      <c r="G124" s="41">
        <f>IF($X124&gt;0,IF($Y124&gt;0,$R124*2730,0),10096)</f>
        <v>10096</v>
      </c>
      <c r="H124" s="41">
        <f>IF($X124&gt;0,IF($Y124&gt;0,($T124+$W124)*2730,0),33237)</f>
        <v>33237</v>
      </c>
      <c r="I124" s="41">
        <f>IF($X124&gt;0,IF($Y124&gt;0,$U124*2730,0),22000)</f>
        <v>22000</v>
      </c>
      <c r="J124" s="35">
        <v>3500</v>
      </c>
      <c r="K124" s="42">
        <v>0.78</v>
      </c>
      <c r="L124" s="36" t="str">
        <f>IF($X124&gt;0,IF($P124&lt;&gt;1,$AB124,IFERROR(INDEX('JLR Machines'!$D$2:$D$20001,MATCH($O124,'JLR Machines'!$A$2:$A$20001,0)),$AB124)),$AB124)</f>
        <v>2026-09-29</v>
      </c>
      <c r="M124" s="36" t="str">
        <f>IF($X124&gt;0,IF($Y124&gt;0,"JLR machine "&amp;$O124&amp;" at "&amp;TEXT($X124,"0.00")&amp;" per hr — build-up as supplied","JLR machine "&amp;$O124&amp;" at "&amp;TEXT($X124,"0.00")&amp;" per hr — build-up not supplied"),$AA124)</f>
        <v>Trumpf TruPunch 5000, 30T, 72-tool capacity. UK fab shop benchmark. Target £75/hr. Jun 2026</v>
      </c>
      <c r="N124" s="33" t="s">
        <v>1380</v>
      </c>
      <c r="O124" s="37" t="str">
        <f>IFERROR(INDEX(Mapping!$C$2:$C$549,MATCH($A124,Mapping!$A$2:$A$549,0)),"")</f>
        <v/>
      </c>
      <c r="P124" s="37">
        <f>IF($O124="",0,COUNTIFS('JLR Machines'!$A$2:$A$20001,$O124,'JLR Machines'!$C$2:$C$20001,IF(Settings!$B$2="","&lt;&gt;",Settings!$B$2),'JLR Machines'!$D$2:$D$20001,IF(Settings!$B$3="","&lt;&gt;",Settings!$B$3)))</f>
        <v>0</v>
      </c>
      <c r="Q124" s="39">
        <f>IF($P124&lt;&gt;1,0,SUMIFS('JLR Machines'!$G$2:$G$20001,'JLR Machines'!$A$2:$A$20001,$O124,'JLR Machines'!$C$2:$C$20001,IF(Settings!$B$2="","&lt;&gt;",Settings!$B$2),'JLR Machines'!$D$2:$D$20001,IF(Settings!$B$3="","&lt;&gt;",Settings!$B$3)))</f>
        <v>0</v>
      </c>
      <c r="R124" s="39">
        <f>IF($P124&lt;&gt;1,0,SUMIFS('JLR Machines'!$H$2:$H$20001,'JLR Machines'!$A$2:$A$20001,$O124,'JLR Machines'!$C$2:$C$20001,IF(Settings!$B$2="","&lt;&gt;",Settings!$B$2),'JLR Machines'!$D$2:$D$20001,IF(Settings!$B$3="","&lt;&gt;",Settings!$B$3)))</f>
        <v>0</v>
      </c>
      <c r="S124" s="39">
        <f>IF($P124&lt;&gt;1,0,SUMIFS('JLR Machines'!$I$2:$I$20001,'JLR Machines'!$A$2:$A$20001,$O124,'JLR Machines'!$C$2:$C$20001,IF(Settings!$B$2="","&lt;&gt;",Settings!$B$2),'JLR Machines'!$D$2:$D$20001,IF(Settings!$B$3="","&lt;&gt;",Settings!$B$3)))</f>
        <v>0</v>
      </c>
      <c r="T124" s="39">
        <f>IF($P124&lt;&gt;1,0,SUMIFS('JLR Machines'!$J$2:$J$20001,'JLR Machines'!$A$2:$A$20001,$O124,'JLR Machines'!$C$2:$C$20001,IF(Settings!$B$2="","&lt;&gt;",Settings!$B$2),'JLR Machines'!$D$2:$D$20001,IF(Settings!$B$3="","&lt;&gt;",Settings!$B$3)))</f>
        <v>0</v>
      </c>
      <c r="U124" s="39">
        <f>IF($P124&lt;&gt;1,0,SUMIFS('JLR Machines'!$K$2:$K$20001,'JLR Machines'!$A$2:$A$20001,$O124,'JLR Machines'!$C$2:$C$20001,IF(Settings!$B$2="","&lt;&gt;",Settings!$B$2),'JLR Machines'!$D$2:$D$20001,IF(Settings!$B$3="","&lt;&gt;",Settings!$B$3)))</f>
        <v>0</v>
      </c>
      <c r="V124" s="39">
        <f>IF($P124&lt;&gt;1,0,SUMIFS('JLR Machines'!$L$2:$L$20001,'JLR Machines'!$A$2:$A$20001,$O124,'JLR Machines'!$C$2:$C$20001,IF(Settings!$B$2="","&lt;&gt;",Settings!$B$2),'JLR Machines'!$D$2:$D$20001,IF(Settings!$B$3="","&lt;&gt;",Settings!$B$3)))</f>
        <v>0</v>
      </c>
      <c r="W124" s="39">
        <f>IF($P124&lt;&gt;1,0,SUMIFS('JLR Machines'!$M$2:$M$20001,'JLR Machines'!$A$2:$A$20001,$O124,'JLR Machines'!$C$2:$C$20001,IF(Settings!$B$2="","&lt;&gt;",Settings!$B$2),'JLR Machines'!$D$2:$D$20001,IF(Settings!$B$3="","&lt;&gt;",Settings!$B$3)))</f>
        <v>0</v>
      </c>
      <c r="X124" s="39">
        <f>IF($P124&lt;&gt;1,0,SUMIFS('JLR Machines'!$N$2:$N$20001,'JLR Machines'!$A$2:$A$20001,$O124,'JLR Machines'!$C$2:$C$20001,IF(Settings!$B$2="","&lt;&gt;",Settings!$B$2),'JLR Machines'!$D$2:$D$20001,IF(Settings!$B$3="","&lt;&gt;",Settings!$B$3)))</f>
        <v>0</v>
      </c>
      <c r="Y124" s="39">
        <f>$Q124+$R124+$S124+$T124+$U124+$V124+$W124</f>
        <v>0</v>
      </c>
      <c r="Z124" s="38">
        <f>IF($X124&lt;=0,0,ROUND((D124+E124+F124+G124+H124+I124)/2730-$X124,4))</f>
        <v>0</v>
      </c>
      <c r="AA124" s="40" t="s">
        <v>2331</v>
      </c>
      <c r="AB124" s="40" t="s">
        <v>2099</v>
      </c>
    </row>
    <row r="125" spans="1:28" x14ac:dyDescent="0.25">
      <c r="A125" s="32" t="s">
        <v>1170</v>
      </c>
      <c r="B125" s="33" t="s">
        <v>2332</v>
      </c>
      <c r="C125" s="33" t="s">
        <v>1379</v>
      </c>
      <c r="D125" s="41">
        <f>IF($X125&gt;0,IF($Y125&gt;0,MAX(0,$Q125+$X125-$Y125)*2625,$X125*2625),48576)</f>
        <v>48576</v>
      </c>
      <c r="E125" s="41">
        <f>IF($X125&gt;0,IF($Y125&gt;0,$S125*2625,0),38364)</f>
        <v>38364</v>
      </c>
      <c r="F125" s="41">
        <f>IF($X125&gt;0,IF($Y125&gt;0,$V125*2625,0),16313)</f>
        <v>16313</v>
      </c>
      <c r="G125" s="41">
        <f>IF($X125&gt;0,IF($Y125&gt;0,$R125*2625,0),9086)</f>
        <v>9086</v>
      </c>
      <c r="H125" s="41">
        <f>IF($X125&gt;0,IF($Y125&gt;0,($T125+$W125)*2625,0),22158)</f>
        <v>22158</v>
      </c>
      <c r="I125" s="41">
        <f>IF($X125&gt;0,IF($Y125&gt;0,$U125*2625,0),14000)</f>
        <v>14000</v>
      </c>
      <c r="J125" s="35">
        <v>3500</v>
      </c>
      <c r="K125" s="42">
        <v>0.75</v>
      </c>
      <c r="L125" s="36" t="str">
        <f>IF($X125&gt;0,IF($P125&lt;&gt;1,$AB125,IFERROR(INDEX('JLR Machines'!$D$2:$D$20001,MATCH($O125,'JLR Machines'!$A$2:$A$20001,0)),$AB125)),$AB125)</f>
        <v>2026-09-29</v>
      </c>
      <c r="M125" s="36" t="str">
        <f>IF($X125&gt;0,IF($Y125&gt;0,"JLR machine "&amp;$O125&amp;" at "&amp;TEXT($X125,"0.00")&amp;" per hr — build-up as supplied","JLR machine "&amp;$O125&amp;" at "&amp;TEXT($X125,"0.00")&amp;" per hr — build-up not supplied"),$AA125)</f>
        <v>Amada HFE3i 100T, 3000mm. UK fab shop benchmark. Target £55/hr. Jun 2026</v>
      </c>
      <c r="N125" s="33" t="s">
        <v>1380</v>
      </c>
      <c r="O125" s="37" t="str">
        <f>IFERROR(INDEX(Mapping!$C$2:$C$549,MATCH($A125,Mapping!$A$2:$A$549,0)),"")</f>
        <v/>
      </c>
      <c r="P125" s="37">
        <f>IF($O125="",0,COUNTIFS('JLR Machines'!$A$2:$A$20001,$O125,'JLR Machines'!$C$2:$C$20001,IF(Settings!$B$2="","&lt;&gt;",Settings!$B$2),'JLR Machines'!$D$2:$D$20001,IF(Settings!$B$3="","&lt;&gt;",Settings!$B$3)))</f>
        <v>0</v>
      </c>
      <c r="Q125" s="39">
        <f>IF($P125&lt;&gt;1,0,SUMIFS('JLR Machines'!$G$2:$G$20001,'JLR Machines'!$A$2:$A$20001,$O125,'JLR Machines'!$C$2:$C$20001,IF(Settings!$B$2="","&lt;&gt;",Settings!$B$2),'JLR Machines'!$D$2:$D$20001,IF(Settings!$B$3="","&lt;&gt;",Settings!$B$3)))</f>
        <v>0</v>
      </c>
      <c r="R125" s="39">
        <f>IF($P125&lt;&gt;1,0,SUMIFS('JLR Machines'!$H$2:$H$20001,'JLR Machines'!$A$2:$A$20001,$O125,'JLR Machines'!$C$2:$C$20001,IF(Settings!$B$2="","&lt;&gt;",Settings!$B$2),'JLR Machines'!$D$2:$D$20001,IF(Settings!$B$3="","&lt;&gt;",Settings!$B$3)))</f>
        <v>0</v>
      </c>
      <c r="S125" s="39">
        <f>IF($P125&lt;&gt;1,0,SUMIFS('JLR Machines'!$I$2:$I$20001,'JLR Machines'!$A$2:$A$20001,$O125,'JLR Machines'!$C$2:$C$20001,IF(Settings!$B$2="","&lt;&gt;",Settings!$B$2),'JLR Machines'!$D$2:$D$20001,IF(Settings!$B$3="","&lt;&gt;",Settings!$B$3)))</f>
        <v>0</v>
      </c>
      <c r="T125" s="39">
        <f>IF($P125&lt;&gt;1,0,SUMIFS('JLR Machines'!$J$2:$J$20001,'JLR Machines'!$A$2:$A$20001,$O125,'JLR Machines'!$C$2:$C$20001,IF(Settings!$B$2="","&lt;&gt;",Settings!$B$2),'JLR Machines'!$D$2:$D$20001,IF(Settings!$B$3="","&lt;&gt;",Settings!$B$3)))</f>
        <v>0</v>
      </c>
      <c r="U125" s="39">
        <f>IF($P125&lt;&gt;1,0,SUMIFS('JLR Machines'!$K$2:$K$20001,'JLR Machines'!$A$2:$A$20001,$O125,'JLR Machines'!$C$2:$C$20001,IF(Settings!$B$2="","&lt;&gt;",Settings!$B$2),'JLR Machines'!$D$2:$D$20001,IF(Settings!$B$3="","&lt;&gt;",Settings!$B$3)))</f>
        <v>0</v>
      </c>
      <c r="V125" s="39">
        <f>IF($P125&lt;&gt;1,0,SUMIFS('JLR Machines'!$L$2:$L$20001,'JLR Machines'!$A$2:$A$20001,$O125,'JLR Machines'!$C$2:$C$20001,IF(Settings!$B$2="","&lt;&gt;",Settings!$B$2),'JLR Machines'!$D$2:$D$20001,IF(Settings!$B$3="","&lt;&gt;",Settings!$B$3)))</f>
        <v>0</v>
      </c>
      <c r="W125" s="39">
        <f>IF($P125&lt;&gt;1,0,SUMIFS('JLR Machines'!$M$2:$M$20001,'JLR Machines'!$A$2:$A$20001,$O125,'JLR Machines'!$C$2:$C$20001,IF(Settings!$B$2="","&lt;&gt;",Settings!$B$2),'JLR Machines'!$D$2:$D$20001,IF(Settings!$B$3="","&lt;&gt;",Settings!$B$3)))</f>
        <v>0</v>
      </c>
      <c r="X125" s="39">
        <f>IF($P125&lt;&gt;1,0,SUMIFS('JLR Machines'!$N$2:$N$20001,'JLR Machines'!$A$2:$A$20001,$O125,'JLR Machines'!$C$2:$C$20001,IF(Settings!$B$2="","&lt;&gt;",Settings!$B$2),'JLR Machines'!$D$2:$D$20001,IF(Settings!$B$3="","&lt;&gt;",Settings!$B$3)))</f>
        <v>0</v>
      </c>
      <c r="Y125" s="39">
        <f>$Q125+$R125+$S125+$T125+$U125+$V125+$W125</f>
        <v>0</v>
      </c>
      <c r="Z125" s="38">
        <f>IF($X125&lt;=0,0,ROUND((D125+E125+F125+G125+H125+I125)/2625-$X125,4))</f>
        <v>0</v>
      </c>
      <c r="AA125" s="40" t="s">
        <v>2333</v>
      </c>
      <c r="AB125" s="40" t="s">
        <v>2099</v>
      </c>
    </row>
    <row r="126" spans="1:28" x14ac:dyDescent="0.25">
      <c r="A126" s="32" t="s">
        <v>1172</v>
      </c>
      <c r="B126" s="33" t="s">
        <v>2334</v>
      </c>
      <c r="C126" s="33" t="s">
        <v>1379</v>
      </c>
      <c r="D126" s="41">
        <f>IF($X126&gt;0,IF($Y126&gt;0,MAX(0,$Q126+$X126-$Y126)*2625,$X126*2625),62744)</f>
        <v>62744</v>
      </c>
      <c r="E126" s="41">
        <f>IF($X126&gt;0,IF($Y126&gt;0,$S126*2625,0),48460)</f>
        <v>48460</v>
      </c>
      <c r="F126" s="41">
        <f>IF($X126&gt;0,IF($Y126&gt;0,$V126*2625,0),20974)</f>
        <v>20974</v>
      </c>
      <c r="G126" s="41">
        <f>IF($X126&gt;0,IF($Y126&gt;0,$R126*2625,0),10096)</f>
        <v>10096</v>
      </c>
      <c r="H126" s="41">
        <f>IF($X126&gt;0,IF($Y126&gt;0,($T126+$W126)*2625,0),28201)</f>
        <v>28201</v>
      </c>
      <c r="I126" s="41">
        <f>IF($X126&gt;0,IF($Y126&gt;0,$U126*2625,0),18000)</f>
        <v>18000</v>
      </c>
      <c r="J126" s="35">
        <v>3500</v>
      </c>
      <c r="K126" s="42">
        <v>0.75</v>
      </c>
      <c r="L126" s="36" t="str">
        <f>IF($X126&gt;0,IF($P126&lt;&gt;1,$AB126,IFERROR(INDEX('JLR Machines'!$D$2:$D$20001,MATCH($O126,'JLR Machines'!$A$2:$A$20001,0)),$AB126)),$AB126)</f>
        <v>2026-09-29</v>
      </c>
      <c r="M126" s="36" t="str">
        <f>IF($X126&gt;0,IF($Y126&gt;0,"JLR machine "&amp;$O126&amp;" at "&amp;TEXT($X126,"0.00")&amp;" per hr — build-up as supplied","JLR machine "&amp;$O126&amp;" at "&amp;TEXT($X126,"0.00")&amp;" per hr — build-up not supplied"),$AA126)</f>
        <v>Trumpf TruBend 5230, 230T, 3230mm. UK fab shop benchmark. Target £70/hr. Jun 2026</v>
      </c>
      <c r="N126" s="33" t="s">
        <v>1380</v>
      </c>
      <c r="O126" s="37" t="str">
        <f>IFERROR(INDEX(Mapping!$C$2:$C$549,MATCH($A126,Mapping!$A$2:$A$549,0)),"")</f>
        <v/>
      </c>
      <c r="P126" s="37">
        <f>IF($O126="",0,COUNTIFS('JLR Machines'!$A$2:$A$20001,$O126,'JLR Machines'!$C$2:$C$20001,IF(Settings!$B$2="","&lt;&gt;",Settings!$B$2),'JLR Machines'!$D$2:$D$20001,IF(Settings!$B$3="","&lt;&gt;",Settings!$B$3)))</f>
        <v>0</v>
      </c>
      <c r="Q126" s="39">
        <f>IF($P126&lt;&gt;1,0,SUMIFS('JLR Machines'!$G$2:$G$20001,'JLR Machines'!$A$2:$A$20001,$O126,'JLR Machines'!$C$2:$C$20001,IF(Settings!$B$2="","&lt;&gt;",Settings!$B$2),'JLR Machines'!$D$2:$D$20001,IF(Settings!$B$3="","&lt;&gt;",Settings!$B$3)))</f>
        <v>0</v>
      </c>
      <c r="R126" s="39">
        <f>IF($P126&lt;&gt;1,0,SUMIFS('JLR Machines'!$H$2:$H$20001,'JLR Machines'!$A$2:$A$20001,$O126,'JLR Machines'!$C$2:$C$20001,IF(Settings!$B$2="","&lt;&gt;",Settings!$B$2),'JLR Machines'!$D$2:$D$20001,IF(Settings!$B$3="","&lt;&gt;",Settings!$B$3)))</f>
        <v>0</v>
      </c>
      <c r="S126" s="39">
        <f>IF($P126&lt;&gt;1,0,SUMIFS('JLR Machines'!$I$2:$I$20001,'JLR Machines'!$A$2:$A$20001,$O126,'JLR Machines'!$C$2:$C$20001,IF(Settings!$B$2="","&lt;&gt;",Settings!$B$2),'JLR Machines'!$D$2:$D$20001,IF(Settings!$B$3="","&lt;&gt;",Settings!$B$3)))</f>
        <v>0</v>
      </c>
      <c r="T126" s="39">
        <f>IF($P126&lt;&gt;1,0,SUMIFS('JLR Machines'!$J$2:$J$20001,'JLR Machines'!$A$2:$A$20001,$O126,'JLR Machines'!$C$2:$C$20001,IF(Settings!$B$2="","&lt;&gt;",Settings!$B$2),'JLR Machines'!$D$2:$D$20001,IF(Settings!$B$3="","&lt;&gt;",Settings!$B$3)))</f>
        <v>0</v>
      </c>
      <c r="U126" s="39">
        <f>IF($P126&lt;&gt;1,0,SUMIFS('JLR Machines'!$K$2:$K$20001,'JLR Machines'!$A$2:$A$20001,$O126,'JLR Machines'!$C$2:$C$20001,IF(Settings!$B$2="","&lt;&gt;",Settings!$B$2),'JLR Machines'!$D$2:$D$20001,IF(Settings!$B$3="","&lt;&gt;",Settings!$B$3)))</f>
        <v>0</v>
      </c>
      <c r="V126" s="39">
        <f>IF($P126&lt;&gt;1,0,SUMIFS('JLR Machines'!$L$2:$L$20001,'JLR Machines'!$A$2:$A$20001,$O126,'JLR Machines'!$C$2:$C$20001,IF(Settings!$B$2="","&lt;&gt;",Settings!$B$2),'JLR Machines'!$D$2:$D$20001,IF(Settings!$B$3="","&lt;&gt;",Settings!$B$3)))</f>
        <v>0</v>
      </c>
      <c r="W126" s="39">
        <f>IF($P126&lt;&gt;1,0,SUMIFS('JLR Machines'!$M$2:$M$20001,'JLR Machines'!$A$2:$A$20001,$O126,'JLR Machines'!$C$2:$C$20001,IF(Settings!$B$2="","&lt;&gt;",Settings!$B$2),'JLR Machines'!$D$2:$D$20001,IF(Settings!$B$3="","&lt;&gt;",Settings!$B$3)))</f>
        <v>0</v>
      </c>
      <c r="X126" s="39">
        <f>IF($P126&lt;&gt;1,0,SUMIFS('JLR Machines'!$N$2:$N$20001,'JLR Machines'!$A$2:$A$20001,$O126,'JLR Machines'!$C$2:$C$20001,IF(Settings!$B$2="","&lt;&gt;",Settings!$B$2),'JLR Machines'!$D$2:$D$20001,IF(Settings!$B$3="","&lt;&gt;",Settings!$B$3)))</f>
        <v>0</v>
      </c>
      <c r="Y126" s="39">
        <f>$Q126+$R126+$S126+$T126+$U126+$V126+$W126</f>
        <v>0</v>
      </c>
      <c r="Z126" s="38">
        <f>IF($X126&lt;=0,0,ROUND((D126+E126+F126+G126+H126+I126)/2625-$X126,4))</f>
        <v>0</v>
      </c>
      <c r="AA126" s="40" t="s">
        <v>2335</v>
      </c>
      <c r="AB126" s="40" t="s">
        <v>2099</v>
      </c>
    </row>
    <row r="127" spans="1:28" x14ac:dyDescent="0.25">
      <c r="A127" s="32" t="s">
        <v>1174</v>
      </c>
      <c r="B127" s="33" t="s">
        <v>2336</v>
      </c>
      <c r="C127" s="33" t="s">
        <v>1379</v>
      </c>
      <c r="D127" s="41">
        <f>IF($X127&gt;0,IF($Y127&gt;0,MAX(0,$Q127+$X127-$Y127)*2730,$X127*2730),146740)</f>
        <v>146740</v>
      </c>
      <c r="E127" s="41">
        <f>IF($X127&gt;0,IF($Y127&gt;0,$S127*2730,0),85310)</f>
        <v>85310</v>
      </c>
      <c r="F127" s="41">
        <f>IF($X127&gt;0,IF($Y127&gt;0,$V127*2730,0),64087)</f>
        <v>64087</v>
      </c>
      <c r="G127" s="41">
        <f>IF($X127&gt;0,IF($Y127&gt;0,$R127*2730,0),20192)</f>
        <v>20192</v>
      </c>
      <c r="H127" s="41">
        <f>IF($X127&gt;0,IF($Y127&gt;0,($T127+$W127)*2730,0),65466)</f>
        <v>65466</v>
      </c>
      <c r="I127" s="41">
        <f>IF($X127&gt;0,IF($Y127&gt;0,$U127*2730,0),40000)</f>
        <v>40000</v>
      </c>
      <c r="J127" s="35">
        <v>3500</v>
      </c>
      <c r="K127" s="42">
        <v>0.78</v>
      </c>
      <c r="L127" s="36" t="str">
        <f>IF($X127&gt;0,IF($P127&lt;&gt;1,$AB127,IFERROR(INDEX('JLR Machines'!$D$2:$D$20001,MATCH($O127,'JLR Machines'!$A$2:$A$20001,0)),$AB127)),$AB127)</f>
        <v>2026-09-29</v>
      </c>
      <c r="M127" s="36" t="str">
        <f>IF($X127&gt;0,IF($Y127&gt;0,"JLR machine "&amp;$O127&amp;" at "&amp;TEXT($X127,"0.00")&amp;" per hr — build-up as supplied","JLR machine "&amp;$O127&amp;" at "&amp;TEXT($X127,"0.00")&amp;" per hr — build-up not supplied"),$AA127)</f>
        <v>Schuler 400T mechanical stamping press. UK automotive press shop. Target £150/hr. Jun 2026</v>
      </c>
      <c r="N127" s="33" t="s">
        <v>1380</v>
      </c>
      <c r="O127" s="37" t="str">
        <f>IFERROR(INDEX(Mapping!$C$2:$C$549,MATCH($A127,Mapping!$A$2:$A$549,0)),"")</f>
        <v/>
      </c>
      <c r="P127" s="37">
        <f>IF($O127="",0,COUNTIFS('JLR Machines'!$A$2:$A$20001,$O127,'JLR Machines'!$C$2:$C$20001,IF(Settings!$B$2="","&lt;&gt;",Settings!$B$2),'JLR Machines'!$D$2:$D$20001,IF(Settings!$B$3="","&lt;&gt;",Settings!$B$3)))</f>
        <v>0</v>
      </c>
      <c r="Q127" s="39">
        <f>IF($P127&lt;&gt;1,0,SUMIFS('JLR Machines'!$G$2:$G$20001,'JLR Machines'!$A$2:$A$20001,$O127,'JLR Machines'!$C$2:$C$20001,IF(Settings!$B$2="","&lt;&gt;",Settings!$B$2),'JLR Machines'!$D$2:$D$20001,IF(Settings!$B$3="","&lt;&gt;",Settings!$B$3)))</f>
        <v>0</v>
      </c>
      <c r="R127" s="39">
        <f>IF($P127&lt;&gt;1,0,SUMIFS('JLR Machines'!$H$2:$H$20001,'JLR Machines'!$A$2:$A$20001,$O127,'JLR Machines'!$C$2:$C$20001,IF(Settings!$B$2="","&lt;&gt;",Settings!$B$2),'JLR Machines'!$D$2:$D$20001,IF(Settings!$B$3="","&lt;&gt;",Settings!$B$3)))</f>
        <v>0</v>
      </c>
      <c r="S127" s="39">
        <f>IF($P127&lt;&gt;1,0,SUMIFS('JLR Machines'!$I$2:$I$20001,'JLR Machines'!$A$2:$A$20001,$O127,'JLR Machines'!$C$2:$C$20001,IF(Settings!$B$2="","&lt;&gt;",Settings!$B$2),'JLR Machines'!$D$2:$D$20001,IF(Settings!$B$3="","&lt;&gt;",Settings!$B$3)))</f>
        <v>0</v>
      </c>
      <c r="T127" s="39">
        <f>IF($P127&lt;&gt;1,0,SUMIFS('JLR Machines'!$J$2:$J$20001,'JLR Machines'!$A$2:$A$20001,$O127,'JLR Machines'!$C$2:$C$20001,IF(Settings!$B$2="","&lt;&gt;",Settings!$B$2),'JLR Machines'!$D$2:$D$20001,IF(Settings!$B$3="","&lt;&gt;",Settings!$B$3)))</f>
        <v>0</v>
      </c>
      <c r="U127" s="39">
        <f>IF($P127&lt;&gt;1,0,SUMIFS('JLR Machines'!$K$2:$K$20001,'JLR Machines'!$A$2:$A$20001,$O127,'JLR Machines'!$C$2:$C$20001,IF(Settings!$B$2="","&lt;&gt;",Settings!$B$2),'JLR Machines'!$D$2:$D$20001,IF(Settings!$B$3="","&lt;&gt;",Settings!$B$3)))</f>
        <v>0</v>
      </c>
      <c r="V127" s="39">
        <f>IF($P127&lt;&gt;1,0,SUMIFS('JLR Machines'!$L$2:$L$20001,'JLR Machines'!$A$2:$A$20001,$O127,'JLR Machines'!$C$2:$C$20001,IF(Settings!$B$2="","&lt;&gt;",Settings!$B$2),'JLR Machines'!$D$2:$D$20001,IF(Settings!$B$3="","&lt;&gt;",Settings!$B$3)))</f>
        <v>0</v>
      </c>
      <c r="W127" s="39">
        <f>IF($P127&lt;&gt;1,0,SUMIFS('JLR Machines'!$M$2:$M$20001,'JLR Machines'!$A$2:$A$20001,$O127,'JLR Machines'!$C$2:$C$20001,IF(Settings!$B$2="","&lt;&gt;",Settings!$B$2),'JLR Machines'!$D$2:$D$20001,IF(Settings!$B$3="","&lt;&gt;",Settings!$B$3)))</f>
        <v>0</v>
      </c>
      <c r="X127" s="39">
        <f>IF($P127&lt;&gt;1,0,SUMIFS('JLR Machines'!$N$2:$N$20001,'JLR Machines'!$A$2:$A$20001,$O127,'JLR Machines'!$C$2:$C$20001,IF(Settings!$B$2="","&lt;&gt;",Settings!$B$2),'JLR Machines'!$D$2:$D$20001,IF(Settings!$B$3="","&lt;&gt;",Settings!$B$3)))</f>
        <v>0</v>
      </c>
      <c r="Y127" s="39">
        <f>$Q127+$R127+$S127+$T127+$U127+$V127+$W127</f>
        <v>0</v>
      </c>
      <c r="Z127" s="38">
        <f>IF($X127&lt;=0,0,ROUND((D127+E127+F127+G127+H127+I127)/2730-$X127,4))</f>
        <v>0</v>
      </c>
      <c r="AA127" s="40" t="s">
        <v>2337</v>
      </c>
      <c r="AB127" s="40" t="s">
        <v>2099</v>
      </c>
    </row>
    <row r="128" spans="1:28" x14ac:dyDescent="0.25">
      <c r="A128" s="32" t="s">
        <v>1176</v>
      </c>
      <c r="B128" s="33" t="s">
        <v>2338</v>
      </c>
      <c r="C128" s="33" t="s">
        <v>1379</v>
      </c>
      <c r="D128" s="41">
        <f>IF($X128&gt;0,IF($Y128&gt;0,MAX(0,$Q128+$X128-$Y128)*2730,$X128*2730),111320)</f>
        <v>111320</v>
      </c>
      <c r="E128" s="41">
        <f>IF($X128&gt;0,IF($Y128&gt;0,$S128*2730,0),70671)</f>
        <v>70671</v>
      </c>
      <c r="F128" s="41">
        <f>IF($X128&gt;0,IF($Y128&gt;0,$V128*2730,0),46609)</f>
        <v>46609</v>
      </c>
      <c r="G128" s="41">
        <f>IF($X128&gt;0,IF($Y128&gt;0,$R128*2730,0),18173)</f>
        <v>18173</v>
      </c>
      <c r="H128" s="41">
        <f>IF($X128&gt;0,IF($Y128&gt;0,($T128+$W128)*2730,0),55394)</f>
        <v>55394</v>
      </c>
      <c r="I128" s="41">
        <f>IF($X128&gt;0,IF($Y128&gt;0,$U128*2730,0),35000)</f>
        <v>35000</v>
      </c>
      <c r="J128" s="35">
        <v>3500</v>
      </c>
      <c r="K128" s="42">
        <v>0.78</v>
      </c>
      <c r="L128" s="36" t="str">
        <f>IF($X128&gt;0,IF($P128&lt;&gt;1,$AB128,IFERROR(INDEX('JLR Machines'!$D$2:$D$20001,MATCH($O128,'JLR Machines'!$A$2:$A$20001,0)),$AB128)),$AB128)</f>
        <v>2026-09-29</v>
      </c>
      <c r="M128" s="36" t="str">
        <f>IF($X128&gt;0,IF($Y128&gt;0,"JLR machine "&amp;$O128&amp;" at "&amp;TEXT($X128,"0.00")&amp;" per hr — build-up as supplied","JLR machine "&amp;$O128&amp;" at "&amp;TEXT($X128,"0.00")&amp;" per hr — build-up not supplied"),$AA128)</f>
        <v>AIDA 200T servo stamping press. UK press shop benchmark. Target £120/hr. Jun 2026</v>
      </c>
      <c r="N128" s="33" t="s">
        <v>1380</v>
      </c>
      <c r="O128" s="37" t="str">
        <f>IFERROR(INDEX(Mapping!$C$2:$C$549,MATCH($A128,Mapping!$A$2:$A$549,0)),"")</f>
        <v/>
      </c>
      <c r="P128" s="37">
        <f>IF($O128="",0,COUNTIFS('JLR Machines'!$A$2:$A$20001,$O128,'JLR Machines'!$C$2:$C$20001,IF(Settings!$B$2="","&lt;&gt;",Settings!$B$2),'JLR Machines'!$D$2:$D$20001,IF(Settings!$B$3="","&lt;&gt;",Settings!$B$3)))</f>
        <v>0</v>
      </c>
      <c r="Q128" s="39">
        <f>IF($P128&lt;&gt;1,0,SUMIFS('JLR Machines'!$G$2:$G$20001,'JLR Machines'!$A$2:$A$20001,$O128,'JLR Machines'!$C$2:$C$20001,IF(Settings!$B$2="","&lt;&gt;",Settings!$B$2),'JLR Machines'!$D$2:$D$20001,IF(Settings!$B$3="","&lt;&gt;",Settings!$B$3)))</f>
        <v>0</v>
      </c>
      <c r="R128" s="39">
        <f>IF($P128&lt;&gt;1,0,SUMIFS('JLR Machines'!$H$2:$H$20001,'JLR Machines'!$A$2:$A$20001,$O128,'JLR Machines'!$C$2:$C$20001,IF(Settings!$B$2="","&lt;&gt;",Settings!$B$2),'JLR Machines'!$D$2:$D$20001,IF(Settings!$B$3="","&lt;&gt;",Settings!$B$3)))</f>
        <v>0</v>
      </c>
      <c r="S128" s="39">
        <f>IF($P128&lt;&gt;1,0,SUMIFS('JLR Machines'!$I$2:$I$20001,'JLR Machines'!$A$2:$A$20001,$O128,'JLR Machines'!$C$2:$C$20001,IF(Settings!$B$2="","&lt;&gt;",Settings!$B$2),'JLR Machines'!$D$2:$D$20001,IF(Settings!$B$3="","&lt;&gt;",Settings!$B$3)))</f>
        <v>0</v>
      </c>
      <c r="T128" s="39">
        <f>IF($P128&lt;&gt;1,0,SUMIFS('JLR Machines'!$J$2:$J$20001,'JLR Machines'!$A$2:$A$20001,$O128,'JLR Machines'!$C$2:$C$20001,IF(Settings!$B$2="","&lt;&gt;",Settings!$B$2),'JLR Machines'!$D$2:$D$20001,IF(Settings!$B$3="","&lt;&gt;",Settings!$B$3)))</f>
        <v>0</v>
      </c>
      <c r="U128" s="39">
        <f>IF($P128&lt;&gt;1,0,SUMIFS('JLR Machines'!$K$2:$K$20001,'JLR Machines'!$A$2:$A$20001,$O128,'JLR Machines'!$C$2:$C$20001,IF(Settings!$B$2="","&lt;&gt;",Settings!$B$2),'JLR Machines'!$D$2:$D$20001,IF(Settings!$B$3="","&lt;&gt;",Settings!$B$3)))</f>
        <v>0</v>
      </c>
      <c r="V128" s="39">
        <f>IF($P128&lt;&gt;1,0,SUMIFS('JLR Machines'!$L$2:$L$20001,'JLR Machines'!$A$2:$A$20001,$O128,'JLR Machines'!$C$2:$C$20001,IF(Settings!$B$2="","&lt;&gt;",Settings!$B$2),'JLR Machines'!$D$2:$D$20001,IF(Settings!$B$3="","&lt;&gt;",Settings!$B$3)))</f>
        <v>0</v>
      </c>
      <c r="W128" s="39">
        <f>IF($P128&lt;&gt;1,0,SUMIFS('JLR Machines'!$M$2:$M$20001,'JLR Machines'!$A$2:$A$20001,$O128,'JLR Machines'!$C$2:$C$20001,IF(Settings!$B$2="","&lt;&gt;",Settings!$B$2),'JLR Machines'!$D$2:$D$20001,IF(Settings!$B$3="","&lt;&gt;",Settings!$B$3)))</f>
        <v>0</v>
      </c>
      <c r="X128" s="39">
        <f>IF($P128&lt;&gt;1,0,SUMIFS('JLR Machines'!$N$2:$N$20001,'JLR Machines'!$A$2:$A$20001,$O128,'JLR Machines'!$C$2:$C$20001,IF(Settings!$B$2="","&lt;&gt;",Settings!$B$2),'JLR Machines'!$D$2:$D$20001,IF(Settings!$B$3="","&lt;&gt;",Settings!$B$3)))</f>
        <v>0</v>
      </c>
      <c r="Y128" s="39">
        <f>$Q128+$R128+$S128+$T128+$U128+$V128+$W128</f>
        <v>0</v>
      </c>
      <c r="Z128" s="38">
        <f>IF($X128&lt;=0,0,ROUND((D128+E128+F128+G128+H128+I128)/2730-$X128,4))</f>
        <v>0</v>
      </c>
      <c r="AA128" s="40" t="s">
        <v>2339</v>
      </c>
      <c r="AB128" s="40" t="s">
        <v>2099</v>
      </c>
    </row>
    <row r="129" spans="1:28" x14ac:dyDescent="0.25">
      <c r="A129" s="32" t="s">
        <v>1178</v>
      </c>
      <c r="B129" s="33" t="s">
        <v>2340</v>
      </c>
      <c r="C129" s="33" t="s">
        <v>1379</v>
      </c>
      <c r="D129" s="41">
        <f>IF($X129&gt;0,IF($Y129&gt;0,MAX(0,$Q129+$X129-$Y129)*4000,$X129*4000),151800)</f>
        <v>151800</v>
      </c>
      <c r="E129" s="41">
        <f>IF($X129&gt;0,IF($Y129&gt;0,$S129*4000,0),95911)</f>
        <v>95911</v>
      </c>
      <c r="F129" s="41">
        <f>IF($X129&gt;0,IF($Y129&gt;0,$V129*4000,0),64087)</f>
        <v>64087</v>
      </c>
      <c r="G129" s="41">
        <f>IF($X129&gt;0,IF($Y129&gt;0,$R129*4000,0),35336)</f>
        <v>35336</v>
      </c>
      <c r="H129" s="41">
        <f>IF($X129&gt;0,IF($Y129&gt;0,($T129+$W129)*4000,0),70502)</f>
        <v>70502</v>
      </c>
      <c r="I129" s="41">
        <f>IF($X129&gt;0,IF($Y129&gt;0,$U129*4000,0),40000)</f>
        <v>40000</v>
      </c>
      <c r="J129" s="35">
        <v>5000</v>
      </c>
      <c r="K129" s="42">
        <v>0.8</v>
      </c>
      <c r="L129" s="36" t="str">
        <f>IF($X129&gt;0,IF($P129&lt;&gt;1,$AB129,IFERROR(INDEX('JLR Machines'!$D$2:$D$20001,MATCH($O129,'JLR Machines'!$A$2:$A$20001,0)),$AB129)),$AB129)</f>
        <v>2026-09-29</v>
      </c>
      <c r="M129" s="36" t="str">
        <f>IF($X129&gt;0,IF($Y129&gt;0,"JLR machine "&amp;$O129&amp;" at "&amp;TEXT($X129,"0.00")&amp;" per hr — build-up as supplied","JLR machine "&amp;$O129&amp;" at "&amp;TEXT($X129,"0.00")&amp;" per hr — build-up not supplied"),$AA129)</f>
        <v>Dimeco 20-station roll forming line. UK fabricator. Target £110/hr. Jun 2026</v>
      </c>
      <c r="N129" s="33" t="s">
        <v>1380</v>
      </c>
      <c r="O129" s="37" t="str">
        <f>IFERROR(INDEX(Mapping!$C$2:$C$549,MATCH($A129,Mapping!$A$2:$A$549,0)),"")</f>
        <v/>
      </c>
      <c r="P129" s="37">
        <f>IF($O129="",0,COUNTIFS('JLR Machines'!$A$2:$A$20001,$O129,'JLR Machines'!$C$2:$C$20001,IF(Settings!$B$2="","&lt;&gt;",Settings!$B$2),'JLR Machines'!$D$2:$D$20001,IF(Settings!$B$3="","&lt;&gt;",Settings!$B$3)))</f>
        <v>0</v>
      </c>
      <c r="Q129" s="39">
        <f>IF($P129&lt;&gt;1,0,SUMIFS('JLR Machines'!$G$2:$G$20001,'JLR Machines'!$A$2:$A$20001,$O129,'JLR Machines'!$C$2:$C$20001,IF(Settings!$B$2="","&lt;&gt;",Settings!$B$2),'JLR Machines'!$D$2:$D$20001,IF(Settings!$B$3="","&lt;&gt;",Settings!$B$3)))</f>
        <v>0</v>
      </c>
      <c r="R129" s="39">
        <f>IF($P129&lt;&gt;1,0,SUMIFS('JLR Machines'!$H$2:$H$20001,'JLR Machines'!$A$2:$A$20001,$O129,'JLR Machines'!$C$2:$C$20001,IF(Settings!$B$2="","&lt;&gt;",Settings!$B$2),'JLR Machines'!$D$2:$D$20001,IF(Settings!$B$3="","&lt;&gt;",Settings!$B$3)))</f>
        <v>0</v>
      </c>
      <c r="S129" s="39">
        <f>IF($P129&lt;&gt;1,0,SUMIFS('JLR Machines'!$I$2:$I$20001,'JLR Machines'!$A$2:$A$20001,$O129,'JLR Machines'!$C$2:$C$20001,IF(Settings!$B$2="","&lt;&gt;",Settings!$B$2),'JLR Machines'!$D$2:$D$20001,IF(Settings!$B$3="","&lt;&gt;",Settings!$B$3)))</f>
        <v>0</v>
      </c>
      <c r="T129" s="39">
        <f>IF($P129&lt;&gt;1,0,SUMIFS('JLR Machines'!$J$2:$J$20001,'JLR Machines'!$A$2:$A$20001,$O129,'JLR Machines'!$C$2:$C$20001,IF(Settings!$B$2="","&lt;&gt;",Settings!$B$2),'JLR Machines'!$D$2:$D$20001,IF(Settings!$B$3="","&lt;&gt;",Settings!$B$3)))</f>
        <v>0</v>
      </c>
      <c r="U129" s="39">
        <f>IF($P129&lt;&gt;1,0,SUMIFS('JLR Machines'!$K$2:$K$20001,'JLR Machines'!$A$2:$A$20001,$O129,'JLR Machines'!$C$2:$C$20001,IF(Settings!$B$2="","&lt;&gt;",Settings!$B$2),'JLR Machines'!$D$2:$D$20001,IF(Settings!$B$3="","&lt;&gt;",Settings!$B$3)))</f>
        <v>0</v>
      </c>
      <c r="V129" s="39">
        <f>IF($P129&lt;&gt;1,0,SUMIFS('JLR Machines'!$L$2:$L$20001,'JLR Machines'!$A$2:$A$20001,$O129,'JLR Machines'!$C$2:$C$20001,IF(Settings!$B$2="","&lt;&gt;",Settings!$B$2),'JLR Machines'!$D$2:$D$20001,IF(Settings!$B$3="","&lt;&gt;",Settings!$B$3)))</f>
        <v>0</v>
      </c>
      <c r="W129" s="39">
        <f>IF($P129&lt;&gt;1,0,SUMIFS('JLR Machines'!$M$2:$M$20001,'JLR Machines'!$A$2:$A$20001,$O129,'JLR Machines'!$C$2:$C$20001,IF(Settings!$B$2="","&lt;&gt;",Settings!$B$2),'JLR Machines'!$D$2:$D$20001,IF(Settings!$B$3="","&lt;&gt;",Settings!$B$3)))</f>
        <v>0</v>
      </c>
      <c r="X129" s="39">
        <f>IF($P129&lt;&gt;1,0,SUMIFS('JLR Machines'!$N$2:$N$20001,'JLR Machines'!$A$2:$A$20001,$O129,'JLR Machines'!$C$2:$C$20001,IF(Settings!$B$2="","&lt;&gt;",Settings!$B$2),'JLR Machines'!$D$2:$D$20001,IF(Settings!$B$3="","&lt;&gt;",Settings!$B$3)))</f>
        <v>0</v>
      </c>
      <c r="Y129" s="39">
        <f>$Q129+$R129+$S129+$T129+$U129+$V129+$W129</f>
        <v>0</v>
      </c>
      <c r="Z129" s="38">
        <f>IF($X129&lt;=0,0,ROUND((D129+E129+F129+G129+H129+I129)/4000-$X129,4))</f>
        <v>0</v>
      </c>
      <c r="AA129" s="40" t="s">
        <v>2341</v>
      </c>
      <c r="AB129" s="40" t="s">
        <v>2099</v>
      </c>
    </row>
    <row r="130" spans="1:28" x14ac:dyDescent="0.25">
      <c r="A130" s="32" t="s">
        <v>1180</v>
      </c>
      <c r="B130" s="33" t="s">
        <v>2342</v>
      </c>
      <c r="C130" s="33" t="s">
        <v>1379</v>
      </c>
      <c r="D130" s="41">
        <f>IF($X130&gt;0,IF($Y130&gt;0,MAX(0,$Q130+$X130-$Y130)*3200,$X130*3200),91080)</f>
        <v>91080</v>
      </c>
      <c r="E130" s="41">
        <f>IF($X130&gt;0,IF($Y130&gt;0,$S130*3200,0),55527)</f>
        <v>55527</v>
      </c>
      <c r="F130" s="41">
        <f>IF($X130&gt;0,IF($Y130&gt;0,$V130*3200,0),29130)</f>
        <v>29130</v>
      </c>
      <c r="G130" s="41">
        <f>IF($X130&gt;0,IF($Y130&gt;0,$R130*3200,0),15144)</f>
        <v>15144</v>
      </c>
      <c r="H130" s="41">
        <f>IF($X130&gt;0,IF($Y130&gt;0,($T130+$W130)*3200,0),65466)</f>
        <v>65466</v>
      </c>
      <c r="I130" s="41">
        <f>IF($X130&gt;0,IF($Y130&gt;0,$U130*3200,0),38000)</f>
        <v>38000</v>
      </c>
      <c r="J130" s="35">
        <v>4000</v>
      </c>
      <c r="K130" s="42">
        <v>0.8</v>
      </c>
      <c r="L130" s="36" t="str">
        <f>IF($X130&gt;0,IF($P130&lt;&gt;1,$AB130,IFERROR(INDEX('JLR Machines'!$D$2:$D$20001,MATCH($O130,'JLR Machines'!$A$2:$A$20001,0)),$AB130)),$AB130)</f>
        <v>2026-09-29</v>
      </c>
      <c r="M130" s="36" t="str">
        <f>IF($X130&gt;0,IF($Y130&gt;0,"JLR machine "&amp;$O130&amp;" at "&amp;TEXT($X130,"0.00")&amp;" per hr — build-up as supplied","JLR machine "&amp;$O130&amp;" at "&amp;TEXT($X130,"0.00")&amp;" per hr — build-up not supplied"),$AA130)</f>
        <v>KUKA robot spot weld cell. UK automotive body shop. Target £90/hr. Jun 2026</v>
      </c>
      <c r="N130" s="33" t="s">
        <v>1380</v>
      </c>
      <c r="O130" s="37" t="str">
        <f>IFERROR(INDEX(Mapping!$C$2:$C$549,MATCH($A130,Mapping!$A$2:$A$549,0)),"")</f>
        <v/>
      </c>
      <c r="P130" s="37">
        <f>IF($O130="",0,COUNTIFS('JLR Machines'!$A$2:$A$20001,$O130,'JLR Machines'!$C$2:$C$20001,IF(Settings!$B$2="","&lt;&gt;",Settings!$B$2),'JLR Machines'!$D$2:$D$20001,IF(Settings!$B$3="","&lt;&gt;",Settings!$B$3)))</f>
        <v>0</v>
      </c>
      <c r="Q130" s="39">
        <f>IF($P130&lt;&gt;1,0,SUMIFS('JLR Machines'!$G$2:$G$20001,'JLR Machines'!$A$2:$A$20001,$O130,'JLR Machines'!$C$2:$C$20001,IF(Settings!$B$2="","&lt;&gt;",Settings!$B$2),'JLR Machines'!$D$2:$D$20001,IF(Settings!$B$3="","&lt;&gt;",Settings!$B$3)))</f>
        <v>0</v>
      </c>
      <c r="R130" s="39">
        <f>IF($P130&lt;&gt;1,0,SUMIFS('JLR Machines'!$H$2:$H$20001,'JLR Machines'!$A$2:$A$20001,$O130,'JLR Machines'!$C$2:$C$20001,IF(Settings!$B$2="","&lt;&gt;",Settings!$B$2),'JLR Machines'!$D$2:$D$20001,IF(Settings!$B$3="","&lt;&gt;",Settings!$B$3)))</f>
        <v>0</v>
      </c>
      <c r="S130" s="39">
        <f>IF($P130&lt;&gt;1,0,SUMIFS('JLR Machines'!$I$2:$I$20001,'JLR Machines'!$A$2:$A$20001,$O130,'JLR Machines'!$C$2:$C$20001,IF(Settings!$B$2="","&lt;&gt;",Settings!$B$2),'JLR Machines'!$D$2:$D$20001,IF(Settings!$B$3="","&lt;&gt;",Settings!$B$3)))</f>
        <v>0</v>
      </c>
      <c r="T130" s="39">
        <f>IF($P130&lt;&gt;1,0,SUMIFS('JLR Machines'!$J$2:$J$20001,'JLR Machines'!$A$2:$A$20001,$O130,'JLR Machines'!$C$2:$C$20001,IF(Settings!$B$2="","&lt;&gt;",Settings!$B$2),'JLR Machines'!$D$2:$D$20001,IF(Settings!$B$3="","&lt;&gt;",Settings!$B$3)))</f>
        <v>0</v>
      </c>
      <c r="U130" s="39">
        <f>IF($P130&lt;&gt;1,0,SUMIFS('JLR Machines'!$K$2:$K$20001,'JLR Machines'!$A$2:$A$20001,$O130,'JLR Machines'!$C$2:$C$20001,IF(Settings!$B$2="","&lt;&gt;",Settings!$B$2),'JLR Machines'!$D$2:$D$20001,IF(Settings!$B$3="","&lt;&gt;",Settings!$B$3)))</f>
        <v>0</v>
      </c>
      <c r="V130" s="39">
        <f>IF($P130&lt;&gt;1,0,SUMIFS('JLR Machines'!$L$2:$L$20001,'JLR Machines'!$A$2:$A$20001,$O130,'JLR Machines'!$C$2:$C$20001,IF(Settings!$B$2="","&lt;&gt;",Settings!$B$2),'JLR Machines'!$D$2:$D$20001,IF(Settings!$B$3="","&lt;&gt;",Settings!$B$3)))</f>
        <v>0</v>
      </c>
      <c r="W130" s="39">
        <f>IF($P130&lt;&gt;1,0,SUMIFS('JLR Machines'!$M$2:$M$20001,'JLR Machines'!$A$2:$A$20001,$O130,'JLR Machines'!$C$2:$C$20001,IF(Settings!$B$2="","&lt;&gt;",Settings!$B$2),'JLR Machines'!$D$2:$D$20001,IF(Settings!$B$3="","&lt;&gt;",Settings!$B$3)))</f>
        <v>0</v>
      </c>
      <c r="X130" s="39">
        <f>IF($P130&lt;&gt;1,0,SUMIFS('JLR Machines'!$N$2:$N$20001,'JLR Machines'!$A$2:$A$20001,$O130,'JLR Machines'!$C$2:$C$20001,IF(Settings!$B$2="","&lt;&gt;",Settings!$B$2),'JLR Machines'!$D$2:$D$20001,IF(Settings!$B$3="","&lt;&gt;",Settings!$B$3)))</f>
        <v>0</v>
      </c>
      <c r="Y130" s="39">
        <f>$Q130+$R130+$S130+$T130+$U130+$V130+$W130</f>
        <v>0</v>
      </c>
      <c r="Z130" s="38">
        <f>IF($X130&lt;=0,0,ROUND((D130+E130+F130+G130+H130+I130)/3200-$X130,4))</f>
        <v>0</v>
      </c>
      <c r="AA130" s="40" t="s">
        <v>2343</v>
      </c>
      <c r="AB130" s="40" t="s">
        <v>2099</v>
      </c>
    </row>
    <row r="131" spans="1:28" x14ac:dyDescent="0.25">
      <c r="A131" s="32" t="s">
        <v>1182</v>
      </c>
      <c r="B131" s="33" t="s">
        <v>2344</v>
      </c>
      <c r="C131" s="33" t="s">
        <v>1379</v>
      </c>
      <c r="D131" s="41">
        <f>IF($X131&gt;0,IF($Y131&gt;0,MAX(0,$Q131+$X131-$Y131)*3000,$X131*3000),4048)</f>
        <v>4048</v>
      </c>
      <c r="E131" s="41">
        <f>IF($X131&gt;0,IF($Y131&gt;0,$S131*3000,0),2019)</f>
        <v>2019</v>
      </c>
      <c r="F131" s="41">
        <f>IF($X131&gt;0,IF($Y131&gt;0,$V131*3000,0),4661)</f>
        <v>4661</v>
      </c>
      <c r="G131" s="41">
        <f>IF($X131&gt;0,IF($Y131&gt;0,$R131*3000,0),2019)</f>
        <v>2019</v>
      </c>
      <c r="H131" s="41">
        <f>IF($X131&gt;0,IF($Y131&gt;0,($T131+$W131)*3000,0),2014)</f>
        <v>2014</v>
      </c>
      <c r="I131" s="41">
        <f>IF($X131&gt;0,IF($Y131&gt;0,$U131*3000,0),500)</f>
        <v>500</v>
      </c>
      <c r="J131" s="35">
        <v>4000</v>
      </c>
      <c r="K131" s="42">
        <v>0.75</v>
      </c>
      <c r="L131" s="36" t="str">
        <f>IF($X131&gt;0,IF($P131&lt;&gt;1,$AB131,IFERROR(INDEX('JLR Machines'!$D$2:$D$20001,MATCH($O131,'JLR Machines'!$A$2:$A$20001,0)),$AB131)),$AB131)</f>
        <v>2026-09-29</v>
      </c>
      <c r="M131" s="36" t="str">
        <f>IF($X131&gt;0,IF($Y131&gt;0,"JLR machine "&amp;$O131&amp;" at "&amp;TEXT($X131,"0.00")&amp;" per hr — build-up as supplied","JLR machine "&amp;$O131&amp;" at "&amp;TEXT($X131,"0.00")&amp;" per hr — build-up not supplied"),$AA131)</f>
        <v>Manual MIG/MAG station. Machine rate low — cost dominated by operator labour. UK fab shop. Jun 2026</v>
      </c>
      <c r="N131" s="33" t="s">
        <v>1380</v>
      </c>
      <c r="O131" s="37" t="str">
        <f>IFERROR(INDEX(Mapping!$C$2:$C$549,MATCH($A131,Mapping!$A$2:$A$549,0)),"")</f>
        <v/>
      </c>
      <c r="P131" s="37">
        <f>IF($O131="",0,COUNTIFS('JLR Machines'!$A$2:$A$20001,$O131,'JLR Machines'!$C$2:$C$20001,IF(Settings!$B$2="","&lt;&gt;",Settings!$B$2),'JLR Machines'!$D$2:$D$20001,IF(Settings!$B$3="","&lt;&gt;",Settings!$B$3)))</f>
        <v>0</v>
      </c>
      <c r="Q131" s="39">
        <f>IF($P131&lt;&gt;1,0,SUMIFS('JLR Machines'!$G$2:$G$20001,'JLR Machines'!$A$2:$A$20001,$O131,'JLR Machines'!$C$2:$C$20001,IF(Settings!$B$2="","&lt;&gt;",Settings!$B$2),'JLR Machines'!$D$2:$D$20001,IF(Settings!$B$3="","&lt;&gt;",Settings!$B$3)))</f>
        <v>0</v>
      </c>
      <c r="R131" s="39">
        <f>IF($P131&lt;&gt;1,0,SUMIFS('JLR Machines'!$H$2:$H$20001,'JLR Machines'!$A$2:$A$20001,$O131,'JLR Machines'!$C$2:$C$20001,IF(Settings!$B$2="","&lt;&gt;",Settings!$B$2),'JLR Machines'!$D$2:$D$20001,IF(Settings!$B$3="","&lt;&gt;",Settings!$B$3)))</f>
        <v>0</v>
      </c>
      <c r="S131" s="39">
        <f>IF($P131&lt;&gt;1,0,SUMIFS('JLR Machines'!$I$2:$I$20001,'JLR Machines'!$A$2:$A$20001,$O131,'JLR Machines'!$C$2:$C$20001,IF(Settings!$B$2="","&lt;&gt;",Settings!$B$2),'JLR Machines'!$D$2:$D$20001,IF(Settings!$B$3="","&lt;&gt;",Settings!$B$3)))</f>
        <v>0</v>
      </c>
      <c r="T131" s="39">
        <f>IF($P131&lt;&gt;1,0,SUMIFS('JLR Machines'!$J$2:$J$20001,'JLR Machines'!$A$2:$A$20001,$O131,'JLR Machines'!$C$2:$C$20001,IF(Settings!$B$2="","&lt;&gt;",Settings!$B$2),'JLR Machines'!$D$2:$D$20001,IF(Settings!$B$3="","&lt;&gt;",Settings!$B$3)))</f>
        <v>0</v>
      </c>
      <c r="U131" s="39">
        <f>IF($P131&lt;&gt;1,0,SUMIFS('JLR Machines'!$K$2:$K$20001,'JLR Machines'!$A$2:$A$20001,$O131,'JLR Machines'!$C$2:$C$20001,IF(Settings!$B$2="","&lt;&gt;",Settings!$B$2),'JLR Machines'!$D$2:$D$20001,IF(Settings!$B$3="","&lt;&gt;",Settings!$B$3)))</f>
        <v>0</v>
      </c>
      <c r="V131" s="39">
        <f>IF($P131&lt;&gt;1,0,SUMIFS('JLR Machines'!$L$2:$L$20001,'JLR Machines'!$A$2:$A$20001,$O131,'JLR Machines'!$C$2:$C$20001,IF(Settings!$B$2="","&lt;&gt;",Settings!$B$2),'JLR Machines'!$D$2:$D$20001,IF(Settings!$B$3="","&lt;&gt;",Settings!$B$3)))</f>
        <v>0</v>
      </c>
      <c r="W131" s="39">
        <f>IF($P131&lt;&gt;1,0,SUMIFS('JLR Machines'!$M$2:$M$20001,'JLR Machines'!$A$2:$A$20001,$O131,'JLR Machines'!$C$2:$C$20001,IF(Settings!$B$2="","&lt;&gt;",Settings!$B$2),'JLR Machines'!$D$2:$D$20001,IF(Settings!$B$3="","&lt;&gt;",Settings!$B$3)))</f>
        <v>0</v>
      </c>
      <c r="X131" s="39">
        <f>IF($P131&lt;&gt;1,0,SUMIFS('JLR Machines'!$N$2:$N$20001,'JLR Machines'!$A$2:$A$20001,$O131,'JLR Machines'!$C$2:$C$20001,IF(Settings!$B$2="","&lt;&gt;",Settings!$B$2),'JLR Machines'!$D$2:$D$20001,IF(Settings!$B$3="","&lt;&gt;",Settings!$B$3)))</f>
        <v>0</v>
      </c>
      <c r="Y131" s="39">
        <f>$Q131+$R131+$S131+$T131+$U131+$V131+$W131</f>
        <v>0</v>
      </c>
      <c r="Z131" s="38">
        <f>IF($X131&lt;=0,0,ROUND((D131+E131+F131+G131+H131+I131)/3000-$X131,4))</f>
        <v>0</v>
      </c>
      <c r="AA131" s="40" t="s">
        <v>2345</v>
      </c>
      <c r="AB131" s="40" t="s">
        <v>2099</v>
      </c>
    </row>
    <row r="132" spans="1:28" x14ac:dyDescent="0.25">
      <c r="A132" s="32" t="s">
        <v>1184</v>
      </c>
      <c r="B132" s="33" t="s">
        <v>2346</v>
      </c>
      <c r="C132" s="33" t="s">
        <v>1379</v>
      </c>
      <c r="D132" s="41">
        <f>IF($X132&gt;0,IF($Y132&gt;0,MAX(0,$Q132+$X132-$Y132)*3000,$X132*3000),5060)</f>
        <v>5060</v>
      </c>
      <c r="E132" s="41">
        <f>IF($X132&gt;0,IF($Y132&gt;0,$S132*3000,0),2524)</f>
        <v>2524</v>
      </c>
      <c r="F132" s="41">
        <f>IF($X132&gt;0,IF($Y132&gt;0,$V132*3000,0),4078)</f>
        <v>4078</v>
      </c>
      <c r="G132" s="41">
        <f>IF($X132&gt;0,IF($Y132&gt;0,$R132*3000,0),2019)</f>
        <v>2019</v>
      </c>
      <c r="H132" s="41">
        <f>IF($X132&gt;0,IF($Y132&gt;0,($T132+$W132)*3000,0),2014)</f>
        <v>2014</v>
      </c>
      <c r="I132" s="41">
        <f>IF($X132&gt;0,IF($Y132&gt;0,$U132*3000,0),700)</f>
        <v>700</v>
      </c>
      <c r="J132" s="35">
        <v>4000</v>
      </c>
      <c r="K132" s="42">
        <v>0.75</v>
      </c>
      <c r="L132" s="36" t="str">
        <f>IF($X132&gt;0,IF($P132&lt;&gt;1,$AB132,IFERROR(INDEX('JLR Machines'!$D$2:$D$20001,MATCH($O132,'JLR Machines'!$A$2:$A$20001,0)),$AB132)),$AB132)</f>
        <v>2026-09-29</v>
      </c>
      <c r="M132" s="36" t="str">
        <f>IF($X132&gt;0,IF($Y132&gt;0,"JLR machine "&amp;$O132&amp;" at "&amp;TEXT($X132,"0.00")&amp;" per hr — build-up as supplied","JLR machine "&amp;$O132&amp;" at "&amp;TEXT($X132,"0.00")&amp;" per hr — build-up not supplied"),$AA132)</f>
        <v>Manual TIG station. Machine rate low — cost dominated by skilled operator labour. UK fab shop. Jun 2026</v>
      </c>
      <c r="N132" s="33" t="s">
        <v>1380</v>
      </c>
      <c r="O132" s="37" t="str">
        <f>IFERROR(INDEX(Mapping!$C$2:$C$549,MATCH($A132,Mapping!$A$2:$A$549,0)),"")</f>
        <v/>
      </c>
      <c r="P132" s="37">
        <f>IF($O132="",0,COUNTIFS('JLR Machines'!$A$2:$A$20001,$O132,'JLR Machines'!$C$2:$C$20001,IF(Settings!$B$2="","&lt;&gt;",Settings!$B$2),'JLR Machines'!$D$2:$D$20001,IF(Settings!$B$3="","&lt;&gt;",Settings!$B$3)))</f>
        <v>0</v>
      </c>
      <c r="Q132" s="39">
        <f>IF($P132&lt;&gt;1,0,SUMIFS('JLR Machines'!$G$2:$G$20001,'JLR Machines'!$A$2:$A$20001,$O132,'JLR Machines'!$C$2:$C$20001,IF(Settings!$B$2="","&lt;&gt;",Settings!$B$2),'JLR Machines'!$D$2:$D$20001,IF(Settings!$B$3="","&lt;&gt;",Settings!$B$3)))</f>
        <v>0</v>
      </c>
      <c r="R132" s="39">
        <f>IF($P132&lt;&gt;1,0,SUMIFS('JLR Machines'!$H$2:$H$20001,'JLR Machines'!$A$2:$A$20001,$O132,'JLR Machines'!$C$2:$C$20001,IF(Settings!$B$2="","&lt;&gt;",Settings!$B$2),'JLR Machines'!$D$2:$D$20001,IF(Settings!$B$3="","&lt;&gt;",Settings!$B$3)))</f>
        <v>0</v>
      </c>
      <c r="S132" s="39">
        <f>IF($P132&lt;&gt;1,0,SUMIFS('JLR Machines'!$I$2:$I$20001,'JLR Machines'!$A$2:$A$20001,$O132,'JLR Machines'!$C$2:$C$20001,IF(Settings!$B$2="","&lt;&gt;",Settings!$B$2),'JLR Machines'!$D$2:$D$20001,IF(Settings!$B$3="","&lt;&gt;",Settings!$B$3)))</f>
        <v>0</v>
      </c>
      <c r="T132" s="39">
        <f>IF($P132&lt;&gt;1,0,SUMIFS('JLR Machines'!$J$2:$J$20001,'JLR Machines'!$A$2:$A$20001,$O132,'JLR Machines'!$C$2:$C$20001,IF(Settings!$B$2="","&lt;&gt;",Settings!$B$2),'JLR Machines'!$D$2:$D$20001,IF(Settings!$B$3="","&lt;&gt;",Settings!$B$3)))</f>
        <v>0</v>
      </c>
      <c r="U132" s="39">
        <f>IF($P132&lt;&gt;1,0,SUMIFS('JLR Machines'!$K$2:$K$20001,'JLR Machines'!$A$2:$A$20001,$O132,'JLR Machines'!$C$2:$C$20001,IF(Settings!$B$2="","&lt;&gt;",Settings!$B$2),'JLR Machines'!$D$2:$D$20001,IF(Settings!$B$3="","&lt;&gt;",Settings!$B$3)))</f>
        <v>0</v>
      </c>
      <c r="V132" s="39">
        <f>IF($P132&lt;&gt;1,0,SUMIFS('JLR Machines'!$L$2:$L$20001,'JLR Machines'!$A$2:$A$20001,$O132,'JLR Machines'!$C$2:$C$20001,IF(Settings!$B$2="","&lt;&gt;",Settings!$B$2),'JLR Machines'!$D$2:$D$20001,IF(Settings!$B$3="","&lt;&gt;",Settings!$B$3)))</f>
        <v>0</v>
      </c>
      <c r="W132" s="39">
        <f>IF($P132&lt;&gt;1,0,SUMIFS('JLR Machines'!$M$2:$M$20001,'JLR Machines'!$A$2:$A$20001,$O132,'JLR Machines'!$C$2:$C$20001,IF(Settings!$B$2="","&lt;&gt;",Settings!$B$2),'JLR Machines'!$D$2:$D$20001,IF(Settings!$B$3="","&lt;&gt;",Settings!$B$3)))</f>
        <v>0</v>
      </c>
      <c r="X132" s="39">
        <f>IF($P132&lt;&gt;1,0,SUMIFS('JLR Machines'!$N$2:$N$20001,'JLR Machines'!$A$2:$A$20001,$O132,'JLR Machines'!$C$2:$C$20001,IF(Settings!$B$2="","&lt;&gt;",Settings!$B$2),'JLR Machines'!$D$2:$D$20001,IF(Settings!$B$3="","&lt;&gt;",Settings!$B$3)))</f>
        <v>0</v>
      </c>
      <c r="Y132" s="39">
        <f>$Q132+$R132+$S132+$T132+$U132+$V132+$W132</f>
        <v>0</v>
      </c>
      <c r="Z132" s="38">
        <f>IF($X132&lt;=0,0,ROUND((D132+E132+F132+G132+H132+I132)/3000-$X132,4))</f>
        <v>0</v>
      </c>
      <c r="AA132" s="40" t="s">
        <v>2347</v>
      </c>
      <c r="AB132" s="40" t="s">
        <v>2099</v>
      </c>
    </row>
    <row r="133" spans="1:28" x14ac:dyDescent="0.25">
      <c r="A133" s="32" t="s">
        <v>1186</v>
      </c>
      <c r="B133" s="33" t="s">
        <v>2348</v>
      </c>
      <c r="C133" s="33" t="s">
        <v>1379</v>
      </c>
      <c r="D133" s="41">
        <f>IF($X133&gt;0,IF($Y133&gt;0,MAX(0,$Q133+$X133-$Y133)*3120,$X133*3120),136620)</f>
        <v>136620</v>
      </c>
      <c r="E133" s="41">
        <f>IF($X133&gt;0,IF($Y133&gt;0,$S133*3120,0),90863)</f>
        <v>90863</v>
      </c>
      <c r="F133" s="41">
        <f>IF($X133&gt;0,IF($Y133&gt;0,$V133*3120,0),58261)</f>
        <v>58261</v>
      </c>
      <c r="G133" s="41">
        <f>IF($X133&gt;0,IF($Y133&gt;0,$R133*3120,0),14135)</f>
        <v>14135</v>
      </c>
      <c r="H133" s="41">
        <f>IF($X133&gt;0,IF($Y133&gt;0,($T133+$W133)*3120,0),55394)</f>
        <v>55394</v>
      </c>
      <c r="I133" s="41">
        <f>IF($X133&gt;0,IF($Y133&gt;0,$U133*3120,0),28000)</f>
        <v>28000</v>
      </c>
      <c r="J133" s="35">
        <v>4000</v>
      </c>
      <c r="K133" s="42">
        <v>0.78</v>
      </c>
      <c r="L133" s="36" t="str">
        <f>IF($X133&gt;0,IF($P133&lt;&gt;1,$AB133,IFERROR(INDEX('JLR Machines'!$D$2:$D$20001,MATCH($O133,'JLR Machines'!$A$2:$A$20001,0)),$AB133)),$AB133)</f>
        <v>2026-09-29</v>
      </c>
      <c r="M133" s="36" t="str">
        <f>IF($X133&gt;0,IF($Y133&gt;0,"JLR machine "&amp;$O133&amp;" at "&amp;TEXT($X133,"0.00")&amp;" per hr — build-up as supplied","JLR machine "&amp;$O133&amp;" at "&amp;TEXT($X133,"0.00")&amp;" per hr — build-up not supplied"),$AA133)</f>
        <v>UK fab shop benchmark Jun 2026. Trumpf TruLaser 5030, 10kW fiber, 3000×1500 bed. High-speed cutting of thick plate (25mm mild steel, 15mm SS). Dynamic beam shaping BrightLine.</v>
      </c>
      <c r="N133" s="33" t="s">
        <v>1380</v>
      </c>
      <c r="O133" s="37" t="str">
        <f>IFERROR(INDEX(Mapping!$C$2:$C$549,MATCH($A133,Mapping!$A$2:$A$549,0)),"")</f>
        <v/>
      </c>
      <c r="P133" s="37">
        <f>IF($O133="",0,COUNTIFS('JLR Machines'!$A$2:$A$20001,$O133,'JLR Machines'!$C$2:$C$20001,IF(Settings!$B$2="","&lt;&gt;",Settings!$B$2),'JLR Machines'!$D$2:$D$20001,IF(Settings!$B$3="","&lt;&gt;",Settings!$B$3)))</f>
        <v>0</v>
      </c>
      <c r="Q133" s="39">
        <f>IF($P133&lt;&gt;1,0,SUMIFS('JLR Machines'!$G$2:$G$20001,'JLR Machines'!$A$2:$A$20001,$O133,'JLR Machines'!$C$2:$C$20001,IF(Settings!$B$2="","&lt;&gt;",Settings!$B$2),'JLR Machines'!$D$2:$D$20001,IF(Settings!$B$3="","&lt;&gt;",Settings!$B$3)))</f>
        <v>0</v>
      </c>
      <c r="R133" s="39">
        <f>IF($P133&lt;&gt;1,0,SUMIFS('JLR Machines'!$H$2:$H$20001,'JLR Machines'!$A$2:$A$20001,$O133,'JLR Machines'!$C$2:$C$20001,IF(Settings!$B$2="","&lt;&gt;",Settings!$B$2),'JLR Machines'!$D$2:$D$20001,IF(Settings!$B$3="","&lt;&gt;",Settings!$B$3)))</f>
        <v>0</v>
      </c>
      <c r="S133" s="39">
        <f>IF($P133&lt;&gt;1,0,SUMIFS('JLR Machines'!$I$2:$I$20001,'JLR Machines'!$A$2:$A$20001,$O133,'JLR Machines'!$C$2:$C$20001,IF(Settings!$B$2="","&lt;&gt;",Settings!$B$2),'JLR Machines'!$D$2:$D$20001,IF(Settings!$B$3="","&lt;&gt;",Settings!$B$3)))</f>
        <v>0</v>
      </c>
      <c r="T133" s="39">
        <f>IF($P133&lt;&gt;1,0,SUMIFS('JLR Machines'!$J$2:$J$20001,'JLR Machines'!$A$2:$A$20001,$O133,'JLR Machines'!$C$2:$C$20001,IF(Settings!$B$2="","&lt;&gt;",Settings!$B$2),'JLR Machines'!$D$2:$D$20001,IF(Settings!$B$3="","&lt;&gt;",Settings!$B$3)))</f>
        <v>0</v>
      </c>
      <c r="U133" s="39">
        <f>IF($P133&lt;&gt;1,0,SUMIFS('JLR Machines'!$K$2:$K$20001,'JLR Machines'!$A$2:$A$20001,$O133,'JLR Machines'!$C$2:$C$20001,IF(Settings!$B$2="","&lt;&gt;",Settings!$B$2),'JLR Machines'!$D$2:$D$20001,IF(Settings!$B$3="","&lt;&gt;",Settings!$B$3)))</f>
        <v>0</v>
      </c>
      <c r="V133" s="39">
        <f>IF($P133&lt;&gt;1,0,SUMIFS('JLR Machines'!$L$2:$L$20001,'JLR Machines'!$A$2:$A$20001,$O133,'JLR Machines'!$C$2:$C$20001,IF(Settings!$B$2="","&lt;&gt;",Settings!$B$2),'JLR Machines'!$D$2:$D$20001,IF(Settings!$B$3="","&lt;&gt;",Settings!$B$3)))</f>
        <v>0</v>
      </c>
      <c r="W133" s="39">
        <f>IF($P133&lt;&gt;1,0,SUMIFS('JLR Machines'!$M$2:$M$20001,'JLR Machines'!$A$2:$A$20001,$O133,'JLR Machines'!$C$2:$C$20001,IF(Settings!$B$2="","&lt;&gt;",Settings!$B$2),'JLR Machines'!$D$2:$D$20001,IF(Settings!$B$3="","&lt;&gt;",Settings!$B$3)))</f>
        <v>0</v>
      </c>
      <c r="X133" s="39">
        <f>IF($P133&lt;&gt;1,0,SUMIFS('JLR Machines'!$N$2:$N$20001,'JLR Machines'!$A$2:$A$20001,$O133,'JLR Machines'!$C$2:$C$20001,IF(Settings!$B$2="","&lt;&gt;",Settings!$B$2),'JLR Machines'!$D$2:$D$20001,IF(Settings!$B$3="","&lt;&gt;",Settings!$B$3)))</f>
        <v>0</v>
      </c>
      <c r="Y133" s="39">
        <f>$Q133+$R133+$S133+$T133+$U133+$V133+$W133</f>
        <v>0</v>
      </c>
      <c r="Z133" s="38">
        <f>IF($X133&lt;=0,0,ROUND((D133+E133+F133+G133+H133+I133)/3120-$X133,4))</f>
        <v>0</v>
      </c>
      <c r="AA133" s="40" t="s">
        <v>2349</v>
      </c>
      <c r="AB133" s="40" t="s">
        <v>2099</v>
      </c>
    </row>
    <row r="134" spans="1:28" x14ac:dyDescent="0.25">
      <c r="A134" s="32" t="s">
        <v>1188</v>
      </c>
      <c r="B134" s="33" t="s">
        <v>2350</v>
      </c>
      <c r="C134" s="33" t="s">
        <v>1379</v>
      </c>
      <c r="D134" s="41">
        <f>IF($X134&gt;0,IF($Y134&gt;0,MAX(0,$Q134+$X134-$Y134)*3040,$X134*3040),72864)</f>
        <v>72864</v>
      </c>
      <c r="E134" s="41">
        <f>IF($X134&gt;0,IF($Y134&gt;0,$S134*3040,0),52498)</f>
        <v>52498</v>
      </c>
      <c r="F134" s="41">
        <f>IF($X134&gt;0,IF($Y134&gt;0,$V134*3040,0),25635)</f>
        <v>25635</v>
      </c>
      <c r="G134" s="41">
        <f>IF($X134&gt;0,IF($Y134&gt;0,$R134*3040,0),9086)</f>
        <v>9086</v>
      </c>
      <c r="H134" s="41">
        <f>IF($X134&gt;0,IF($Y134&gt;0,($T134+$W134)*3040,0),36258)</f>
        <v>36258</v>
      </c>
      <c r="I134" s="41">
        <f>IF($X134&gt;0,IF($Y134&gt;0,$U134*3040,0),15000)</f>
        <v>15000</v>
      </c>
      <c r="J134" s="35">
        <v>4000</v>
      </c>
      <c r="K134" s="42">
        <v>0.76</v>
      </c>
      <c r="L134" s="36" t="str">
        <f>IF($X134&gt;0,IF($P134&lt;&gt;1,$AB134,IFERROR(INDEX('JLR Machines'!$D$2:$D$20001,MATCH($O134,'JLR Machines'!$A$2:$A$20001,0)),$AB134)),$AB134)</f>
        <v>2026-09-29</v>
      </c>
      <c r="M134" s="36" t="str">
        <f>IF($X134&gt;0,IF($Y134&gt;0,"JLR machine "&amp;$O134&amp;" at "&amp;TEXT($X134,"0.00")&amp;" per hr — build-up as supplied","JLR machine "&amp;$O134&amp;" at "&amp;TEXT($X134,"0.00")&amp;" per hr — build-up not supplied"),$AA134)</f>
        <v>UK fab shop benchmark Jun 2026. Amada ENSIS 3015 AJ, 3kW variable-beam fiber, 3000×1500 bed. Intelligent beam control — cuts thin to thick sheet without mode change.</v>
      </c>
      <c r="N134" s="33" t="s">
        <v>1380</v>
      </c>
      <c r="O134" s="37" t="str">
        <f>IFERROR(INDEX(Mapping!$C$2:$C$549,MATCH($A134,Mapping!$A$2:$A$549,0)),"")</f>
        <v/>
      </c>
      <c r="P134" s="37">
        <f>IF($O134="",0,COUNTIFS('JLR Machines'!$A$2:$A$20001,$O134,'JLR Machines'!$C$2:$C$20001,IF(Settings!$B$2="","&lt;&gt;",Settings!$B$2),'JLR Machines'!$D$2:$D$20001,IF(Settings!$B$3="","&lt;&gt;",Settings!$B$3)))</f>
        <v>0</v>
      </c>
      <c r="Q134" s="39">
        <f>IF($P134&lt;&gt;1,0,SUMIFS('JLR Machines'!$G$2:$G$20001,'JLR Machines'!$A$2:$A$20001,$O134,'JLR Machines'!$C$2:$C$20001,IF(Settings!$B$2="","&lt;&gt;",Settings!$B$2),'JLR Machines'!$D$2:$D$20001,IF(Settings!$B$3="","&lt;&gt;",Settings!$B$3)))</f>
        <v>0</v>
      </c>
      <c r="R134" s="39">
        <f>IF($P134&lt;&gt;1,0,SUMIFS('JLR Machines'!$H$2:$H$20001,'JLR Machines'!$A$2:$A$20001,$O134,'JLR Machines'!$C$2:$C$20001,IF(Settings!$B$2="","&lt;&gt;",Settings!$B$2),'JLR Machines'!$D$2:$D$20001,IF(Settings!$B$3="","&lt;&gt;",Settings!$B$3)))</f>
        <v>0</v>
      </c>
      <c r="S134" s="39">
        <f>IF($P134&lt;&gt;1,0,SUMIFS('JLR Machines'!$I$2:$I$20001,'JLR Machines'!$A$2:$A$20001,$O134,'JLR Machines'!$C$2:$C$20001,IF(Settings!$B$2="","&lt;&gt;",Settings!$B$2),'JLR Machines'!$D$2:$D$20001,IF(Settings!$B$3="","&lt;&gt;",Settings!$B$3)))</f>
        <v>0</v>
      </c>
      <c r="T134" s="39">
        <f>IF($P134&lt;&gt;1,0,SUMIFS('JLR Machines'!$J$2:$J$20001,'JLR Machines'!$A$2:$A$20001,$O134,'JLR Machines'!$C$2:$C$20001,IF(Settings!$B$2="","&lt;&gt;",Settings!$B$2),'JLR Machines'!$D$2:$D$20001,IF(Settings!$B$3="","&lt;&gt;",Settings!$B$3)))</f>
        <v>0</v>
      </c>
      <c r="U134" s="39">
        <f>IF($P134&lt;&gt;1,0,SUMIFS('JLR Machines'!$K$2:$K$20001,'JLR Machines'!$A$2:$A$20001,$O134,'JLR Machines'!$C$2:$C$20001,IF(Settings!$B$2="","&lt;&gt;",Settings!$B$2),'JLR Machines'!$D$2:$D$20001,IF(Settings!$B$3="","&lt;&gt;",Settings!$B$3)))</f>
        <v>0</v>
      </c>
      <c r="V134" s="39">
        <f>IF($P134&lt;&gt;1,0,SUMIFS('JLR Machines'!$L$2:$L$20001,'JLR Machines'!$A$2:$A$20001,$O134,'JLR Machines'!$C$2:$C$20001,IF(Settings!$B$2="","&lt;&gt;",Settings!$B$2),'JLR Machines'!$D$2:$D$20001,IF(Settings!$B$3="","&lt;&gt;",Settings!$B$3)))</f>
        <v>0</v>
      </c>
      <c r="W134" s="39">
        <f>IF($P134&lt;&gt;1,0,SUMIFS('JLR Machines'!$M$2:$M$20001,'JLR Machines'!$A$2:$A$20001,$O134,'JLR Machines'!$C$2:$C$20001,IF(Settings!$B$2="","&lt;&gt;",Settings!$B$2),'JLR Machines'!$D$2:$D$20001,IF(Settings!$B$3="","&lt;&gt;",Settings!$B$3)))</f>
        <v>0</v>
      </c>
      <c r="X134" s="39">
        <f>IF($P134&lt;&gt;1,0,SUMIFS('JLR Machines'!$N$2:$N$20001,'JLR Machines'!$A$2:$A$20001,$O134,'JLR Machines'!$C$2:$C$20001,IF(Settings!$B$2="","&lt;&gt;",Settings!$B$2),'JLR Machines'!$D$2:$D$20001,IF(Settings!$B$3="","&lt;&gt;",Settings!$B$3)))</f>
        <v>0</v>
      </c>
      <c r="Y134" s="39">
        <f>$Q134+$R134+$S134+$T134+$U134+$V134+$W134</f>
        <v>0</v>
      </c>
      <c r="Z134" s="38">
        <f>IF($X134&lt;=0,0,ROUND((D134+E134+F134+G134+H134+I134)/3040-$X134,4))</f>
        <v>0</v>
      </c>
      <c r="AA134" s="40" t="s">
        <v>2351</v>
      </c>
      <c r="AB134" s="40" t="s">
        <v>2099</v>
      </c>
    </row>
    <row r="135" spans="1:28" x14ac:dyDescent="0.25">
      <c r="A135" s="32" t="s">
        <v>1190</v>
      </c>
      <c r="B135" s="33" t="s">
        <v>2352</v>
      </c>
      <c r="C135" s="33" t="s">
        <v>1379</v>
      </c>
      <c r="D135" s="41">
        <f>IF($X135&gt;0,IF($Y135&gt;0,MAX(0,$Q135+$X135-$Y135)*3200,$X135*3200),38456)</f>
        <v>38456</v>
      </c>
      <c r="E135" s="41">
        <f>IF($X135&gt;0,IF($Y135&gt;0,$S135*3200,0),28268)</f>
        <v>28268</v>
      </c>
      <c r="F135" s="41">
        <f>IF($X135&gt;0,IF($Y135&gt;0,$V135*3200,0),25635)</f>
        <v>25635</v>
      </c>
      <c r="G135" s="41">
        <f>IF($X135&gt;0,IF($Y135&gt;0,$R135*3200,0),14135)</f>
        <v>14135</v>
      </c>
      <c r="H135" s="41">
        <f>IF($X135&gt;0,IF($Y135&gt;0,($T135+$W135)*3200,0),18129)</f>
        <v>18129</v>
      </c>
      <c r="I135" s="41">
        <f>IF($X135&gt;0,IF($Y135&gt;0,$U135*3200,0),7500)</f>
        <v>7500</v>
      </c>
      <c r="J135" s="35">
        <v>4000</v>
      </c>
      <c r="K135" s="42">
        <v>0.8</v>
      </c>
      <c r="L135" s="36" t="str">
        <f>IF($X135&gt;0,IF($P135&lt;&gt;1,$AB135,IFERROR(INDEX('JLR Machines'!$D$2:$D$20001,MATCH($O135,'JLR Machines'!$A$2:$A$20001,0)),$AB135)),$AB135)</f>
        <v>2026-09-29</v>
      </c>
      <c r="M135" s="36" t="str">
        <f>IF($X135&gt;0,IF($Y135&gt;0,"JLR machine "&amp;$O135&amp;" at "&amp;TEXT($X135,"0.00")&amp;" per hr — build-up as supplied","JLR machine "&amp;$O135&amp;" at "&amp;TEXT($X135,"0.00")&amp;" per hr — build-up not supplied"),$AA135)</f>
        <v>UK fab shop benchmark Jun 2026. Hypertherm XPR300 plasma — 300A, cuts up to 80mm mild steel. Plasma table for structural steel, heavy plate, general fabrication. Better edge quality than HiFocus for thick plate.</v>
      </c>
      <c r="N135" s="33" t="s">
        <v>1380</v>
      </c>
      <c r="O135" s="37" t="str">
        <f>IFERROR(INDEX(Mapping!$C$2:$C$549,MATCH($A135,Mapping!$A$2:$A$549,0)),"")</f>
        <v/>
      </c>
      <c r="P135" s="37">
        <f>IF($O135="",0,COUNTIFS('JLR Machines'!$A$2:$A$20001,$O135,'JLR Machines'!$C$2:$C$20001,IF(Settings!$B$2="","&lt;&gt;",Settings!$B$2),'JLR Machines'!$D$2:$D$20001,IF(Settings!$B$3="","&lt;&gt;",Settings!$B$3)))</f>
        <v>0</v>
      </c>
      <c r="Q135" s="39">
        <f>IF($P135&lt;&gt;1,0,SUMIFS('JLR Machines'!$G$2:$G$20001,'JLR Machines'!$A$2:$A$20001,$O135,'JLR Machines'!$C$2:$C$20001,IF(Settings!$B$2="","&lt;&gt;",Settings!$B$2),'JLR Machines'!$D$2:$D$20001,IF(Settings!$B$3="","&lt;&gt;",Settings!$B$3)))</f>
        <v>0</v>
      </c>
      <c r="R135" s="39">
        <f>IF($P135&lt;&gt;1,0,SUMIFS('JLR Machines'!$H$2:$H$20001,'JLR Machines'!$A$2:$A$20001,$O135,'JLR Machines'!$C$2:$C$20001,IF(Settings!$B$2="","&lt;&gt;",Settings!$B$2),'JLR Machines'!$D$2:$D$20001,IF(Settings!$B$3="","&lt;&gt;",Settings!$B$3)))</f>
        <v>0</v>
      </c>
      <c r="S135" s="39">
        <f>IF($P135&lt;&gt;1,0,SUMIFS('JLR Machines'!$I$2:$I$20001,'JLR Machines'!$A$2:$A$20001,$O135,'JLR Machines'!$C$2:$C$20001,IF(Settings!$B$2="","&lt;&gt;",Settings!$B$2),'JLR Machines'!$D$2:$D$20001,IF(Settings!$B$3="","&lt;&gt;",Settings!$B$3)))</f>
        <v>0</v>
      </c>
      <c r="T135" s="39">
        <f>IF($P135&lt;&gt;1,0,SUMIFS('JLR Machines'!$J$2:$J$20001,'JLR Machines'!$A$2:$A$20001,$O135,'JLR Machines'!$C$2:$C$20001,IF(Settings!$B$2="","&lt;&gt;",Settings!$B$2),'JLR Machines'!$D$2:$D$20001,IF(Settings!$B$3="","&lt;&gt;",Settings!$B$3)))</f>
        <v>0</v>
      </c>
      <c r="U135" s="39">
        <f>IF($P135&lt;&gt;1,0,SUMIFS('JLR Machines'!$K$2:$K$20001,'JLR Machines'!$A$2:$A$20001,$O135,'JLR Machines'!$C$2:$C$20001,IF(Settings!$B$2="","&lt;&gt;",Settings!$B$2),'JLR Machines'!$D$2:$D$20001,IF(Settings!$B$3="","&lt;&gt;",Settings!$B$3)))</f>
        <v>0</v>
      </c>
      <c r="V135" s="39">
        <f>IF($P135&lt;&gt;1,0,SUMIFS('JLR Machines'!$L$2:$L$20001,'JLR Machines'!$A$2:$A$20001,$O135,'JLR Machines'!$C$2:$C$20001,IF(Settings!$B$2="","&lt;&gt;",Settings!$B$2),'JLR Machines'!$D$2:$D$20001,IF(Settings!$B$3="","&lt;&gt;",Settings!$B$3)))</f>
        <v>0</v>
      </c>
      <c r="W135" s="39">
        <f>IF($P135&lt;&gt;1,0,SUMIFS('JLR Machines'!$M$2:$M$20001,'JLR Machines'!$A$2:$A$20001,$O135,'JLR Machines'!$C$2:$C$20001,IF(Settings!$B$2="","&lt;&gt;",Settings!$B$2),'JLR Machines'!$D$2:$D$20001,IF(Settings!$B$3="","&lt;&gt;",Settings!$B$3)))</f>
        <v>0</v>
      </c>
      <c r="X135" s="39">
        <f>IF($P135&lt;&gt;1,0,SUMIFS('JLR Machines'!$N$2:$N$20001,'JLR Machines'!$A$2:$A$20001,$O135,'JLR Machines'!$C$2:$C$20001,IF(Settings!$B$2="","&lt;&gt;",Settings!$B$2),'JLR Machines'!$D$2:$D$20001,IF(Settings!$B$3="","&lt;&gt;",Settings!$B$3)))</f>
        <v>0</v>
      </c>
      <c r="Y135" s="39">
        <f>$Q135+$R135+$S135+$T135+$U135+$V135+$W135</f>
        <v>0</v>
      </c>
      <c r="Z135" s="38">
        <f>IF($X135&lt;=0,0,ROUND((D135+E135+F135+G135+H135+I135)/3200-$X135,4))</f>
        <v>0</v>
      </c>
      <c r="AA135" s="40" t="s">
        <v>2353</v>
      </c>
      <c r="AB135" s="40" t="s">
        <v>2099</v>
      </c>
    </row>
    <row r="136" spans="1:28" x14ac:dyDescent="0.25">
      <c r="A136" s="32" t="s">
        <v>1192</v>
      </c>
      <c r="B136" s="33" t="s">
        <v>2354</v>
      </c>
      <c r="C136" s="33" t="s">
        <v>1379</v>
      </c>
      <c r="D136" s="41">
        <f>IF($X136&gt;0,IF($Y136&gt;0,MAX(0,$Q136+$X136-$Y136)*3200,$X136*3200),32384)</f>
        <v>32384</v>
      </c>
      <c r="E136" s="41">
        <f>IF($X136&gt;0,IF($Y136&gt;0,$S136*3200,0),24230)</f>
        <v>24230</v>
      </c>
      <c r="F136" s="41">
        <f>IF($X136&gt;0,IF($Y136&gt;0,$V136*3200,0),23304)</f>
        <v>23304</v>
      </c>
      <c r="G136" s="41">
        <f>IF($X136&gt;0,IF($Y136&gt;0,$R136*3200,0),14135)</f>
        <v>14135</v>
      </c>
      <c r="H136" s="41">
        <f>IF($X136&gt;0,IF($Y136&gt;0,($T136+$W136)*3200,0),16115)</f>
        <v>16115</v>
      </c>
      <c r="I136" s="41">
        <f>IF($X136&gt;0,IF($Y136&gt;0,$U136*3200,0),6500)</f>
        <v>6500</v>
      </c>
      <c r="J136" s="35">
        <v>4000</v>
      </c>
      <c r="K136" s="42">
        <v>0.8</v>
      </c>
      <c r="L136" s="36" t="str">
        <f>IF($X136&gt;0,IF($P136&lt;&gt;1,$AB136,IFERROR(INDEX('JLR Machines'!$D$2:$D$20001,MATCH($O136,'JLR Machines'!$A$2:$A$20001,0)),$AB136)),$AB136)</f>
        <v>2026-09-29</v>
      </c>
      <c r="M136" s="36" t="str">
        <f>IF($X136&gt;0,IF($Y136&gt;0,"JLR machine "&amp;$O136&amp;" at "&amp;TEXT($X136,"0.00")&amp;" per hr — build-up as supplied","JLR machine "&amp;$O136&amp;" at "&amp;TEXT($X136,"0.00")&amp;" per hr — build-up not supplied"),$AA136)</f>
        <v>UK fab shop benchmark Jun 2026. Kjellberg HiFocus 280i — 280A HD plasma for precision cutting up to 50mm. Better edge perpendicularity than standard plasma.</v>
      </c>
      <c r="N136" s="33" t="s">
        <v>1380</v>
      </c>
      <c r="O136" s="37" t="str">
        <f>IFERROR(INDEX(Mapping!$C$2:$C$549,MATCH($A136,Mapping!$A$2:$A$549,0)),"")</f>
        <v/>
      </c>
      <c r="P136" s="37">
        <f>IF($O136="",0,COUNTIFS('JLR Machines'!$A$2:$A$20001,$O136,'JLR Machines'!$C$2:$C$20001,IF(Settings!$B$2="","&lt;&gt;",Settings!$B$2),'JLR Machines'!$D$2:$D$20001,IF(Settings!$B$3="","&lt;&gt;",Settings!$B$3)))</f>
        <v>0</v>
      </c>
      <c r="Q136" s="39">
        <f>IF($P136&lt;&gt;1,0,SUMIFS('JLR Machines'!$G$2:$G$20001,'JLR Machines'!$A$2:$A$20001,$O136,'JLR Machines'!$C$2:$C$20001,IF(Settings!$B$2="","&lt;&gt;",Settings!$B$2),'JLR Machines'!$D$2:$D$20001,IF(Settings!$B$3="","&lt;&gt;",Settings!$B$3)))</f>
        <v>0</v>
      </c>
      <c r="R136" s="39">
        <f>IF($P136&lt;&gt;1,0,SUMIFS('JLR Machines'!$H$2:$H$20001,'JLR Machines'!$A$2:$A$20001,$O136,'JLR Machines'!$C$2:$C$20001,IF(Settings!$B$2="","&lt;&gt;",Settings!$B$2),'JLR Machines'!$D$2:$D$20001,IF(Settings!$B$3="","&lt;&gt;",Settings!$B$3)))</f>
        <v>0</v>
      </c>
      <c r="S136" s="39">
        <f>IF($P136&lt;&gt;1,0,SUMIFS('JLR Machines'!$I$2:$I$20001,'JLR Machines'!$A$2:$A$20001,$O136,'JLR Machines'!$C$2:$C$20001,IF(Settings!$B$2="","&lt;&gt;",Settings!$B$2),'JLR Machines'!$D$2:$D$20001,IF(Settings!$B$3="","&lt;&gt;",Settings!$B$3)))</f>
        <v>0</v>
      </c>
      <c r="T136" s="39">
        <f>IF($P136&lt;&gt;1,0,SUMIFS('JLR Machines'!$J$2:$J$20001,'JLR Machines'!$A$2:$A$20001,$O136,'JLR Machines'!$C$2:$C$20001,IF(Settings!$B$2="","&lt;&gt;",Settings!$B$2),'JLR Machines'!$D$2:$D$20001,IF(Settings!$B$3="","&lt;&gt;",Settings!$B$3)))</f>
        <v>0</v>
      </c>
      <c r="U136" s="39">
        <f>IF($P136&lt;&gt;1,0,SUMIFS('JLR Machines'!$K$2:$K$20001,'JLR Machines'!$A$2:$A$20001,$O136,'JLR Machines'!$C$2:$C$20001,IF(Settings!$B$2="","&lt;&gt;",Settings!$B$2),'JLR Machines'!$D$2:$D$20001,IF(Settings!$B$3="","&lt;&gt;",Settings!$B$3)))</f>
        <v>0</v>
      </c>
      <c r="V136" s="39">
        <f>IF($P136&lt;&gt;1,0,SUMIFS('JLR Machines'!$L$2:$L$20001,'JLR Machines'!$A$2:$A$20001,$O136,'JLR Machines'!$C$2:$C$20001,IF(Settings!$B$2="","&lt;&gt;",Settings!$B$2),'JLR Machines'!$D$2:$D$20001,IF(Settings!$B$3="","&lt;&gt;",Settings!$B$3)))</f>
        <v>0</v>
      </c>
      <c r="W136" s="39">
        <f>IF($P136&lt;&gt;1,0,SUMIFS('JLR Machines'!$M$2:$M$20001,'JLR Machines'!$A$2:$A$20001,$O136,'JLR Machines'!$C$2:$C$20001,IF(Settings!$B$2="","&lt;&gt;",Settings!$B$2),'JLR Machines'!$D$2:$D$20001,IF(Settings!$B$3="","&lt;&gt;",Settings!$B$3)))</f>
        <v>0</v>
      </c>
      <c r="X136" s="39">
        <f>IF($P136&lt;&gt;1,0,SUMIFS('JLR Machines'!$N$2:$N$20001,'JLR Machines'!$A$2:$A$20001,$O136,'JLR Machines'!$C$2:$C$20001,IF(Settings!$B$2="","&lt;&gt;",Settings!$B$2),'JLR Machines'!$D$2:$D$20001,IF(Settings!$B$3="","&lt;&gt;",Settings!$B$3)))</f>
        <v>0</v>
      </c>
      <c r="Y136" s="39">
        <f>$Q136+$R136+$S136+$T136+$U136+$V136+$W136</f>
        <v>0</v>
      </c>
      <c r="Z136" s="38">
        <f>IF($X136&lt;=0,0,ROUND((D136+E136+F136+G136+H136+I136)/3200-$X136,4))</f>
        <v>0</v>
      </c>
      <c r="AA136" s="40" t="s">
        <v>2355</v>
      </c>
      <c r="AB136" s="40" t="s">
        <v>2099</v>
      </c>
    </row>
    <row r="137" spans="1:28" x14ac:dyDescent="0.25">
      <c r="A137" s="32" t="s">
        <v>1194</v>
      </c>
      <c r="B137" s="33" t="s">
        <v>2356</v>
      </c>
      <c r="C137" s="33" t="s">
        <v>1379</v>
      </c>
      <c r="D137" s="41">
        <f>IF($X137&gt;0,IF($Y137&gt;0,MAX(0,$Q137+$X137-$Y137)*3000,$X137*3000),45540)</f>
        <v>45540</v>
      </c>
      <c r="E137" s="41">
        <f>IF($X137&gt;0,IF($Y137&gt;0,$S137*3000,0),32307)</f>
        <v>32307</v>
      </c>
      <c r="F137" s="41">
        <f>IF($X137&gt;0,IF($Y137&gt;0,$V137*3000,0),32626)</f>
        <v>32626</v>
      </c>
      <c r="G137" s="41">
        <f>IF($X137&gt;0,IF($Y137&gt;0,$R137*3000,0),16154)</f>
        <v>16154</v>
      </c>
      <c r="H137" s="41">
        <f>IF($X137&gt;0,IF($Y137&gt;0,($T137+$W137)*3000,0),20143)</f>
        <v>20143</v>
      </c>
      <c r="I137" s="41">
        <f>IF($X137&gt;0,IF($Y137&gt;0,$U137*3000,0),9000)</f>
        <v>9000</v>
      </c>
      <c r="J137" s="35">
        <v>4000</v>
      </c>
      <c r="K137" s="42">
        <v>0.75</v>
      </c>
      <c r="L137" s="36" t="str">
        <f>IF($X137&gt;0,IF($P137&lt;&gt;1,$AB137,IFERROR(INDEX('JLR Machines'!$D$2:$D$20001,MATCH($O137,'JLR Machines'!$A$2:$A$20001,0)),$AB137)),$AB137)</f>
        <v>2026-09-29</v>
      </c>
      <c r="M137" s="36" t="str">
        <f>IF($X137&gt;0,IF($Y137&gt;0,"JLR machine "&amp;$O137&amp;" at "&amp;TEXT($X137,"0.00")&amp;" per hr — build-up as supplied","JLR machine "&amp;$O137&amp;" at "&amp;TEXT($X137,"0.00")&amp;" per hr — build-up not supplied"),$AA137)</f>
        <v>UK fab shop benchmark Jun 2026. Flow Mach 500, 4000×2000 bed, 60,000 psi. Cuts steel, Al, SS, titanium, glass, ceramic. No HAZ — ideal for hardened/heat-sensitive materials.</v>
      </c>
      <c r="N137" s="33" t="s">
        <v>1380</v>
      </c>
      <c r="O137" s="37" t="str">
        <f>IFERROR(INDEX(Mapping!$C$2:$C$549,MATCH($A137,Mapping!$A$2:$A$549,0)),"")</f>
        <v/>
      </c>
      <c r="P137" s="37">
        <f>IF($O137="",0,COUNTIFS('JLR Machines'!$A$2:$A$20001,$O137,'JLR Machines'!$C$2:$C$20001,IF(Settings!$B$2="","&lt;&gt;",Settings!$B$2),'JLR Machines'!$D$2:$D$20001,IF(Settings!$B$3="","&lt;&gt;",Settings!$B$3)))</f>
        <v>0</v>
      </c>
      <c r="Q137" s="39">
        <f>IF($P137&lt;&gt;1,0,SUMIFS('JLR Machines'!$G$2:$G$20001,'JLR Machines'!$A$2:$A$20001,$O137,'JLR Machines'!$C$2:$C$20001,IF(Settings!$B$2="","&lt;&gt;",Settings!$B$2),'JLR Machines'!$D$2:$D$20001,IF(Settings!$B$3="","&lt;&gt;",Settings!$B$3)))</f>
        <v>0</v>
      </c>
      <c r="R137" s="39">
        <f>IF($P137&lt;&gt;1,0,SUMIFS('JLR Machines'!$H$2:$H$20001,'JLR Machines'!$A$2:$A$20001,$O137,'JLR Machines'!$C$2:$C$20001,IF(Settings!$B$2="","&lt;&gt;",Settings!$B$2),'JLR Machines'!$D$2:$D$20001,IF(Settings!$B$3="","&lt;&gt;",Settings!$B$3)))</f>
        <v>0</v>
      </c>
      <c r="S137" s="39">
        <f>IF($P137&lt;&gt;1,0,SUMIFS('JLR Machines'!$I$2:$I$20001,'JLR Machines'!$A$2:$A$20001,$O137,'JLR Machines'!$C$2:$C$20001,IF(Settings!$B$2="","&lt;&gt;",Settings!$B$2),'JLR Machines'!$D$2:$D$20001,IF(Settings!$B$3="","&lt;&gt;",Settings!$B$3)))</f>
        <v>0</v>
      </c>
      <c r="T137" s="39">
        <f>IF($P137&lt;&gt;1,0,SUMIFS('JLR Machines'!$J$2:$J$20001,'JLR Machines'!$A$2:$A$20001,$O137,'JLR Machines'!$C$2:$C$20001,IF(Settings!$B$2="","&lt;&gt;",Settings!$B$2),'JLR Machines'!$D$2:$D$20001,IF(Settings!$B$3="","&lt;&gt;",Settings!$B$3)))</f>
        <v>0</v>
      </c>
      <c r="U137" s="39">
        <f>IF($P137&lt;&gt;1,0,SUMIFS('JLR Machines'!$K$2:$K$20001,'JLR Machines'!$A$2:$A$20001,$O137,'JLR Machines'!$C$2:$C$20001,IF(Settings!$B$2="","&lt;&gt;",Settings!$B$2),'JLR Machines'!$D$2:$D$20001,IF(Settings!$B$3="","&lt;&gt;",Settings!$B$3)))</f>
        <v>0</v>
      </c>
      <c r="V137" s="39">
        <f>IF($P137&lt;&gt;1,0,SUMIFS('JLR Machines'!$L$2:$L$20001,'JLR Machines'!$A$2:$A$20001,$O137,'JLR Machines'!$C$2:$C$20001,IF(Settings!$B$2="","&lt;&gt;",Settings!$B$2),'JLR Machines'!$D$2:$D$20001,IF(Settings!$B$3="","&lt;&gt;",Settings!$B$3)))</f>
        <v>0</v>
      </c>
      <c r="W137" s="39">
        <f>IF($P137&lt;&gt;1,0,SUMIFS('JLR Machines'!$M$2:$M$20001,'JLR Machines'!$A$2:$A$20001,$O137,'JLR Machines'!$C$2:$C$20001,IF(Settings!$B$2="","&lt;&gt;",Settings!$B$2),'JLR Machines'!$D$2:$D$20001,IF(Settings!$B$3="","&lt;&gt;",Settings!$B$3)))</f>
        <v>0</v>
      </c>
      <c r="X137" s="39">
        <f>IF($P137&lt;&gt;1,0,SUMIFS('JLR Machines'!$N$2:$N$20001,'JLR Machines'!$A$2:$A$20001,$O137,'JLR Machines'!$C$2:$C$20001,IF(Settings!$B$2="","&lt;&gt;",Settings!$B$2),'JLR Machines'!$D$2:$D$20001,IF(Settings!$B$3="","&lt;&gt;",Settings!$B$3)))</f>
        <v>0</v>
      </c>
      <c r="Y137" s="39">
        <f>$Q137+$R137+$S137+$T137+$U137+$V137+$W137</f>
        <v>0</v>
      </c>
      <c r="Z137" s="38">
        <f>IF($X137&lt;=0,0,ROUND((D137+E137+F137+G137+H137+I137)/3000-$X137,4))</f>
        <v>0</v>
      </c>
      <c r="AA137" s="40" t="s">
        <v>2357</v>
      </c>
      <c r="AB137" s="40" t="s">
        <v>2099</v>
      </c>
    </row>
    <row r="138" spans="1:28" x14ac:dyDescent="0.25">
      <c r="A138" s="32" t="s">
        <v>1196</v>
      </c>
      <c r="B138" s="33" t="s">
        <v>2358</v>
      </c>
      <c r="C138" s="33" t="s">
        <v>1379</v>
      </c>
      <c r="D138" s="41">
        <f>IF($X138&gt;0,IF($Y138&gt;0,MAX(0,$Q138+$X138-$Y138)*3000,$X138*3000),38456)</f>
        <v>38456</v>
      </c>
      <c r="E138" s="41">
        <f>IF($X138&gt;0,IF($Y138&gt;0,$S138*3000,0),28268)</f>
        <v>28268</v>
      </c>
      <c r="F138" s="41">
        <f>IF($X138&gt;0,IF($Y138&gt;0,$V138*3000,0),27965)</f>
        <v>27965</v>
      </c>
      <c r="G138" s="41">
        <f>IF($X138&gt;0,IF($Y138&gt;0,$R138*3000,0),14135)</f>
        <v>14135</v>
      </c>
      <c r="H138" s="41">
        <f>IF($X138&gt;0,IF($Y138&gt;0,($T138+$W138)*3000,0),18129)</f>
        <v>18129</v>
      </c>
      <c r="I138" s="41">
        <f>IF($X138&gt;0,IF($Y138&gt;0,$U138*3000,0),7500)</f>
        <v>7500</v>
      </c>
      <c r="J138" s="35">
        <v>4000</v>
      </c>
      <c r="K138" s="42">
        <v>0.75</v>
      </c>
      <c r="L138" s="36" t="str">
        <f>IF($X138&gt;0,IF($P138&lt;&gt;1,$AB138,IFERROR(INDEX('JLR Machines'!$D$2:$D$20001,MATCH($O138,'JLR Machines'!$A$2:$A$20001,0)),$AB138)),$AB138)</f>
        <v>2026-09-29</v>
      </c>
      <c r="M138" s="36" t="str">
        <f>IF($X138&gt;0,IF($Y138&gt;0,"JLR machine "&amp;$O138&amp;" at "&amp;TEXT($X138,"0.00")&amp;" per hr — build-up as supplied","JLR machine "&amp;$O138&amp;" at "&amp;TEXT($X138,"0.00")&amp;" per hr — build-up not supplied"),$AA138)</f>
        <v>UK fab shop benchmark Jun 2026. Omax 80X, 2286×2286 bed, 60,000 psi. Versatile shop waterjet — metal, glass, stone, composites. Intelli-MAX software with optimised path generation.</v>
      </c>
      <c r="N138" s="33" t="s">
        <v>1380</v>
      </c>
      <c r="O138" s="37" t="str">
        <f>IFERROR(INDEX(Mapping!$C$2:$C$549,MATCH($A138,Mapping!$A$2:$A$549,0)),"")</f>
        <v/>
      </c>
      <c r="P138" s="37">
        <f>IF($O138="",0,COUNTIFS('JLR Machines'!$A$2:$A$20001,$O138,'JLR Machines'!$C$2:$C$20001,IF(Settings!$B$2="","&lt;&gt;",Settings!$B$2),'JLR Machines'!$D$2:$D$20001,IF(Settings!$B$3="","&lt;&gt;",Settings!$B$3)))</f>
        <v>0</v>
      </c>
      <c r="Q138" s="39">
        <f>IF($P138&lt;&gt;1,0,SUMIFS('JLR Machines'!$G$2:$G$20001,'JLR Machines'!$A$2:$A$20001,$O138,'JLR Machines'!$C$2:$C$20001,IF(Settings!$B$2="","&lt;&gt;",Settings!$B$2),'JLR Machines'!$D$2:$D$20001,IF(Settings!$B$3="","&lt;&gt;",Settings!$B$3)))</f>
        <v>0</v>
      </c>
      <c r="R138" s="39">
        <f>IF($P138&lt;&gt;1,0,SUMIFS('JLR Machines'!$H$2:$H$20001,'JLR Machines'!$A$2:$A$20001,$O138,'JLR Machines'!$C$2:$C$20001,IF(Settings!$B$2="","&lt;&gt;",Settings!$B$2),'JLR Machines'!$D$2:$D$20001,IF(Settings!$B$3="","&lt;&gt;",Settings!$B$3)))</f>
        <v>0</v>
      </c>
      <c r="S138" s="39">
        <f>IF($P138&lt;&gt;1,0,SUMIFS('JLR Machines'!$I$2:$I$20001,'JLR Machines'!$A$2:$A$20001,$O138,'JLR Machines'!$C$2:$C$20001,IF(Settings!$B$2="","&lt;&gt;",Settings!$B$2),'JLR Machines'!$D$2:$D$20001,IF(Settings!$B$3="","&lt;&gt;",Settings!$B$3)))</f>
        <v>0</v>
      </c>
      <c r="T138" s="39">
        <f>IF($P138&lt;&gt;1,0,SUMIFS('JLR Machines'!$J$2:$J$20001,'JLR Machines'!$A$2:$A$20001,$O138,'JLR Machines'!$C$2:$C$20001,IF(Settings!$B$2="","&lt;&gt;",Settings!$B$2),'JLR Machines'!$D$2:$D$20001,IF(Settings!$B$3="","&lt;&gt;",Settings!$B$3)))</f>
        <v>0</v>
      </c>
      <c r="U138" s="39">
        <f>IF($P138&lt;&gt;1,0,SUMIFS('JLR Machines'!$K$2:$K$20001,'JLR Machines'!$A$2:$A$20001,$O138,'JLR Machines'!$C$2:$C$20001,IF(Settings!$B$2="","&lt;&gt;",Settings!$B$2),'JLR Machines'!$D$2:$D$20001,IF(Settings!$B$3="","&lt;&gt;",Settings!$B$3)))</f>
        <v>0</v>
      </c>
      <c r="V138" s="39">
        <f>IF($P138&lt;&gt;1,0,SUMIFS('JLR Machines'!$L$2:$L$20001,'JLR Machines'!$A$2:$A$20001,$O138,'JLR Machines'!$C$2:$C$20001,IF(Settings!$B$2="","&lt;&gt;",Settings!$B$2),'JLR Machines'!$D$2:$D$20001,IF(Settings!$B$3="","&lt;&gt;",Settings!$B$3)))</f>
        <v>0</v>
      </c>
      <c r="W138" s="39">
        <f>IF($P138&lt;&gt;1,0,SUMIFS('JLR Machines'!$M$2:$M$20001,'JLR Machines'!$A$2:$A$20001,$O138,'JLR Machines'!$C$2:$C$20001,IF(Settings!$B$2="","&lt;&gt;",Settings!$B$2),'JLR Machines'!$D$2:$D$20001,IF(Settings!$B$3="","&lt;&gt;",Settings!$B$3)))</f>
        <v>0</v>
      </c>
      <c r="X138" s="39">
        <f>IF($P138&lt;&gt;1,0,SUMIFS('JLR Machines'!$N$2:$N$20001,'JLR Machines'!$A$2:$A$20001,$O138,'JLR Machines'!$C$2:$C$20001,IF(Settings!$B$2="","&lt;&gt;",Settings!$B$2),'JLR Machines'!$D$2:$D$20001,IF(Settings!$B$3="","&lt;&gt;",Settings!$B$3)))</f>
        <v>0</v>
      </c>
      <c r="Y138" s="39">
        <f>$Q138+$R138+$S138+$T138+$U138+$V138+$W138</f>
        <v>0</v>
      </c>
      <c r="Z138" s="38">
        <f>IF($X138&lt;=0,0,ROUND((D138+E138+F138+G138+H138+I138)/3000-$X138,4))</f>
        <v>0</v>
      </c>
      <c r="AA138" s="40" t="s">
        <v>2359</v>
      </c>
      <c r="AB138" s="40" t="s">
        <v>2099</v>
      </c>
    </row>
    <row r="139" spans="1:28" x14ac:dyDescent="0.25">
      <c r="A139" s="32" t="s">
        <v>1198</v>
      </c>
      <c r="B139" s="33" t="s">
        <v>2360</v>
      </c>
      <c r="C139" s="33" t="s">
        <v>1379</v>
      </c>
      <c r="D139" s="41">
        <f>IF($X139&gt;0,IF($Y139&gt;0,MAX(0,$Q139+$X139-$Y139)*2800,$X139*2800),14168)</f>
        <v>14168</v>
      </c>
      <c r="E139" s="41">
        <f>IF($X139&gt;0,IF($Y139&gt;0,$S139*2800,0),8077)</f>
        <v>8077</v>
      </c>
      <c r="F139" s="41">
        <f>IF($X139&gt;0,IF($Y139&gt;0,$V139*2800,0),5826)</f>
        <v>5826</v>
      </c>
      <c r="G139" s="41">
        <f>IF($X139&gt;0,IF($Y139&gt;0,$R139*2800,0),6058)</f>
        <v>6058</v>
      </c>
      <c r="H139" s="41">
        <f>IF($X139&gt;0,IF($Y139&gt;0,($T139+$W139)*2800,0),5036)</f>
        <v>5036</v>
      </c>
      <c r="I139" s="41">
        <f>IF($X139&gt;0,IF($Y139&gt;0,$U139*2800,0),2500)</f>
        <v>2500</v>
      </c>
      <c r="J139" s="35">
        <v>3500</v>
      </c>
      <c r="K139" s="42">
        <v>0.8</v>
      </c>
      <c r="L139" s="36" t="str">
        <f>IF($X139&gt;0,IF($P139&lt;&gt;1,$AB139,IFERROR(INDEX('JLR Machines'!$D$2:$D$20001,MATCH($O139,'JLR Machines'!$A$2:$A$20001,0)),$AB139)),$AB139)</f>
        <v>2026-09-29</v>
      </c>
      <c r="M139" s="36" t="str">
        <f>IF($X139&gt;0,IF($Y139&gt;0,"JLR machine "&amp;$O139&amp;" at "&amp;TEXT($X139,"0.00")&amp;" per hr — build-up as supplied","JLR machine "&amp;$O139&amp;" at "&amp;TEXT($X139,"0.00")&amp;" per hr — build-up not supplied"),$AA139)</f>
        <v>UK fab shop benchmark Jun 2026. Hydraulic guillotine shear, 3000mm × 6mm mild steel capacity. Straight-line blanking. Very low cycle cost — ideal for simple rectangular blanks.</v>
      </c>
      <c r="N139" s="33" t="s">
        <v>1380</v>
      </c>
      <c r="O139" s="37" t="str">
        <f>IFERROR(INDEX(Mapping!$C$2:$C$549,MATCH($A139,Mapping!$A$2:$A$549,0)),"")</f>
        <v/>
      </c>
      <c r="P139" s="37">
        <f>IF($O139="",0,COUNTIFS('JLR Machines'!$A$2:$A$20001,$O139,'JLR Machines'!$C$2:$C$20001,IF(Settings!$B$2="","&lt;&gt;",Settings!$B$2),'JLR Machines'!$D$2:$D$20001,IF(Settings!$B$3="","&lt;&gt;",Settings!$B$3)))</f>
        <v>0</v>
      </c>
      <c r="Q139" s="39">
        <f>IF($P139&lt;&gt;1,0,SUMIFS('JLR Machines'!$G$2:$G$20001,'JLR Machines'!$A$2:$A$20001,$O139,'JLR Machines'!$C$2:$C$20001,IF(Settings!$B$2="","&lt;&gt;",Settings!$B$2),'JLR Machines'!$D$2:$D$20001,IF(Settings!$B$3="","&lt;&gt;",Settings!$B$3)))</f>
        <v>0</v>
      </c>
      <c r="R139" s="39">
        <f>IF($P139&lt;&gt;1,0,SUMIFS('JLR Machines'!$H$2:$H$20001,'JLR Machines'!$A$2:$A$20001,$O139,'JLR Machines'!$C$2:$C$20001,IF(Settings!$B$2="","&lt;&gt;",Settings!$B$2),'JLR Machines'!$D$2:$D$20001,IF(Settings!$B$3="","&lt;&gt;",Settings!$B$3)))</f>
        <v>0</v>
      </c>
      <c r="S139" s="39">
        <f>IF($P139&lt;&gt;1,0,SUMIFS('JLR Machines'!$I$2:$I$20001,'JLR Machines'!$A$2:$A$20001,$O139,'JLR Machines'!$C$2:$C$20001,IF(Settings!$B$2="","&lt;&gt;",Settings!$B$2),'JLR Machines'!$D$2:$D$20001,IF(Settings!$B$3="","&lt;&gt;",Settings!$B$3)))</f>
        <v>0</v>
      </c>
      <c r="T139" s="39">
        <f>IF($P139&lt;&gt;1,0,SUMIFS('JLR Machines'!$J$2:$J$20001,'JLR Machines'!$A$2:$A$20001,$O139,'JLR Machines'!$C$2:$C$20001,IF(Settings!$B$2="","&lt;&gt;",Settings!$B$2),'JLR Machines'!$D$2:$D$20001,IF(Settings!$B$3="","&lt;&gt;",Settings!$B$3)))</f>
        <v>0</v>
      </c>
      <c r="U139" s="39">
        <f>IF($P139&lt;&gt;1,0,SUMIFS('JLR Machines'!$K$2:$K$20001,'JLR Machines'!$A$2:$A$20001,$O139,'JLR Machines'!$C$2:$C$20001,IF(Settings!$B$2="","&lt;&gt;",Settings!$B$2),'JLR Machines'!$D$2:$D$20001,IF(Settings!$B$3="","&lt;&gt;",Settings!$B$3)))</f>
        <v>0</v>
      </c>
      <c r="V139" s="39">
        <f>IF($P139&lt;&gt;1,0,SUMIFS('JLR Machines'!$L$2:$L$20001,'JLR Machines'!$A$2:$A$20001,$O139,'JLR Machines'!$C$2:$C$20001,IF(Settings!$B$2="","&lt;&gt;",Settings!$B$2),'JLR Machines'!$D$2:$D$20001,IF(Settings!$B$3="","&lt;&gt;",Settings!$B$3)))</f>
        <v>0</v>
      </c>
      <c r="W139" s="39">
        <f>IF($P139&lt;&gt;1,0,SUMIFS('JLR Machines'!$M$2:$M$20001,'JLR Machines'!$A$2:$A$20001,$O139,'JLR Machines'!$C$2:$C$20001,IF(Settings!$B$2="","&lt;&gt;",Settings!$B$2),'JLR Machines'!$D$2:$D$20001,IF(Settings!$B$3="","&lt;&gt;",Settings!$B$3)))</f>
        <v>0</v>
      </c>
      <c r="X139" s="39">
        <f>IF($P139&lt;&gt;1,0,SUMIFS('JLR Machines'!$N$2:$N$20001,'JLR Machines'!$A$2:$A$20001,$O139,'JLR Machines'!$C$2:$C$20001,IF(Settings!$B$2="","&lt;&gt;",Settings!$B$2),'JLR Machines'!$D$2:$D$20001,IF(Settings!$B$3="","&lt;&gt;",Settings!$B$3)))</f>
        <v>0</v>
      </c>
      <c r="Y139" s="39">
        <f>$Q139+$R139+$S139+$T139+$U139+$V139+$W139</f>
        <v>0</v>
      </c>
      <c r="Z139" s="38">
        <f>IF($X139&lt;=0,0,ROUND((D139+E139+F139+G139+H139+I139)/2800-$X139,4))</f>
        <v>0</v>
      </c>
      <c r="AA139" s="40" t="s">
        <v>2361</v>
      </c>
      <c r="AB139" s="40" t="s">
        <v>2099</v>
      </c>
    </row>
    <row r="140" spans="1:28" x14ac:dyDescent="0.25">
      <c r="A140" s="32" t="s">
        <v>1200</v>
      </c>
      <c r="B140" s="33" t="s">
        <v>2362</v>
      </c>
      <c r="C140" s="33" t="s">
        <v>1379</v>
      </c>
      <c r="D140" s="41">
        <f>IF($X140&gt;0,IF($Y140&gt;0,MAX(0,$Q140+$X140-$Y140)*2800,$X140*2800),20240)</f>
        <v>20240</v>
      </c>
      <c r="E140" s="41">
        <f>IF($X140&gt;0,IF($Y140&gt;0,$S140*2800,0),10096)</f>
        <v>10096</v>
      </c>
      <c r="F140" s="41">
        <f>IF($X140&gt;0,IF($Y140&gt;0,$V140*2800,0),8157)</f>
        <v>8157</v>
      </c>
      <c r="G140" s="41">
        <f>IF($X140&gt;0,IF($Y140&gt;0,$R140*2800,0),8077)</f>
        <v>8077</v>
      </c>
      <c r="H140" s="41">
        <f>IF($X140&gt;0,IF($Y140&gt;0,($T140+$W140)*2800,0),7050)</f>
        <v>7050</v>
      </c>
      <c r="I140" s="41">
        <f>IF($X140&gt;0,IF($Y140&gt;0,$U140*2800,0),3500)</f>
        <v>3500</v>
      </c>
      <c r="J140" s="35">
        <v>3500</v>
      </c>
      <c r="K140" s="42">
        <v>0.8</v>
      </c>
      <c r="L140" s="36" t="str">
        <f>IF($X140&gt;0,IF($P140&lt;&gt;1,$AB140,IFERROR(INDEX('JLR Machines'!$D$2:$D$20001,MATCH($O140,'JLR Machines'!$A$2:$A$20001,0)),$AB140)),$AB140)</f>
        <v>2026-09-29</v>
      </c>
      <c r="M140" s="36" t="str">
        <f>IF($X140&gt;0,IF($Y140&gt;0,"JLR machine "&amp;$O140&amp;" at "&amp;TEXT($X140,"0.00")&amp;" per hr — build-up as supplied","JLR machine "&amp;$O140&amp;" at "&amp;TEXT($X140,"0.00")&amp;" per hr — build-up not supplied"),$AA140)</f>
        <v>UK fab shop benchmark Jun 2026. Heavy-duty hydraulic shear, 4000mm × 6mm (12mm MS). For heavy plate blanking and structural steel service centres.</v>
      </c>
      <c r="N140" s="33" t="s">
        <v>1380</v>
      </c>
      <c r="O140" s="37" t="str">
        <f>IFERROR(INDEX(Mapping!$C$2:$C$549,MATCH($A140,Mapping!$A$2:$A$549,0)),"")</f>
        <v/>
      </c>
      <c r="P140" s="37">
        <f>IF($O140="",0,COUNTIFS('JLR Machines'!$A$2:$A$20001,$O140,'JLR Machines'!$C$2:$C$20001,IF(Settings!$B$2="","&lt;&gt;",Settings!$B$2),'JLR Machines'!$D$2:$D$20001,IF(Settings!$B$3="","&lt;&gt;",Settings!$B$3)))</f>
        <v>0</v>
      </c>
      <c r="Q140" s="39">
        <f>IF($P140&lt;&gt;1,0,SUMIFS('JLR Machines'!$G$2:$G$20001,'JLR Machines'!$A$2:$A$20001,$O140,'JLR Machines'!$C$2:$C$20001,IF(Settings!$B$2="","&lt;&gt;",Settings!$B$2),'JLR Machines'!$D$2:$D$20001,IF(Settings!$B$3="","&lt;&gt;",Settings!$B$3)))</f>
        <v>0</v>
      </c>
      <c r="R140" s="39">
        <f>IF($P140&lt;&gt;1,0,SUMIFS('JLR Machines'!$H$2:$H$20001,'JLR Machines'!$A$2:$A$20001,$O140,'JLR Machines'!$C$2:$C$20001,IF(Settings!$B$2="","&lt;&gt;",Settings!$B$2),'JLR Machines'!$D$2:$D$20001,IF(Settings!$B$3="","&lt;&gt;",Settings!$B$3)))</f>
        <v>0</v>
      </c>
      <c r="S140" s="39">
        <f>IF($P140&lt;&gt;1,0,SUMIFS('JLR Machines'!$I$2:$I$20001,'JLR Machines'!$A$2:$A$20001,$O140,'JLR Machines'!$C$2:$C$20001,IF(Settings!$B$2="","&lt;&gt;",Settings!$B$2),'JLR Machines'!$D$2:$D$20001,IF(Settings!$B$3="","&lt;&gt;",Settings!$B$3)))</f>
        <v>0</v>
      </c>
      <c r="T140" s="39">
        <f>IF($P140&lt;&gt;1,0,SUMIFS('JLR Machines'!$J$2:$J$20001,'JLR Machines'!$A$2:$A$20001,$O140,'JLR Machines'!$C$2:$C$20001,IF(Settings!$B$2="","&lt;&gt;",Settings!$B$2),'JLR Machines'!$D$2:$D$20001,IF(Settings!$B$3="","&lt;&gt;",Settings!$B$3)))</f>
        <v>0</v>
      </c>
      <c r="U140" s="39">
        <f>IF($P140&lt;&gt;1,0,SUMIFS('JLR Machines'!$K$2:$K$20001,'JLR Machines'!$A$2:$A$20001,$O140,'JLR Machines'!$C$2:$C$20001,IF(Settings!$B$2="","&lt;&gt;",Settings!$B$2),'JLR Machines'!$D$2:$D$20001,IF(Settings!$B$3="","&lt;&gt;",Settings!$B$3)))</f>
        <v>0</v>
      </c>
      <c r="V140" s="39">
        <f>IF($P140&lt;&gt;1,0,SUMIFS('JLR Machines'!$L$2:$L$20001,'JLR Machines'!$A$2:$A$20001,$O140,'JLR Machines'!$C$2:$C$20001,IF(Settings!$B$2="","&lt;&gt;",Settings!$B$2),'JLR Machines'!$D$2:$D$20001,IF(Settings!$B$3="","&lt;&gt;",Settings!$B$3)))</f>
        <v>0</v>
      </c>
      <c r="W140" s="39">
        <f>IF($P140&lt;&gt;1,0,SUMIFS('JLR Machines'!$M$2:$M$20001,'JLR Machines'!$A$2:$A$20001,$O140,'JLR Machines'!$C$2:$C$20001,IF(Settings!$B$2="","&lt;&gt;",Settings!$B$2),'JLR Machines'!$D$2:$D$20001,IF(Settings!$B$3="","&lt;&gt;",Settings!$B$3)))</f>
        <v>0</v>
      </c>
      <c r="X140" s="39">
        <f>IF($P140&lt;&gt;1,0,SUMIFS('JLR Machines'!$N$2:$N$20001,'JLR Machines'!$A$2:$A$20001,$O140,'JLR Machines'!$C$2:$C$20001,IF(Settings!$B$2="","&lt;&gt;",Settings!$B$2),'JLR Machines'!$D$2:$D$20001,IF(Settings!$B$3="","&lt;&gt;",Settings!$B$3)))</f>
        <v>0</v>
      </c>
      <c r="Y140" s="39">
        <f>$Q140+$R140+$S140+$T140+$U140+$V140+$W140</f>
        <v>0</v>
      </c>
      <c r="Z140" s="38">
        <f>IF($X140&lt;=0,0,ROUND((D140+E140+F140+G140+H140+I140)/2800-$X140,4))</f>
        <v>0</v>
      </c>
      <c r="AA140" s="40" t="s">
        <v>2363</v>
      </c>
      <c r="AB140" s="40" t="s">
        <v>2099</v>
      </c>
    </row>
    <row r="141" spans="1:28" x14ac:dyDescent="0.25">
      <c r="A141" s="32" t="s">
        <v>1202</v>
      </c>
      <c r="B141" s="33" t="s">
        <v>2364</v>
      </c>
      <c r="C141" s="33" t="s">
        <v>1379</v>
      </c>
      <c r="D141" s="41">
        <f>IF($X141&gt;0,IF($Y141&gt;0,MAX(0,$Q141+$X141-$Y141)*2625,$X141*2625),60720)</f>
        <v>60720</v>
      </c>
      <c r="E141" s="41">
        <f>IF($X141&gt;0,IF($Y141&gt;0,$S141*2625,0),46441)</f>
        <v>46441</v>
      </c>
      <c r="F141" s="41">
        <f>IF($X141&gt;0,IF($Y141&gt;0,$V141*2625,0),20974)</f>
        <v>20974</v>
      </c>
      <c r="G141" s="41">
        <f>IF($X141&gt;0,IF($Y141&gt;0,$R141*2625,0),11106)</f>
        <v>11106</v>
      </c>
      <c r="H141" s="41">
        <f>IF($X141&gt;0,IF($Y141&gt;0,($T141+$W141)*2625,0),28201)</f>
        <v>28201</v>
      </c>
      <c r="I141" s="41">
        <f>IF($X141&gt;0,IF($Y141&gt;0,$U141*2625,0),17000)</f>
        <v>17000</v>
      </c>
      <c r="J141" s="35">
        <v>3500</v>
      </c>
      <c r="K141" s="42">
        <v>0.75</v>
      </c>
      <c r="L141" s="36" t="str">
        <f>IF($X141&gt;0,IF($P141&lt;&gt;1,$AB141,IFERROR(INDEX('JLR Machines'!$D$2:$D$20001,MATCH($O141,'JLR Machines'!$A$2:$A$20001,0)),$AB141)),$AB141)</f>
        <v>2026-09-29</v>
      </c>
      <c r="M141" s="36" t="str">
        <f>IF($X141&gt;0,IF($Y141&gt;0,"JLR machine "&amp;$O141&amp;" at "&amp;TEXT($X141,"0.00")&amp;" per hr — build-up as supplied","JLR machine "&amp;$O141&amp;" at "&amp;TEXT($X141,"0.00")&amp;" per hr — build-up not supplied"),$AA141)</f>
        <v>UK fab shop benchmark Jun 2026. Amada HFE3i 170T, 4000mm. Larger brake for heavier plate forming and longer parts. ATC (Auto Tool Changer) option available.</v>
      </c>
      <c r="N141" s="33" t="s">
        <v>1380</v>
      </c>
      <c r="O141" s="37" t="str">
        <f>IFERROR(INDEX(Mapping!$C$2:$C$549,MATCH($A141,Mapping!$A$2:$A$549,0)),"")</f>
        <v/>
      </c>
      <c r="P141" s="37">
        <f>IF($O141="",0,COUNTIFS('JLR Machines'!$A$2:$A$20001,$O141,'JLR Machines'!$C$2:$C$20001,IF(Settings!$B$2="","&lt;&gt;",Settings!$B$2),'JLR Machines'!$D$2:$D$20001,IF(Settings!$B$3="","&lt;&gt;",Settings!$B$3)))</f>
        <v>0</v>
      </c>
      <c r="Q141" s="39">
        <f>IF($P141&lt;&gt;1,0,SUMIFS('JLR Machines'!$G$2:$G$20001,'JLR Machines'!$A$2:$A$20001,$O141,'JLR Machines'!$C$2:$C$20001,IF(Settings!$B$2="","&lt;&gt;",Settings!$B$2),'JLR Machines'!$D$2:$D$20001,IF(Settings!$B$3="","&lt;&gt;",Settings!$B$3)))</f>
        <v>0</v>
      </c>
      <c r="R141" s="39">
        <f>IF($P141&lt;&gt;1,0,SUMIFS('JLR Machines'!$H$2:$H$20001,'JLR Machines'!$A$2:$A$20001,$O141,'JLR Machines'!$C$2:$C$20001,IF(Settings!$B$2="","&lt;&gt;",Settings!$B$2),'JLR Machines'!$D$2:$D$20001,IF(Settings!$B$3="","&lt;&gt;",Settings!$B$3)))</f>
        <v>0</v>
      </c>
      <c r="S141" s="39">
        <f>IF($P141&lt;&gt;1,0,SUMIFS('JLR Machines'!$I$2:$I$20001,'JLR Machines'!$A$2:$A$20001,$O141,'JLR Machines'!$C$2:$C$20001,IF(Settings!$B$2="","&lt;&gt;",Settings!$B$2),'JLR Machines'!$D$2:$D$20001,IF(Settings!$B$3="","&lt;&gt;",Settings!$B$3)))</f>
        <v>0</v>
      </c>
      <c r="T141" s="39">
        <f>IF($P141&lt;&gt;1,0,SUMIFS('JLR Machines'!$J$2:$J$20001,'JLR Machines'!$A$2:$A$20001,$O141,'JLR Machines'!$C$2:$C$20001,IF(Settings!$B$2="","&lt;&gt;",Settings!$B$2),'JLR Machines'!$D$2:$D$20001,IF(Settings!$B$3="","&lt;&gt;",Settings!$B$3)))</f>
        <v>0</v>
      </c>
      <c r="U141" s="39">
        <f>IF($P141&lt;&gt;1,0,SUMIFS('JLR Machines'!$K$2:$K$20001,'JLR Machines'!$A$2:$A$20001,$O141,'JLR Machines'!$C$2:$C$20001,IF(Settings!$B$2="","&lt;&gt;",Settings!$B$2),'JLR Machines'!$D$2:$D$20001,IF(Settings!$B$3="","&lt;&gt;",Settings!$B$3)))</f>
        <v>0</v>
      </c>
      <c r="V141" s="39">
        <f>IF($P141&lt;&gt;1,0,SUMIFS('JLR Machines'!$L$2:$L$20001,'JLR Machines'!$A$2:$A$20001,$O141,'JLR Machines'!$C$2:$C$20001,IF(Settings!$B$2="","&lt;&gt;",Settings!$B$2),'JLR Machines'!$D$2:$D$20001,IF(Settings!$B$3="","&lt;&gt;",Settings!$B$3)))</f>
        <v>0</v>
      </c>
      <c r="W141" s="39">
        <f>IF($P141&lt;&gt;1,0,SUMIFS('JLR Machines'!$M$2:$M$20001,'JLR Machines'!$A$2:$A$20001,$O141,'JLR Machines'!$C$2:$C$20001,IF(Settings!$B$2="","&lt;&gt;",Settings!$B$2),'JLR Machines'!$D$2:$D$20001,IF(Settings!$B$3="","&lt;&gt;",Settings!$B$3)))</f>
        <v>0</v>
      </c>
      <c r="X141" s="39">
        <f>IF($P141&lt;&gt;1,0,SUMIFS('JLR Machines'!$N$2:$N$20001,'JLR Machines'!$A$2:$A$20001,$O141,'JLR Machines'!$C$2:$C$20001,IF(Settings!$B$2="","&lt;&gt;",Settings!$B$2),'JLR Machines'!$D$2:$D$20001,IF(Settings!$B$3="","&lt;&gt;",Settings!$B$3)))</f>
        <v>0</v>
      </c>
      <c r="Y141" s="39">
        <f>$Q141+$R141+$S141+$T141+$U141+$V141+$W141</f>
        <v>0</v>
      </c>
      <c r="Z141" s="38">
        <f>IF($X141&lt;=0,0,ROUND((D141+E141+F141+G141+H141+I141)/2625-$X141,4))</f>
        <v>0</v>
      </c>
      <c r="AA141" s="40" t="s">
        <v>2365</v>
      </c>
      <c r="AB141" s="40" t="s">
        <v>2099</v>
      </c>
    </row>
    <row r="142" spans="1:28" x14ac:dyDescent="0.25">
      <c r="A142" s="32" t="s">
        <v>1204</v>
      </c>
      <c r="B142" s="33" t="s">
        <v>2366</v>
      </c>
      <c r="C142" s="33" t="s">
        <v>1379</v>
      </c>
      <c r="D142" s="41">
        <f>IF($X142&gt;0,IF($Y142&gt;0,MAX(0,$Q142+$X142-$Y142)*2625,$X142*2625),45540)</f>
        <v>45540</v>
      </c>
      <c r="E142" s="41">
        <f>IF($X142&gt;0,IF($Y142&gt;0,$S142*2625,0),35335)</f>
        <v>35335</v>
      </c>
      <c r="F142" s="41">
        <f>IF($X142&gt;0,IF($Y142&gt;0,$V142*2625,0),15148)</f>
        <v>15148</v>
      </c>
      <c r="G142" s="41">
        <f>IF($X142&gt;0,IF($Y142&gt;0,$R142*2625,0),9086)</f>
        <v>9086</v>
      </c>
      <c r="H142" s="41">
        <f>IF($X142&gt;0,IF($Y142&gt;0,($T142+$W142)*2625,0),20143)</f>
        <v>20143</v>
      </c>
      <c r="I142" s="41">
        <f>IF($X142&gt;0,IF($Y142&gt;0,$U142*2625,0),13000)</f>
        <v>13000</v>
      </c>
      <c r="J142" s="35">
        <v>3500</v>
      </c>
      <c r="K142" s="42">
        <v>0.75</v>
      </c>
      <c r="L142" s="36" t="str">
        <f>IF($X142&gt;0,IF($P142&lt;&gt;1,$AB142,IFERROR(INDEX('JLR Machines'!$D$2:$D$20001,MATCH($O142,'JLR Machines'!$A$2:$A$20001,0)),$AB142)),$AB142)</f>
        <v>2026-09-29</v>
      </c>
      <c r="M142" s="36" t="str">
        <f>IF($X142&gt;0,IF($Y142&gt;0,"JLR machine "&amp;$O142&amp;" at "&amp;TEXT($X142,"0.00")&amp;" per hr — build-up as supplied","JLR machine "&amp;$O142&amp;" at "&amp;TEXT($X142,"0.00")&amp;" per hr — build-up not supplied"),$AA142)</f>
        <v>UK fab shop benchmark Jun 2026. Trumpf TruBend 3100, 100T, 3000mm. CNC press brake with BendGuard safety and TASC adaptive bending for high angle accuracy.</v>
      </c>
      <c r="N142" s="33" t="s">
        <v>1380</v>
      </c>
      <c r="O142" s="37" t="str">
        <f>IFERROR(INDEX(Mapping!$C$2:$C$549,MATCH($A142,Mapping!$A$2:$A$549,0)),"")</f>
        <v/>
      </c>
      <c r="P142" s="37">
        <f>IF($O142="",0,COUNTIFS('JLR Machines'!$A$2:$A$20001,$O142,'JLR Machines'!$C$2:$C$20001,IF(Settings!$B$2="","&lt;&gt;",Settings!$B$2),'JLR Machines'!$D$2:$D$20001,IF(Settings!$B$3="","&lt;&gt;",Settings!$B$3)))</f>
        <v>0</v>
      </c>
      <c r="Q142" s="39">
        <f>IF($P142&lt;&gt;1,0,SUMIFS('JLR Machines'!$G$2:$G$20001,'JLR Machines'!$A$2:$A$20001,$O142,'JLR Machines'!$C$2:$C$20001,IF(Settings!$B$2="","&lt;&gt;",Settings!$B$2),'JLR Machines'!$D$2:$D$20001,IF(Settings!$B$3="","&lt;&gt;",Settings!$B$3)))</f>
        <v>0</v>
      </c>
      <c r="R142" s="39">
        <f>IF($P142&lt;&gt;1,0,SUMIFS('JLR Machines'!$H$2:$H$20001,'JLR Machines'!$A$2:$A$20001,$O142,'JLR Machines'!$C$2:$C$20001,IF(Settings!$B$2="","&lt;&gt;",Settings!$B$2),'JLR Machines'!$D$2:$D$20001,IF(Settings!$B$3="","&lt;&gt;",Settings!$B$3)))</f>
        <v>0</v>
      </c>
      <c r="S142" s="39">
        <f>IF($P142&lt;&gt;1,0,SUMIFS('JLR Machines'!$I$2:$I$20001,'JLR Machines'!$A$2:$A$20001,$O142,'JLR Machines'!$C$2:$C$20001,IF(Settings!$B$2="","&lt;&gt;",Settings!$B$2),'JLR Machines'!$D$2:$D$20001,IF(Settings!$B$3="","&lt;&gt;",Settings!$B$3)))</f>
        <v>0</v>
      </c>
      <c r="T142" s="39">
        <f>IF($P142&lt;&gt;1,0,SUMIFS('JLR Machines'!$J$2:$J$20001,'JLR Machines'!$A$2:$A$20001,$O142,'JLR Machines'!$C$2:$C$20001,IF(Settings!$B$2="","&lt;&gt;",Settings!$B$2),'JLR Machines'!$D$2:$D$20001,IF(Settings!$B$3="","&lt;&gt;",Settings!$B$3)))</f>
        <v>0</v>
      </c>
      <c r="U142" s="39">
        <f>IF($P142&lt;&gt;1,0,SUMIFS('JLR Machines'!$K$2:$K$20001,'JLR Machines'!$A$2:$A$20001,$O142,'JLR Machines'!$C$2:$C$20001,IF(Settings!$B$2="","&lt;&gt;",Settings!$B$2),'JLR Machines'!$D$2:$D$20001,IF(Settings!$B$3="","&lt;&gt;",Settings!$B$3)))</f>
        <v>0</v>
      </c>
      <c r="V142" s="39">
        <f>IF($P142&lt;&gt;1,0,SUMIFS('JLR Machines'!$L$2:$L$20001,'JLR Machines'!$A$2:$A$20001,$O142,'JLR Machines'!$C$2:$C$20001,IF(Settings!$B$2="","&lt;&gt;",Settings!$B$2),'JLR Machines'!$D$2:$D$20001,IF(Settings!$B$3="","&lt;&gt;",Settings!$B$3)))</f>
        <v>0</v>
      </c>
      <c r="W142" s="39">
        <f>IF($P142&lt;&gt;1,0,SUMIFS('JLR Machines'!$M$2:$M$20001,'JLR Machines'!$A$2:$A$20001,$O142,'JLR Machines'!$C$2:$C$20001,IF(Settings!$B$2="","&lt;&gt;",Settings!$B$2),'JLR Machines'!$D$2:$D$20001,IF(Settings!$B$3="","&lt;&gt;",Settings!$B$3)))</f>
        <v>0</v>
      </c>
      <c r="X142" s="39">
        <f>IF($P142&lt;&gt;1,0,SUMIFS('JLR Machines'!$N$2:$N$20001,'JLR Machines'!$A$2:$A$20001,$O142,'JLR Machines'!$C$2:$C$20001,IF(Settings!$B$2="","&lt;&gt;",Settings!$B$2),'JLR Machines'!$D$2:$D$20001,IF(Settings!$B$3="","&lt;&gt;",Settings!$B$3)))</f>
        <v>0</v>
      </c>
      <c r="Y142" s="39">
        <f>$Q142+$R142+$S142+$T142+$U142+$V142+$W142</f>
        <v>0</v>
      </c>
      <c r="Z142" s="38">
        <f>IF($X142&lt;=0,0,ROUND((D142+E142+F142+G142+H142+I142)/2625-$X142,4))</f>
        <v>0</v>
      </c>
      <c r="AA142" s="40" t="s">
        <v>2367</v>
      </c>
      <c r="AB142" s="40" t="s">
        <v>2099</v>
      </c>
    </row>
    <row r="143" spans="1:28" x14ac:dyDescent="0.25">
      <c r="A143" s="32" t="s">
        <v>1206</v>
      </c>
      <c r="B143" s="33" t="s">
        <v>2368</v>
      </c>
      <c r="C143" s="33" t="s">
        <v>1379</v>
      </c>
      <c r="D143" s="41">
        <f>IF($X143&gt;0,IF($Y143&gt;0,MAX(0,$Q143+$X143-$Y143)*2625,$X143*2625),52624)</f>
        <v>52624</v>
      </c>
      <c r="E143" s="41">
        <f>IF($X143&gt;0,IF($Y143&gt;0,$S143*2625,0),40383)</f>
        <v>40383</v>
      </c>
      <c r="F143" s="41">
        <f>IF($X143&gt;0,IF($Y143&gt;0,$V143*2625,0),17478)</f>
        <v>17478</v>
      </c>
      <c r="G143" s="41">
        <f>IF($X143&gt;0,IF($Y143&gt;0,$R143*2625,0),10096)</f>
        <v>10096</v>
      </c>
      <c r="H143" s="41">
        <f>IF($X143&gt;0,IF($Y143&gt;0,($T143+$W143)*2625,0),24172)</f>
        <v>24172</v>
      </c>
      <c r="I143" s="41">
        <f>IF($X143&gt;0,IF($Y143&gt;0,$U143*2625,0),15000)</f>
        <v>15000</v>
      </c>
      <c r="J143" s="35">
        <v>3500</v>
      </c>
      <c r="K143" s="42">
        <v>0.75</v>
      </c>
      <c r="L143" s="36" t="str">
        <f>IF($X143&gt;0,IF($P143&lt;&gt;1,$AB143,IFERROR(INDEX('JLR Machines'!$D$2:$D$20001,MATCH($O143,'JLR Machines'!$A$2:$A$20001,0)),$AB143)),$AB143)</f>
        <v>2026-09-29</v>
      </c>
      <c r="M143" s="36" t="str">
        <f>IF($X143&gt;0,IF($Y143&gt;0,"JLR machine "&amp;$O143&amp;" at "&amp;TEXT($X143,"0.00")&amp;" per hr — build-up as supplied","JLR machine "&amp;$O143&amp;" at "&amp;TEXT($X143,"0.00")&amp;" per hr — build-up not supplied"),$AA143)</f>
        <v>UK fab shop benchmark Jun 2026. LVD PPEB 135T/30, 3000mm. Electro-hydraulic CNC brake with Touch-B offline programming and angle measurement system.</v>
      </c>
      <c r="N143" s="33" t="s">
        <v>1380</v>
      </c>
      <c r="O143" s="37" t="str">
        <f>IFERROR(INDEX(Mapping!$C$2:$C$549,MATCH($A143,Mapping!$A$2:$A$549,0)),"")</f>
        <v/>
      </c>
      <c r="P143" s="37">
        <f>IF($O143="",0,COUNTIFS('JLR Machines'!$A$2:$A$20001,$O143,'JLR Machines'!$C$2:$C$20001,IF(Settings!$B$2="","&lt;&gt;",Settings!$B$2),'JLR Machines'!$D$2:$D$20001,IF(Settings!$B$3="","&lt;&gt;",Settings!$B$3)))</f>
        <v>0</v>
      </c>
      <c r="Q143" s="39">
        <f>IF($P143&lt;&gt;1,0,SUMIFS('JLR Machines'!$G$2:$G$20001,'JLR Machines'!$A$2:$A$20001,$O143,'JLR Machines'!$C$2:$C$20001,IF(Settings!$B$2="","&lt;&gt;",Settings!$B$2),'JLR Machines'!$D$2:$D$20001,IF(Settings!$B$3="","&lt;&gt;",Settings!$B$3)))</f>
        <v>0</v>
      </c>
      <c r="R143" s="39">
        <f>IF($P143&lt;&gt;1,0,SUMIFS('JLR Machines'!$H$2:$H$20001,'JLR Machines'!$A$2:$A$20001,$O143,'JLR Machines'!$C$2:$C$20001,IF(Settings!$B$2="","&lt;&gt;",Settings!$B$2),'JLR Machines'!$D$2:$D$20001,IF(Settings!$B$3="","&lt;&gt;",Settings!$B$3)))</f>
        <v>0</v>
      </c>
      <c r="S143" s="39">
        <f>IF($P143&lt;&gt;1,0,SUMIFS('JLR Machines'!$I$2:$I$20001,'JLR Machines'!$A$2:$A$20001,$O143,'JLR Machines'!$C$2:$C$20001,IF(Settings!$B$2="","&lt;&gt;",Settings!$B$2),'JLR Machines'!$D$2:$D$20001,IF(Settings!$B$3="","&lt;&gt;",Settings!$B$3)))</f>
        <v>0</v>
      </c>
      <c r="T143" s="39">
        <f>IF($P143&lt;&gt;1,0,SUMIFS('JLR Machines'!$J$2:$J$20001,'JLR Machines'!$A$2:$A$20001,$O143,'JLR Machines'!$C$2:$C$20001,IF(Settings!$B$2="","&lt;&gt;",Settings!$B$2),'JLR Machines'!$D$2:$D$20001,IF(Settings!$B$3="","&lt;&gt;",Settings!$B$3)))</f>
        <v>0</v>
      </c>
      <c r="U143" s="39">
        <f>IF($P143&lt;&gt;1,0,SUMIFS('JLR Machines'!$K$2:$K$20001,'JLR Machines'!$A$2:$A$20001,$O143,'JLR Machines'!$C$2:$C$20001,IF(Settings!$B$2="","&lt;&gt;",Settings!$B$2),'JLR Machines'!$D$2:$D$20001,IF(Settings!$B$3="","&lt;&gt;",Settings!$B$3)))</f>
        <v>0</v>
      </c>
      <c r="V143" s="39">
        <f>IF($P143&lt;&gt;1,0,SUMIFS('JLR Machines'!$L$2:$L$20001,'JLR Machines'!$A$2:$A$20001,$O143,'JLR Machines'!$C$2:$C$20001,IF(Settings!$B$2="","&lt;&gt;",Settings!$B$2),'JLR Machines'!$D$2:$D$20001,IF(Settings!$B$3="","&lt;&gt;",Settings!$B$3)))</f>
        <v>0</v>
      </c>
      <c r="W143" s="39">
        <f>IF($P143&lt;&gt;1,0,SUMIFS('JLR Machines'!$M$2:$M$20001,'JLR Machines'!$A$2:$A$20001,$O143,'JLR Machines'!$C$2:$C$20001,IF(Settings!$B$2="","&lt;&gt;",Settings!$B$2),'JLR Machines'!$D$2:$D$20001,IF(Settings!$B$3="","&lt;&gt;",Settings!$B$3)))</f>
        <v>0</v>
      </c>
      <c r="X143" s="39">
        <f>IF($P143&lt;&gt;1,0,SUMIFS('JLR Machines'!$N$2:$N$20001,'JLR Machines'!$A$2:$A$20001,$O143,'JLR Machines'!$C$2:$C$20001,IF(Settings!$B$2="","&lt;&gt;",Settings!$B$2),'JLR Machines'!$D$2:$D$20001,IF(Settings!$B$3="","&lt;&gt;",Settings!$B$3)))</f>
        <v>0</v>
      </c>
      <c r="Y143" s="39">
        <f>$Q143+$R143+$S143+$T143+$U143+$V143+$W143</f>
        <v>0</v>
      </c>
      <c r="Z143" s="38">
        <f>IF($X143&lt;=0,0,ROUND((D143+E143+F143+G143+H143+I143)/2625-$X143,4))</f>
        <v>0</v>
      </c>
      <c r="AA143" s="40" t="s">
        <v>2369</v>
      </c>
      <c r="AB143" s="40" t="s">
        <v>2099</v>
      </c>
    </row>
    <row r="144" spans="1:28" x14ac:dyDescent="0.25">
      <c r="A144" s="32" t="s">
        <v>1208</v>
      </c>
      <c r="B144" s="33" t="s">
        <v>2370</v>
      </c>
      <c r="C144" s="33" t="s">
        <v>1379</v>
      </c>
      <c r="D144" s="41">
        <f>IF($X144&gt;0,IF($Y144&gt;0,MAX(0,$Q144+$X144-$Y144)*3200,$X144*3200),6072)</f>
        <v>6072</v>
      </c>
      <c r="E144" s="41">
        <f>IF($X144&gt;0,IF($Y144&gt;0,$S144*3200,0),3029)</f>
        <v>3029</v>
      </c>
      <c r="F144" s="41">
        <f>IF($X144&gt;0,IF($Y144&gt;0,$V144*3200,0),5826)</f>
        <v>5826</v>
      </c>
      <c r="G144" s="41">
        <f>IF($X144&gt;0,IF($Y144&gt;0,$R144*3200,0),4038)</f>
        <v>4038</v>
      </c>
      <c r="H144" s="41">
        <f>IF($X144&gt;0,IF($Y144&gt;0,($T144+$W144)*3200,0),3022)</f>
        <v>3022</v>
      </c>
      <c r="I144" s="41">
        <f>IF($X144&gt;0,IF($Y144&gt;0,$U144*3200,0),1000)</f>
        <v>1000</v>
      </c>
      <c r="J144" s="35">
        <v>4000</v>
      </c>
      <c r="K144" s="42">
        <v>0.8</v>
      </c>
      <c r="L144" s="36" t="str">
        <f>IF($X144&gt;0,IF($P144&lt;&gt;1,$AB144,IFERROR(INDEX('JLR Machines'!$D$2:$D$20001,MATCH($O144,'JLR Machines'!$A$2:$A$20001,0)),$AB144)),$AB144)</f>
        <v>2026-09-29</v>
      </c>
      <c r="M144" s="36" t="str">
        <f>IF($X144&gt;0,IF($Y144&gt;0,"JLR machine "&amp;$O144&amp;" at "&amp;TEXT($X144,"0.00")&amp;" per hr — build-up as supplied","JLR machine "&amp;$O144&amp;" at "&amp;TEXT($X144,"0.00")&amp;" per hr — build-up not supplied"),$AA144)</f>
        <v>UK fab shop benchmark Jun 2026. Pedestal spot welder, 100kVA, programmable pressure/time/current. Manual C-gun also available. For body panel tack welding and structural joins.</v>
      </c>
      <c r="N144" s="33" t="s">
        <v>1380</v>
      </c>
      <c r="O144" s="37" t="str">
        <f>IFERROR(INDEX(Mapping!$C$2:$C$549,MATCH($A144,Mapping!$A$2:$A$549,0)),"")</f>
        <v/>
      </c>
      <c r="P144" s="37">
        <f>IF($O144="",0,COUNTIFS('JLR Machines'!$A$2:$A$20001,$O144,'JLR Machines'!$C$2:$C$20001,IF(Settings!$B$2="","&lt;&gt;",Settings!$B$2),'JLR Machines'!$D$2:$D$20001,IF(Settings!$B$3="","&lt;&gt;",Settings!$B$3)))</f>
        <v>0</v>
      </c>
      <c r="Q144" s="39">
        <f>IF($P144&lt;&gt;1,0,SUMIFS('JLR Machines'!$G$2:$G$20001,'JLR Machines'!$A$2:$A$20001,$O144,'JLR Machines'!$C$2:$C$20001,IF(Settings!$B$2="","&lt;&gt;",Settings!$B$2),'JLR Machines'!$D$2:$D$20001,IF(Settings!$B$3="","&lt;&gt;",Settings!$B$3)))</f>
        <v>0</v>
      </c>
      <c r="R144" s="39">
        <f>IF($P144&lt;&gt;1,0,SUMIFS('JLR Machines'!$H$2:$H$20001,'JLR Machines'!$A$2:$A$20001,$O144,'JLR Machines'!$C$2:$C$20001,IF(Settings!$B$2="","&lt;&gt;",Settings!$B$2),'JLR Machines'!$D$2:$D$20001,IF(Settings!$B$3="","&lt;&gt;",Settings!$B$3)))</f>
        <v>0</v>
      </c>
      <c r="S144" s="39">
        <f>IF($P144&lt;&gt;1,0,SUMIFS('JLR Machines'!$I$2:$I$20001,'JLR Machines'!$A$2:$A$20001,$O144,'JLR Machines'!$C$2:$C$20001,IF(Settings!$B$2="","&lt;&gt;",Settings!$B$2),'JLR Machines'!$D$2:$D$20001,IF(Settings!$B$3="","&lt;&gt;",Settings!$B$3)))</f>
        <v>0</v>
      </c>
      <c r="T144" s="39">
        <f>IF($P144&lt;&gt;1,0,SUMIFS('JLR Machines'!$J$2:$J$20001,'JLR Machines'!$A$2:$A$20001,$O144,'JLR Machines'!$C$2:$C$20001,IF(Settings!$B$2="","&lt;&gt;",Settings!$B$2),'JLR Machines'!$D$2:$D$20001,IF(Settings!$B$3="","&lt;&gt;",Settings!$B$3)))</f>
        <v>0</v>
      </c>
      <c r="U144" s="39">
        <f>IF($P144&lt;&gt;1,0,SUMIFS('JLR Machines'!$K$2:$K$20001,'JLR Machines'!$A$2:$A$20001,$O144,'JLR Machines'!$C$2:$C$20001,IF(Settings!$B$2="","&lt;&gt;",Settings!$B$2),'JLR Machines'!$D$2:$D$20001,IF(Settings!$B$3="","&lt;&gt;",Settings!$B$3)))</f>
        <v>0</v>
      </c>
      <c r="V144" s="39">
        <f>IF($P144&lt;&gt;1,0,SUMIFS('JLR Machines'!$L$2:$L$20001,'JLR Machines'!$A$2:$A$20001,$O144,'JLR Machines'!$C$2:$C$20001,IF(Settings!$B$2="","&lt;&gt;",Settings!$B$2),'JLR Machines'!$D$2:$D$20001,IF(Settings!$B$3="","&lt;&gt;",Settings!$B$3)))</f>
        <v>0</v>
      </c>
      <c r="W144" s="39">
        <f>IF($P144&lt;&gt;1,0,SUMIFS('JLR Machines'!$M$2:$M$20001,'JLR Machines'!$A$2:$A$20001,$O144,'JLR Machines'!$C$2:$C$20001,IF(Settings!$B$2="","&lt;&gt;",Settings!$B$2),'JLR Machines'!$D$2:$D$20001,IF(Settings!$B$3="","&lt;&gt;",Settings!$B$3)))</f>
        <v>0</v>
      </c>
      <c r="X144" s="39">
        <f>IF($P144&lt;&gt;1,0,SUMIFS('JLR Machines'!$N$2:$N$20001,'JLR Machines'!$A$2:$A$20001,$O144,'JLR Machines'!$C$2:$C$20001,IF(Settings!$B$2="","&lt;&gt;",Settings!$B$2),'JLR Machines'!$D$2:$D$20001,IF(Settings!$B$3="","&lt;&gt;",Settings!$B$3)))</f>
        <v>0</v>
      </c>
      <c r="Y144" s="39">
        <f>$Q144+$R144+$S144+$T144+$U144+$V144+$W144</f>
        <v>0</v>
      </c>
      <c r="Z144" s="38">
        <f>IF($X144&lt;=0,0,ROUND((D144+E144+F144+G144+H144+I144)/3200-$X144,4))</f>
        <v>0</v>
      </c>
      <c r="AA144" s="40" t="s">
        <v>2371</v>
      </c>
      <c r="AB144" s="40" t="s">
        <v>2099</v>
      </c>
    </row>
    <row r="145" spans="1:28" x14ac:dyDescent="0.25">
      <c r="A145" s="32" t="s">
        <v>1210</v>
      </c>
      <c r="B145" s="33" t="s">
        <v>2372</v>
      </c>
      <c r="C145" s="33" t="s">
        <v>1379</v>
      </c>
      <c r="D145" s="41">
        <f>IF($X145&gt;0,IF($Y145&gt;0,MAX(0,$Q145+$X145-$Y145)*3280,$X145*3280),75900)</f>
        <v>75900</v>
      </c>
      <c r="E145" s="41">
        <f>IF($X145&gt;0,IF($Y145&gt;0,$S145*3280,0),40383)</f>
        <v>40383</v>
      </c>
      <c r="F145" s="41">
        <f>IF($X145&gt;0,IF($Y145&gt;0,$V145*3280,0),23304)</f>
        <v>23304</v>
      </c>
      <c r="G145" s="41">
        <f>IF($X145&gt;0,IF($Y145&gt;0,$R145*3280,0),12115)</f>
        <v>12115</v>
      </c>
      <c r="H145" s="41">
        <f>IF($X145&gt;0,IF($Y145&gt;0,($T145+$W145)*3280,0),45323)</f>
        <v>45323</v>
      </c>
      <c r="I145" s="41">
        <f>IF($X145&gt;0,IF($Y145&gt;0,$U145*3280,0),30000)</f>
        <v>30000</v>
      </c>
      <c r="J145" s="35">
        <v>4000</v>
      </c>
      <c r="K145" s="42">
        <v>0.82</v>
      </c>
      <c r="L145" s="36" t="str">
        <f>IF($X145&gt;0,IF($P145&lt;&gt;1,$AB145,IFERROR(INDEX('JLR Machines'!$D$2:$D$20001,MATCH($O145,'JLR Machines'!$A$2:$A$20001,0)),$AB145)),$AB145)</f>
        <v>2026-09-29</v>
      </c>
      <c r="M145" s="36" t="str">
        <f>IF($X145&gt;0,IF($Y145&gt;0,"JLR machine "&amp;$O145&amp;" at "&amp;TEXT($X145,"0.00")&amp;" per hr — build-up as supplied","JLR machine "&amp;$O145&amp;" at "&amp;TEXT($X145,"0.00")&amp;" per hr — build-up not supplied"),$AA145)</f>
        <v>UK fab shop benchmark Jun 2026. 6-axis robot MIG cell (Fanuc/KUKA), dual-station fixture, arc-sensing seam tracking. Deposition speed 0.5–1.2 m/min. For high-volume structural welding.</v>
      </c>
      <c r="N145" s="33" t="s">
        <v>1380</v>
      </c>
      <c r="O145" s="37" t="str">
        <f>IFERROR(INDEX(Mapping!$C$2:$C$549,MATCH($A145,Mapping!$A$2:$A$549,0)),"")</f>
        <v/>
      </c>
      <c r="P145" s="37">
        <f>IF($O145="",0,COUNTIFS('JLR Machines'!$A$2:$A$20001,$O145,'JLR Machines'!$C$2:$C$20001,IF(Settings!$B$2="","&lt;&gt;",Settings!$B$2),'JLR Machines'!$D$2:$D$20001,IF(Settings!$B$3="","&lt;&gt;",Settings!$B$3)))</f>
        <v>0</v>
      </c>
      <c r="Q145" s="39">
        <f>IF($P145&lt;&gt;1,0,SUMIFS('JLR Machines'!$G$2:$G$20001,'JLR Machines'!$A$2:$A$20001,$O145,'JLR Machines'!$C$2:$C$20001,IF(Settings!$B$2="","&lt;&gt;",Settings!$B$2),'JLR Machines'!$D$2:$D$20001,IF(Settings!$B$3="","&lt;&gt;",Settings!$B$3)))</f>
        <v>0</v>
      </c>
      <c r="R145" s="39">
        <f>IF($P145&lt;&gt;1,0,SUMIFS('JLR Machines'!$H$2:$H$20001,'JLR Machines'!$A$2:$A$20001,$O145,'JLR Machines'!$C$2:$C$20001,IF(Settings!$B$2="","&lt;&gt;",Settings!$B$2),'JLR Machines'!$D$2:$D$20001,IF(Settings!$B$3="","&lt;&gt;",Settings!$B$3)))</f>
        <v>0</v>
      </c>
      <c r="S145" s="39">
        <f>IF($P145&lt;&gt;1,0,SUMIFS('JLR Machines'!$I$2:$I$20001,'JLR Machines'!$A$2:$A$20001,$O145,'JLR Machines'!$C$2:$C$20001,IF(Settings!$B$2="","&lt;&gt;",Settings!$B$2),'JLR Machines'!$D$2:$D$20001,IF(Settings!$B$3="","&lt;&gt;",Settings!$B$3)))</f>
        <v>0</v>
      </c>
      <c r="T145" s="39">
        <f>IF($P145&lt;&gt;1,0,SUMIFS('JLR Machines'!$J$2:$J$20001,'JLR Machines'!$A$2:$A$20001,$O145,'JLR Machines'!$C$2:$C$20001,IF(Settings!$B$2="","&lt;&gt;",Settings!$B$2),'JLR Machines'!$D$2:$D$20001,IF(Settings!$B$3="","&lt;&gt;",Settings!$B$3)))</f>
        <v>0</v>
      </c>
      <c r="U145" s="39">
        <f>IF($P145&lt;&gt;1,0,SUMIFS('JLR Machines'!$K$2:$K$20001,'JLR Machines'!$A$2:$A$20001,$O145,'JLR Machines'!$C$2:$C$20001,IF(Settings!$B$2="","&lt;&gt;",Settings!$B$2),'JLR Machines'!$D$2:$D$20001,IF(Settings!$B$3="","&lt;&gt;",Settings!$B$3)))</f>
        <v>0</v>
      </c>
      <c r="V145" s="39">
        <f>IF($P145&lt;&gt;1,0,SUMIFS('JLR Machines'!$L$2:$L$20001,'JLR Machines'!$A$2:$A$20001,$O145,'JLR Machines'!$C$2:$C$20001,IF(Settings!$B$2="","&lt;&gt;",Settings!$B$2),'JLR Machines'!$D$2:$D$20001,IF(Settings!$B$3="","&lt;&gt;",Settings!$B$3)))</f>
        <v>0</v>
      </c>
      <c r="W145" s="39">
        <f>IF($P145&lt;&gt;1,0,SUMIFS('JLR Machines'!$M$2:$M$20001,'JLR Machines'!$A$2:$A$20001,$O145,'JLR Machines'!$C$2:$C$20001,IF(Settings!$B$2="","&lt;&gt;",Settings!$B$2),'JLR Machines'!$D$2:$D$20001,IF(Settings!$B$3="","&lt;&gt;",Settings!$B$3)))</f>
        <v>0</v>
      </c>
      <c r="X145" s="39">
        <f>IF($P145&lt;&gt;1,0,SUMIFS('JLR Machines'!$N$2:$N$20001,'JLR Machines'!$A$2:$A$20001,$O145,'JLR Machines'!$C$2:$C$20001,IF(Settings!$B$2="","&lt;&gt;",Settings!$B$2),'JLR Machines'!$D$2:$D$20001,IF(Settings!$B$3="","&lt;&gt;",Settings!$B$3)))</f>
        <v>0</v>
      </c>
      <c r="Y145" s="39">
        <f>$Q145+$R145+$S145+$T145+$U145+$V145+$W145</f>
        <v>0</v>
      </c>
      <c r="Z145" s="38">
        <f>IF($X145&lt;=0,0,ROUND((D145+E145+F145+G145+H145+I145)/3280-$X145,4))</f>
        <v>0</v>
      </c>
      <c r="AA145" s="40" t="s">
        <v>2373</v>
      </c>
      <c r="AB145" s="40" t="s">
        <v>2099</v>
      </c>
    </row>
    <row r="146" spans="1:28" x14ac:dyDescent="0.25">
      <c r="A146" s="32" t="s">
        <v>1212</v>
      </c>
      <c r="B146" s="33" t="s">
        <v>2374</v>
      </c>
      <c r="C146" s="33" t="s">
        <v>1379</v>
      </c>
      <c r="D146" s="41">
        <f>IF($X146&gt;0,IF($Y146&gt;0,MAX(0,$Q146+$X146-$Y146)*2800,$X146*2800),18216)</f>
        <v>18216</v>
      </c>
      <c r="E146" s="41">
        <f>IF($X146&gt;0,IF($Y146&gt;0,$S146*2800,0),8077)</f>
        <v>8077</v>
      </c>
      <c r="F146" s="41">
        <f>IF($X146&gt;0,IF($Y146&gt;0,$V146*2800,0),11652)</f>
        <v>11652</v>
      </c>
      <c r="G146" s="41">
        <f>IF($X146&gt;0,IF($Y146&gt;0,$R146*2800,0),5048)</f>
        <v>5048</v>
      </c>
      <c r="H146" s="41">
        <f>IF($X146&gt;0,IF($Y146&gt;0,($T146+$W146)*2800,0),4029)</f>
        <v>4029</v>
      </c>
      <c r="I146" s="41">
        <f>IF($X146&gt;0,IF($Y146&gt;0,$U146*2800,0),2250)</f>
        <v>2250</v>
      </c>
      <c r="J146" s="35">
        <v>3500</v>
      </c>
      <c r="K146" s="42">
        <v>0.8</v>
      </c>
      <c r="L146" s="36" t="str">
        <f>IF($X146&gt;0,IF($P146&lt;&gt;1,$AB146,IFERROR(INDEX('JLR Machines'!$D$2:$D$20001,MATCH($O146,'JLR Machines'!$A$2:$A$20001,0)),$AB146)),$AB146)</f>
        <v>2026-09-29</v>
      </c>
      <c r="M146" s="36" t="str">
        <f>IF($X146&gt;0,IF($Y146&gt;0,"JLR machine "&amp;$O146&amp;" at "&amp;TEXT($X146,"0.00")&amp;" per hr — build-up as supplied","JLR machine "&amp;$O146&amp;" at "&amp;TEXT($X146,"0.00")&amp;" per hr — build-up not supplied"),$AA146)</f>
        <v>UK rubber moulding benchmark Jun 2026. 250T compression press — EPDM/NR/NBR gaskets, mounts.</v>
      </c>
      <c r="N146" s="33" t="s">
        <v>1380</v>
      </c>
      <c r="O146" s="37" t="str">
        <f>IFERROR(INDEX(Mapping!$C$2:$C$549,MATCH($A146,Mapping!$A$2:$A$549,0)),"")</f>
        <v/>
      </c>
      <c r="P146" s="37">
        <f>IF($O146="",0,COUNTIFS('JLR Machines'!$A$2:$A$20001,$O146,'JLR Machines'!$C$2:$C$20001,IF(Settings!$B$2="","&lt;&gt;",Settings!$B$2),'JLR Machines'!$D$2:$D$20001,IF(Settings!$B$3="","&lt;&gt;",Settings!$B$3)))</f>
        <v>0</v>
      </c>
      <c r="Q146" s="39">
        <f>IF($P146&lt;&gt;1,0,SUMIFS('JLR Machines'!$G$2:$G$20001,'JLR Machines'!$A$2:$A$20001,$O146,'JLR Machines'!$C$2:$C$20001,IF(Settings!$B$2="","&lt;&gt;",Settings!$B$2),'JLR Machines'!$D$2:$D$20001,IF(Settings!$B$3="","&lt;&gt;",Settings!$B$3)))</f>
        <v>0</v>
      </c>
      <c r="R146" s="39">
        <f>IF($P146&lt;&gt;1,0,SUMIFS('JLR Machines'!$H$2:$H$20001,'JLR Machines'!$A$2:$A$20001,$O146,'JLR Machines'!$C$2:$C$20001,IF(Settings!$B$2="","&lt;&gt;",Settings!$B$2),'JLR Machines'!$D$2:$D$20001,IF(Settings!$B$3="","&lt;&gt;",Settings!$B$3)))</f>
        <v>0</v>
      </c>
      <c r="S146" s="39">
        <f>IF($P146&lt;&gt;1,0,SUMIFS('JLR Machines'!$I$2:$I$20001,'JLR Machines'!$A$2:$A$20001,$O146,'JLR Machines'!$C$2:$C$20001,IF(Settings!$B$2="","&lt;&gt;",Settings!$B$2),'JLR Machines'!$D$2:$D$20001,IF(Settings!$B$3="","&lt;&gt;",Settings!$B$3)))</f>
        <v>0</v>
      </c>
      <c r="T146" s="39">
        <f>IF($P146&lt;&gt;1,0,SUMIFS('JLR Machines'!$J$2:$J$20001,'JLR Machines'!$A$2:$A$20001,$O146,'JLR Machines'!$C$2:$C$20001,IF(Settings!$B$2="","&lt;&gt;",Settings!$B$2),'JLR Machines'!$D$2:$D$20001,IF(Settings!$B$3="","&lt;&gt;",Settings!$B$3)))</f>
        <v>0</v>
      </c>
      <c r="U146" s="39">
        <f>IF($P146&lt;&gt;1,0,SUMIFS('JLR Machines'!$K$2:$K$20001,'JLR Machines'!$A$2:$A$20001,$O146,'JLR Machines'!$C$2:$C$20001,IF(Settings!$B$2="","&lt;&gt;",Settings!$B$2),'JLR Machines'!$D$2:$D$20001,IF(Settings!$B$3="","&lt;&gt;",Settings!$B$3)))</f>
        <v>0</v>
      </c>
      <c r="V146" s="39">
        <f>IF($P146&lt;&gt;1,0,SUMIFS('JLR Machines'!$L$2:$L$20001,'JLR Machines'!$A$2:$A$20001,$O146,'JLR Machines'!$C$2:$C$20001,IF(Settings!$B$2="","&lt;&gt;",Settings!$B$2),'JLR Machines'!$D$2:$D$20001,IF(Settings!$B$3="","&lt;&gt;",Settings!$B$3)))</f>
        <v>0</v>
      </c>
      <c r="W146" s="39">
        <f>IF($P146&lt;&gt;1,0,SUMIFS('JLR Machines'!$M$2:$M$20001,'JLR Machines'!$A$2:$A$20001,$O146,'JLR Machines'!$C$2:$C$20001,IF(Settings!$B$2="","&lt;&gt;",Settings!$B$2),'JLR Machines'!$D$2:$D$20001,IF(Settings!$B$3="","&lt;&gt;",Settings!$B$3)))</f>
        <v>0</v>
      </c>
      <c r="X146" s="39">
        <f>IF($P146&lt;&gt;1,0,SUMIFS('JLR Machines'!$N$2:$N$20001,'JLR Machines'!$A$2:$A$20001,$O146,'JLR Machines'!$C$2:$C$20001,IF(Settings!$B$2="","&lt;&gt;",Settings!$B$2),'JLR Machines'!$D$2:$D$20001,IF(Settings!$B$3="","&lt;&gt;",Settings!$B$3)))</f>
        <v>0</v>
      </c>
      <c r="Y146" s="39">
        <f>$Q146+$R146+$S146+$T146+$U146+$V146+$W146</f>
        <v>0</v>
      </c>
      <c r="Z146" s="38">
        <f>IF($X146&lt;=0,0,ROUND((D146+E146+F146+G146+H146+I146)/2800-$X146,4))</f>
        <v>0</v>
      </c>
      <c r="AA146" s="40" t="s">
        <v>2375</v>
      </c>
      <c r="AB146" s="40" t="s">
        <v>2099</v>
      </c>
    </row>
    <row r="147" spans="1:28" x14ac:dyDescent="0.25">
      <c r="A147" s="32" t="s">
        <v>1214</v>
      </c>
      <c r="B147" s="33" t="s">
        <v>2376</v>
      </c>
      <c r="C147" s="33" t="s">
        <v>1379</v>
      </c>
      <c r="D147" s="41">
        <f>IF($X147&gt;0,IF($Y147&gt;0,MAX(0,$Q147+$X147-$Y147)*2730,$X147*2730),22264)</f>
        <v>22264</v>
      </c>
      <c r="E147" s="41">
        <f>IF($X147&gt;0,IF($Y147&gt;0,$S147*2730,0),10096)</f>
        <v>10096</v>
      </c>
      <c r="F147" s="41">
        <f>IF($X147&gt;0,IF($Y147&gt;0,$V147*2730,0),13983)</f>
        <v>13983</v>
      </c>
      <c r="G147" s="41">
        <f>IF($X147&gt;0,IF($Y147&gt;0,$R147*2730,0),6058)</f>
        <v>6058</v>
      </c>
      <c r="H147" s="41">
        <f>IF($X147&gt;0,IF($Y147&gt;0,($T147+$W147)*2730,0),5036)</f>
        <v>5036</v>
      </c>
      <c r="I147" s="41">
        <f>IF($X147&gt;0,IF($Y147&gt;0,$U147*2730,0),2750)</f>
        <v>2750</v>
      </c>
      <c r="J147" s="35">
        <v>3500</v>
      </c>
      <c r="K147" s="42">
        <v>0.78</v>
      </c>
      <c r="L147" s="36" t="str">
        <f>IF($X147&gt;0,IF($P147&lt;&gt;1,$AB147,IFERROR(INDEX('JLR Machines'!$D$2:$D$20001,MATCH($O147,'JLR Machines'!$A$2:$A$20001,0)),$AB147)),$AB147)</f>
        <v>2026-09-29</v>
      </c>
      <c r="M147" s="36" t="str">
        <f>IF($X147&gt;0,IF($Y147&gt;0,"JLR machine "&amp;$O147&amp;" at "&amp;TEXT($X147,"0.00")&amp;" per hr — build-up as supplied","JLR machine "&amp;$O147&amp;" at "&amp;TEXT($X147,"0.00")&amp;" per hr — build-up not supplied"),$AA147)</f>
        <v>UK rubber moulding benchmark Jun 2026. 200T transfer press — bonded rubber-metal parts, complex geometry.</v>
      </c>
      <c r="N147" s="33" t="s">
        <v>1380</v>
      </c>
      <c r="O147" s="37" t="str">
        <f>IFERROR(INDEX(Mapping!$C$2:$C$549,MATCH($A147,Mapping!$A$2:$A$549,0)),"")</f>
        <v/>
      </c>
      <c r="P147" s="37">
        <f>IF($O147="",0,COUNTIFS('JLR Machines'!$A$2:$A$20001,$O147,'JLR Machines'!$C$2:$C$20001,IF(Settings!$B$2="","&lt;&gt;",Settings!$B$2),'JLR Machines'!$D$2:$D$20001,IF(Settings!$B$3="","&lt;&gt;",Settings!$B$3)))</f>
        <v>0</v>
      </c>
      <c r="Q147" s="39">
        <f>IF($P147&lt;&gt;1,0,SUMIFS('JLR Machines'!$G$2:$G$20001,'JLR Machines'!$A$2:$A$20001,$O147,'JLR Machines'!$C$2:$C$20001,IF(Settings!$B$2="","&lt;&gt;",Settings!$B$2),'JLR Machines'!$D$2:$D$20001,IF(Settings!$B$3="","&lt;&gt;",Settings!$B$3)))</f>
        <v>0</v>
      </c>
      <c r="R147" s="39">
        <f>IF($P147&lt;&gt;1,0,SUMIFS('JLR Machines'!$H$2:$H$20001,'JLR Machines'!$A$2:$A$20001,$O147,'JLR Machines'!$C$2:$C$20001,IF(Settings!$B$2="","&lt;&gt;",Settings!$B$2),'JLR Machines'!$D$2:$D$20001,IF(Settings!$B$3="","&lt;&gt;",Settings!$B$3)))</f>
        <v>0</v>
      </c>
      <c r="S147" s="39">
        <f>IF($P147&lt;&gt;1,0,SUMIFS('JLR Machines'!$I$2:$I$20001,'JLR Machines'!$A$2:$A$20001,$O147,'JLR Machines'!$C$2:$C$20001,IF(Settings!$B$2="","&lt;&gt;",Settings!$B$2),'JLR Machines'!$D$2:$D$20001,IF(Settings!$B$3="","&lt;&gt;",Settings!$B$3)))</f>
        <v>0</v>
      </c>
      <c r="T147" s="39">
        <f>IF($P147&lt;&gt;1,0,SUMIFS('JLR Machines'!$J$2:$J$20001,'JLR Machines'!$A$2:$A$20001,$O147,'JLR Machines'!$C$2:$C$20001,IF(Settings!$B$2="","&lt;&gt;",Settings!$B$2),'JLR Machines'!$D$2:$D$20001,IF(Settings!$B$3="","&lt;&gt;",Settings!$B$3)))</f>
        <v>0</v>
      </c>
      <c r="U147" s="39">
        <f>IF($P147&lt;&gt;1,0,SUMIFS('JLR Machines'!$K$2:$K$20001,'JLR Machines'!$A$2:$A$20001,$O147,'JLR Machines'!$C$2:$C$20001,IF(Settings!$B$2="","&lt;&gt;",Settings!$B$2),'JLR Machines'!$D$2:$D$20001,IF(Settings!$B$3="","&lt;&gt;",Settings!$B$3)))</f>
        <v>0</v>
      </c>
      <c r="V147" s="39">
        <f>IF($P147&lt;&gt;1,0,SUMIFS('JLR Machines'!$L$2:$L$20001,'JLR Machines'!$A$2:$A$20001,$O147,'JLR Machines'!$C$2:$C$20001,IF(Settings!$B$2="","&lt;&gt;",Settings!$B$2),'JLR Machines'!$D$2:$D$20001,IF(Settings!$B$3="","&lt;&gt;",Settings!$B$3)))</f>
        <v>0</v>
      </c>
      <c r="W147" s="39">
        <f>IF($P147&lt;&gt;1,0,SUMIFS('JLR Machines'!$M$2:$M$20001,'JLR Machines'!$A$2:$A$20001,$O147,'JLR Machines'!$C$2:$C$20001,IF(Settings!$B$2="","&lt;&gt;",Settings!$B$2),'JLR Machines'!$D$2:$D$20001,IF(Settings!$B$3="","&lt;&gt;",Settings!$B$3)))</f>
        <v>0</v>
      </c>
      <c r="X147" s="39">
        <f>IF($P147&lt;&gt;1,0,SUMIFS('JLR Machines'!$N$2:$N$20001,'JLR Machines'!$A$2:$A$20001,$O147,'JLR Machines'!$C$2:$C$20001,IF(Settings!$B$2="","&lt;&gt;",Settings!$B$2),'JLR Machines'!$D$2:$D$20001,IF(Settings!$B$3="","&lt;&gt;",Settings!$B$3)))</f>
        <v>0</v>
      </c>
      <c r="Y147" s="39">
        <f>$Q147+$R147+$S147+$T147+$U147+$V147+$W147</f>
        <v>0</v>
      </c>
      <c r="Z147" s="38">
        <f>IF($X147&lt;=0,0,ROUND((D147+E147+F147+G147+H147+I147)/2730-$X147,4))</f>
        <v>0</v>
      </c>
      <c r="AA147" s="40" t="s">
        <v>2377</v>
      </c>
      <c r="AB147" s="40" t="s">
        <v>2099</v>
      </c>
    </row>
    <row r="148" spans="1:28" x14ac:dyDescent="0.25">
      <c r="A148" s="32" t="s">
        <v>1216</v>
      </c>
      <c r="B148" s="33" t="s">
        <v>2378</v>
      </c>
      <c r="C148" s="33" t="s">
        <v>1379</v>
      </c>
      <c r="D148" s="41">
        <f>IF($X148&gt;0,IF($Y148&gt;0,MAX(0,$Q148+$X148-$Y148)*3200,$X148*3200),35420)</f>
        <v>35420</v>
      </c>
      <c r="E148" s="41">
        <f>IF($X148&gt;0,IF($Y148&gt;0,$S148*3200,0),14134)</f>
        <v>14134</v>
      </c>
      <c r="F148" s="41">
        <f>IF($X148&gt;0,IF($Y148&gt;0,$V148*3200,0),23304)</f>
        <v>23304</v>
      </c>
      <c r="G148" s="41">
        <f>IF($X148&gt;0,IF($Y148&gt;0,$R148*3200,0),7067)</f>
        <v>7067</v>
      </c>
      <c r="H148" s="41">
        <f>IF($X148&gt;0,IF($Y148&gt;0,($T148+$W148)*3200,0),7050)</f>
        <v>7050</v>
      </c>
      <c r="I148" s="41">
        <f>IF($X148&gt;0,IF($Y148&gt;0,$U148*3200,0),4375)</f>
        <v>4375</v>
      </c>
      <c r="J148" s="35">
        <v>4000</v>
      </c>
      <c r="K148" s="42">
        <v>0.8</v>
      </c>
      <c r="L148" s="36" t="str">
        <f>IF($X148&gt;0,IF($P148&lt;&gt;1,$AB148,IFERROR(INDEX('JLR Machines'!$D$2:$D$20001,MATCH($O148,'JLR Machines'!$A$2:$A$20001,0)),$AB148)),$AB148)</f>
        <v>2026-09-29</v>
      </c>
      <c r="M148" s="36" t="str">
        <f>IF($X148&gt;0,IF($Y148&gt;0,"JLR machine "&amp;$O148&amp;" at "&amp;TEXT($X148,"0.00")&amp;" per hr — build-up as supplied","JLR machine "&amp;$O148&amp;" at "&amp;TEXT($X148,"0.00")&amp;" per hr — build-up not supplied"),$AA148)</f>
        <v>UK silicone moulding benchmark Jun 2026. Liquid silicone rubber injection (Engel/Arburg/Sumitomo). Medical/auto seals.</v>
      </c>
      <c r="N148" s="33" t="s">
        <v>1380</v>
      </c>
      <c r="O148" s="37" t="str">
        <f>IFERROR(INDEX(Mapping!$C$2:$C$549,MATCH($A148,Mapping!$A$2:$A$549,0)),"")</f>
        <v/>
      </c>
      <c r="P148" s="37">
        <f>IF($O148="",0,COUNTIFS('JLR Machines'!$A$2:$A$20001,$O148,'JLR Machines'!$C$2:$C$20001,IF(Settings!$B$2="","&lt;&gt;",Settings!$B$2),'JLR Machines'!$D$2:$D$20001,IF(Settings!$B$3="","&lt;&gt;",Settings!$B$3)))</f>
        <v>0</v>
      </c>
      <c r="Q148" s="39">
        <f>IF($P148&lt;&gt;1,0,SUMIFS('JLR Machines'!$G$2:$G$20001,'JLR Machines'!$A$2:$A$20001,$O148,'JLR Machines'!$C$2:$C$20001,IF(Settings!$B$2="","&lt;&gt;",Settings!$B$2),'JLR Machines'!$D$2:$D$20001,IF(Settings!$B$3="","&lt;&gt;",Settings!$B$3)))</f>
        <v>0</v>
      </c>
      <c r="R148" s="39">
        <f>IF($P148&lt;&gt;1,0,SUMIFS('JLR Machines'!$H$2:$H$20001,'JLR Machines'!$A$2:$A$20001,$O148,'JLR Machines'!$C$2:$C$20001,IF(Settings!$B$2="","&lt;&gt;",Settings!$B$2),'JLR Machines'!$D$2:$D$20001,IF(Settings!$B$3="","&lt;&gt;",Settings!$B$3)))</f>
        <v>0</v>
      </c>
      <c r="S148" s="39">
        <f>IF($P148&lt;&gt;1,0,SUMIFS('JLR Machines'!$I$2:$I$20001,'JLR Machines'!$A$2:$A$20001,$O148,'JLR Machines'!$C$2:$C$20001,IF(Settings!$B$2="","&lt;&gt;",Settings!$B$2),'JLR Machines'!$D$2:$D$20001,IF(Settings!$B$3="","&lt;&gt;",Settings!$B$3)))</f>
        <v>0</v>
      </c>
      <c r="T148" s="39">
        <f>IF($P148&lt;&gt;1,0,SUMIFS('JLR Machines'!$J$2:$J$20001,'JLR Machines'!$A$2:$A$20001,$O148,'JLR Machines'!$C$2:$C$20001,IF(Settings!$B$2="","&lt;&gt;",Settings!$B$2),'JLR Machines'!$D$2:$D$20001,IF(Settings!$B$3="","&lt;&gt;",Settings!$B$3)))</f>
        <v>0</v>
      </c>
      <c r="U148" s="39">
        <f>IF($P148&lt;&gt;1,0,SUMIFS('JLR Machines'!$K$2:$K$20001,'JLR Machines'!$A$2:$A$20001,$O148,'JLR Machines'!$C$2:$C$20001,IF(Settings!$B$2="","&lt;&gt;",Settings!$B$2),'JLR Machines'!$D$2:$D$20001,IF(Settings!$B$3="","&lt;&gt;",Settings!$B$3)))</f>
        <v>0</v>
      </c>
      <c r="V148" s="39">
        <f>IF($P148&lt;&gt;1,0,SUMIFS('JLR Machines'!$L$2:$L$20001,'JLR Machines'!$A$2:$A$20001,$O148,'JLR Machines'!$C$2:$C$20001,IF(Settings!$B$2="","&lt;&gt;",Settings!$B$2),'JLR Machines'!$D$2:$D$20001,IF(Settings!$B$3="","&lt;&gt;",Settings!$B$3)))</f>
        <v>0</v>
      </c>
      <c r="W148" s="39">
        <f>IF($P148&lt;&gt;1,0,SUMIFS('JLR Machines'!$M$2:$M$20001,'JLR Machines'!$A$2:$A$20001,$O148,'JLR Machines'!$C$2:$C$20001,IF(Settings!$B$2="","&lt;&gt;",Settings!$B$2),'JLR Machines'!$D$2:$D$20001,IF(Settings!$B$3="","&lt;&gt;",Settings!$B$3)))</f>
        <v>0</v>
      </c>
      <c r="X148" s="39">
        <f>IF($P148&lt;&gt;1,0,SUMIFS('JLR Machines'!$N$2:$N$20001,'JLR Machines'!$A$2:$A$20001,$O148,'JLR Machines'!$C$2:$C$20001,IF(Settings!$B$2="","&lt;&gt;",Settings!$B$2),'JLR Machines'!$D$2:$D$20001,IF(Settings!$B$3="","&lt;&gt;",Settings!$B$3)))</f>
        <v>0</v>
      </c>
      <c r="Y148" s="39">
        <f>$Q148+$R148+$S148+$T148+$U148+$V148+$W148</f>
        <v>0</v>
      </c>
      <c r="Z148" s="38">
        <f>IF($X148&lt;=0,0,ROUND((D148+E148+F148+G148+H148+I148)/3200-$X148,4))</f>
        <v>0</v>
      </c>
      <c r="AA148" s="40" t="s">
        <v>2379</v>
      </c>
      <c r="AB148" s="40" t="s">
        <v>2099</v>
      </c>
    </row>
    <row r="149" spans="1:28" x14ac:dyDescent="0.25">
      <c r="A149" s="32" t="s">
        <v>1218</v>
      </c>
      <c r="B149" s="33" t="s">
        <v>2380</v>
      </c>
      <c r="C149" s="33" t="s">
        <v>1379</v>
      </c>
      <c r="D149" s="41">
        <f>IF($X149&gt;0,IF($Y149&gt;0,MAX(0,$Q149+$X149-$Y149)*4100,$X149*4100),10120)</f>
        <v>10120</v>
      </c>
      <c r="E149" s="41">
        <f>IF($X149&gt;0,IF($Y149&gt;0,$S149*4100,0),4038)</f>
        <v>4038</v>
      </c>
      <c r="F149" s="41">
        <f>IF($X149&gt;0,IF($Y149&gt;0,$V149*4100,0),29130)</f>
        <v>29130</v>
      </c>
      <c r="G149" s="41">
        <f>IF($X149&gt;0,IF($Y149&gt;0,$R149*4100,0),6058)</f>
        <v>6058</v>
      </c>
      <c r="H149" s="41">
        <f>IF($X149&gt;0,IF($Y149&gt;0,($T149+$W149)*4100,0),3022)</f>
        <v>3022</v>
      </c>
      <c r="I149" s="41">
        <f>IF($X149&gt;0,IF($Y149&gt;0,$U149*4100,0),1250)</f>
        <v>1250</v>
      </c>
      <c r="J149" s="35">
        <v>5000</v>
      </c>
      <c r="K149" s="42">
        <v>0.82</v>
      </c>
      <c r="L149" s="36" t="str">
        <f>IF($X149&gt;0,IF($P149&lt;&gt;1,$AB149,IFERROR(INDEX('JLR Machines'!$D$2:$D$20001,MATCH($O149,'JLR Machines'!$A$2:$A$20001,0)),$AB149)),$AB149)</f>
        <v>2026-09-29</v>
      </c>
      <c r="M149" s="36" t="str">
        <f>IF($X149&gt;0,IF($Y149&gt;0,"JLR machine "&amp;$O149&amp;" at "&amp;TEXT($X149,"0.00")&amp;" per hr — build-up as supplied","JLR machine "&amp;$O149&amp;" at "&amp;TEXT($X149,"0.00")&amp;" per hr — build-up not supplied"),$AA149)</f>
        <v>UK rubber benchmark Jun 2026. Salt-bath or hot-air oven for EPDM/NBR extrusion vulcanisation.</v>
      </c>
      <c r="N149" s="33" t="s">
        <v>1380</v>
      </c>
      <c r="O149" s="37" t="str">
        <f>IFERROR(INDEX(Mapping!$C$2:$C$549,MATCH($A149,Mapping!$A$2:$A$549,0)),"")</f>
        <v/>
      </c>
      <c r="P149" s="37">
        <f>IF($O149="",0,COUNTIFS('JLR Machines'!$A$2:$A$20001,$O149,'JLR Machines'!$C$2:$C$20001,IF(Settings!$B$2="","&lt;&gt;",Settings!$B$2),'JLR Machines'!$D$2:$D$20001,IF(Settings!$B$3="","&lt;&gt;",Settings!$B$3)))</f>
        <v>0</v>
      </c>
      <c r="Q149" s="39">
        <f>IF($P149&lt;&gt;1,0,SUMIFS('JLR Machines'!$G$2:$G$20001,'JLR Machines'!$A$2:$A$20001,$O149,'JLR Machines'!$C$2:$C$20001,IF(Settings!$B$2="","&lt;&gt;",Settings!$B$2),'JLR Machines'!$D$2:$D$20001,IF(Settings!$B$3="","&lt;&gt;",Settings!$B$3)))</f>
        <v>0</v>
      </c>
      <c r="R149" s="39">
        <f>IF($P149&lt;&gt;1,0,SUMIFS('JLR Machines'!$H$2:$H$20001,'JLR Machines'!$A$2:$A$20001,$O149,'JLR Machines'!$C$2:$C$20001,IF(Settings!$B$2="","&lt;&gt;",Settings!$B$2),'JLR Machines'!$D$2:$D$20001,IF(Settings!$B$3="","&lt;&gt;",Settings!$B$3)))</f>
        <v>0</v>
      </c>
      <c r="S149" s="39">
        <f>IF($P149&lt;&gt;1,0,SUMIFS('JLR Machines'!$I$2:$I$20001,'JLR Machines'!$A$2:$A$20001,$O149,'JLR Machines'!$C$2:$C$20001,IF(Settings!$B$2="","&lt;&gt;",Settings!$B$2),'JLR Machines'!$D$2:$D$20001,IF(Settings!$B$3="","&lt;&gt;",Settings!$B$3)))</f>
        <v>0</v>
      </c>
      <c r="T149" s="39">
        <f>IF($P149&lt;&gt;1,0,SUMIFS('JLR Machines'!$J$2:$J$20001,'JLR Machines'!$A$2:$A$20001,$O149,'JLR Machines'!$C$2:$C$20001,IF(Settings!$B$2="","&lt;&gt;",Settings!$B$2),'JLR Machines'!$D$2:$D$20001,IF(Settings!$B$3="","&lt;&gt;",Settings!$B$3)))</f>
        <v>0</v>
      </c>
      <c r="U149" s="39">
        <f>IF($P149&lt;&gt;1,0,SUMIFS('JLR Machines'!$K$2:$K$20001,'JLR Machines'!$A$2:$A$20001,$O149,'JLR Machines'!$C$2:$C$20001,IF(Settings!$B$2="","&lt;&gt;",Settings!$B$2),'JLR Machines'!$D$2:$D$20001,IF(Settings!$B$3="","&lt;&gt;",Settings!$B$3)))</f>
        <v>0</v>
      </c>
      <c r="V149" s="39">
        <f>IF($P149&lt;&gt;1,0,SUMIFS('JLR Machines'!$L$2:$L$20001,'JLR Machines'!$A$2:$A$20001,$O149,'JLR Machines'!$C$2:$C$20001,IF(Settings!$B$2="","&lt;&gt;",Settings!$B$2),'JLR Machines'!$D$2:$D$20001,IF(Settings!$B$3="","&lt;&gt;",Settings!$B$3)))</f>
        <v>0</v>
      </c>
      <c r="W149" s="39">
        <f>IF($P149&lt;&gt;1,0,SUMIFS('JLR Machines'!$M$2:$M$20001,'JLR Machines'!$A$2:$A$20001,$O149,'JLR Machines'!$C$2:$C$20001,IF(Settings!$B$2="","&lt;&gt;",Settings!$B$2),'JLR Machines'!$D$2:$D$20001,IF(Settings!$B$3="","&lt;&gt;",Settings!$B$3)))</f>
        <v>0</v>
      </c>
      <c r="X149" s="39">
        <f>IF($P149&lt;&gt;1,0,SUMIFS('JLR Machines'!$N$2:$N$20001,'JLR Machines'!$A$2:$A$20001,$O149,'JLR Machines'!$C$2:$C$20001,IF(Settings!$B$2="","&lt;&gt;",Settings!$B$2),'JLR Machines'!$D$2:$D$20001,IF(Settings!$B$3="","&lt;&gt;",Settings!$B$3)))</f>
        <v>0</v>
      </c>
      <c r="Y149" s="39">
        <f>$Q149+$R149+$S149+$T149+$U149+$V149+$W149</f>
        <v>0</v>
      </c>
      <c r="Z149" s="38">
        <f>IF($X149&lt;=0,0,ROUND((D149+E149+F149+G149+H149+I149)/4100-$X149,4))</f>
        <v>0</v>
      </c>
      <c r="AA149" s="40" t="s">
        <v>2381</v>
      </c>
      <c r="AB149" s="40" t="s">
        <v>2099</v>
      </c>
    </row>
    <row r="150" spans="1:28" x14ac:dyDescent="0.25">
      <c r="A150" s="32" t="s">
        <v>1220</v>
      </c>
      <c r="B150" s="33" t="s">
        <v>2382</v>
      </c>
      <c r="C150" s="33" t="s">
        <v>1379</v>
      </c>
      <c r="D150" s="41">
        <f>IF($X150&gt;0,IF($Y150&gt;0,MAX(0,$Q150+$X150-$Y150)*4000,$X150*4000),15180)</f>
        <v>15180</v>
      </c>
      <c r="E150" s="41">
        <f>IF($X150&gt;0,IF($Y150&gt;0,$S150*4000,0),6058)</f>
        <v>6058</v>
      </c>
      <c r="F150" s="41">
        <f>IF($X150&gt;0,IF($Y150&gt;0,$V150*4000,0),20974)</f>
        <v>20974</v>
      </c>
      <c r="G150" s="41">
        <f>IF($X150&gt;0,IF($Y150&gt;0,$R150*4000,0),4038)</f>
        <v>4038</v>
      </c>
      <c r="H150" s="41">
        <f>IF($X150&gt;0,IF($Y150&gt;0,($T150+$W150)*4000,0),3525)</f>
        <v>3525</v>
      </c>
      <c r="I150" s="41">
        <f>IF($X150&gt;0,IF($Y150&gt;0,$U150*4000,0),1875)</f>
        <v>1875</v>
      </c>
      <c r="J150" s="35">
        <v>5000</v>
      </c>
      <c r="K150" s="42">
        <v>0.8</v>
      </c>
      <c r="L150" s="36" t="str">
        <f>IF($X150&gt;0,IF($P150&lt;&gt;1,$AB150,IFERROR(INDEX('JLR Machines'!$D$2:$D$20001,MATCH($O150,'JLR Machines'!$A$2:$A$20001,0)),$AB150)),$AB150)</f>
        <v>2026-09-29</v>
      </c>
      <c r="M150" s="36" t="str">
        <f>IF($X150&gt;0,IF($Y150&gt;0,"JLR machine "&amp;$O150&amp;" at "&amp;TEXT($X150,"0.00")&amp;" per hr — build-up as supplied","JLR machine "&amp;$O150&amp;" at "&amp;TEXT($X150,"0.00")&amp;" per hr — build-up not supplied"),$AA150)</f>
        <v>UK rubber benchmark Jun 2026. 60mm cold-feed rubber extruder — EPDM seals, hose profiles.</v>
      </c>
      <c r="N150" s="33" t="s">
        <v>1380</v>
      </c>
      <c r="O150" s="37" t="str">
        <f>IFERROR(INDEX(Mapping!$C$2:$C$549,MATCH($A150,Mapping!$A$2:$A$549,0)),"")</f>
        <v/>
      </c>
      <c r="P150" s="37">
        <f>IF($O150="",0,COUNTIFS('JLR Machines'!$A$2:$A$20001,$O150,'JLR Machines'!$C$2:$C$20001,IF(Settings!$B$2="","&lt;&gt;",Settings!$B$2),'JLR Machines'!$D$2:$D$20001,IF(Settings!$B$3="","&lt;&gt;",Settings!$B$3)))</f>
        <v>0</v>
      </c>
      <c r="Q150" s="39">
        <f>IF($P150&lt;&gt;1,0,SUMIFS('JLR Machines'!$G$2:$G$20001,'JLR Machines'!$A$2:$A$20001,$O150,'JLR Machines'!$C$2:$C$20001,IF(Settings!$B$2="","&lt;&gt;",Settings!$B$2),'JLR Machines'!$D$2:$D$20001,IF(Settings!$B$3="","&lt;&gt;",Settings!$B$3)))</f>
        <v>0</v>
      </c>
      <c r="R150" s="39">
        <f>IF($P150&lt;&gt;1,0,SUMIFS('JLR Machines'!$H$2:$H$20001,'JLR Machines'!$A$2:$A$20001,$O150,'JLR Machines'!$C$2:$C$20001,IF(Settings!$B$2="","&lt;&gt;",Settings!$B$2),'JLR Machines'!$D$2:$D$20001,IF(Settings!$B$3="","&lt;&gt;",Settings!$B$3)))</f>
        <v>0</v>
      </c>
      <c r="S150" s="39">
        <f>IF($P150&lt;&gt;1,0,SUMIFS('JLR Machines'!$I$2:$I$20001,'JLR Machines'!$A$2:$A$20001,$O150,'JLR Machines'!$C$2:$C$20001,IF(Settings!$B$2="","&lt;&gt;",Settings!$B$2),'JLR Machines'!$D$2:$D$20001,IF(Settings!$B$3="","&lt;&gt;",Settings!$B$3)))</f>
        <v>0</v>
      </c>
      <c r="T150" s="39">
        <f>IF($P150&lt;&gt;1,0,SUMIFS('JLR Machines'!$J$2:$J$20001,'JLR Machines'!$A$2:$A$20001,$O150,'JLR Machines'!$C$2:$C$20001,IF(Settings!$B$2="","&lt;&gt;",Settings!$B$2),'JLR Machines'!$D$2:$D$20001,IF(Settings!$B$3="","&lt;&gt;",Settings!$B$3)))</f>
        <v>0</v>
      </c>
      <c r="U150" s="39">
        <f>IF($P150&lt;&gt;1,0,SUMIFS('JLR Machines'!$K$2:$K$20001,'JLR Machines'!$A$2:$A$20001,$O150,'JLR Machines'!$C$2:$C$20001,IF(Settings!$B$2="","&lt;&gt;",Settings!$B$2),'JLR Machines'!$D$2:$D$20001,IF(Settings!$B$3="","&lt;&gt;",Settings!$B$3)))</f>
        <v>0</v>
      </c>
      <c r="V150" s="39">
        <f>IF($P150&lt;&gt;1,0,SUMIFS('JLR Machines'!$L$2:$L$20001,'JLR Machines'!$A$2:$A$20001,$O150,'JLR Machines'!$C$2:$C$20001,IF(Settings!$B$2="","&lt;&gt;",Settings!$B$2),'JLR Machines'!$D$2:$D$20001,IF(Settings!$B$3="","&lt;&gt;",Settings!$B$3)))</f>
        <v>0</v>
      </c>
      <c r="W150" s="39">
        <f>IF($P150&lt;&gt;1,0,SUMIFS('JLR Machines'!$M$2:$M$20001,'JLR Machines'!$A$2:$A$20001,$O150,'JLR Machines'!$C$2:$C$20001,IF(Settings!$B$2="","&lt;&gt;",Settings!$B$2),'JLR Machines'!$D$2:$D$20001,IF(Settings!$B$3="","&lt;&gt;",Settings!$B$3)))</f>
        <v>0</v>
      </c>
      <c r="X150" s="39">
        <f>IF($P150&lt;&gt;1,0,SUMIFS('JLR Machines'!$N$2:$N$20001,'JLR Machines'!$A$2:$A$20001,$O150,'JLR Machines'!$C$2:$C$20001,IF(Settings!$B$2="","&lt;&gt;",Settings!$B$2),'JLR Machines'!$D$2:$D$20001,IF(Settings!$B$3="","&lt;&gt;",Settings!$B$3)))</f>
        <v>0</v>
      </c>
      <c r="Y150" s="39">
        <f>$Q150+$R150+$S150+$T150+$U150+$V150+$W150</f>
        <v>0</v>
      </c>
      <c r="Z150" s="38">
        <f>IF($X150&lt;=0,0,ROUND((D150+E150+F150+G150+H150+I150)/4000-$X150,4))</f>
        <v>0</v>
      </c>
      <c r="AA150" s="40" t="s">
        <v>2383</v>
      </c>
      <c r="AB150" s="40" t="s">
        <v>2099</v>
      </c>
    </row>
    <row r="151" spans="1:28" x14ac:dyDescent="0.25">
      <c r="A151" s="32" t="s">
        <v>1222</v>
      </c>
      <c r="B151" s="33" t="s">
        <v>2384</v>
      </c>
      <c r="C151" s="33" t="s">
        <v>1379</v>
      </c>
      <c r="D151" s="41">
        <f>IF($X151&gt;0,IF($Y151&gt;0,MAX(0,$Q151+$X151-$Y151)*3400,$X151*3400),8096)</f>
        <v>8096</v>
      </c>
      <c r="E151" s="41">
        <f>IF($X151&gt;0,IF($Y151&gt;0,$S151*3400,0),3534)</f>
        <v>3534</v>
      </c>
      <c r="F151" s="41">
        <f>IF($X151&gt;0,IF($Y151&gt;0,$V151*3400,0),5826)</f>
        <v>5826</v>
      </c>
      <c r="G151" s="41">
        <f>IF($X151&gt;0,IF($Y151&gt;0,$R151*3400,0),3029)</f>
        <v>3029</v>
      </c>
      <c r="H151" s="41">
        <f>IF($X151&gt;0,IF($Y151&gt;0,($T151+$W151)*3400,0),2014)</f>
        <v>2014</v>
      </c>
      <c r="I151" s="41">
        <f>IF($X151&gt;0,IF($Y151&gt;0,$U151*3400,0),1000)</f>
        <v>1000</v>
      </c>
      <c r="J151" s="35">
        <v>4000</v>
      </c>
      <c r="K151" s="42">
        <v>0.85</v>
      </c>
      <c r="L151" s="36" t="str">
        <f>IF($X151&gt;0,IF($P151&lt;&gt;1,$AB151,IFERROR(INDEX('JLR Machines'!$D$2:$D$20001,MATCH($O151,'JLR Machines'!$A$2:$A$20001,0)),$AB151)),$AB151)</f>
        <v>2026-09-29</v>
      </c>
      <c r="M151" s="36" t="str">
        <f>IF($X151&gt;0,IF($Y151&gt;0,"JLR machine "&amp;$O151&amp;" at "&amp;TEXT($X151,"0.00")&amp;" per hr — build-up as supplied","JLR machine "&amp;$O151&amp;" at "&amp;TEXT($X151,"0.00")&amp;" per hr — build-up not supplied"),$AA151)</f>
        <v>UK rubber benchmark Jun 2026. 20T hydraulic die-cutting press — flat gaskets, seals, strips. Blanks pre-vulcanised EPDM/SBR/NBR/CR sheet at high throughput.</v>
      </c>
      <c r="N151" s="33" t="s">
        <v>1380</v>
      </c>
      <c r="O151" s="37" t="str">
        <f>IFERROR(INDEX(Mapping!$C$2:$C$549,MATCH($A151,Mapping!$A$2:$A$549,0)),"")</f>
        <v/>
      </c>
      <c r="P151" s="37">
        <f>IF($O151="",0,COUNTIFS('JLR Machines'!$A$2:$A$20001,$O151,'JLR Machines'!$C$2:$C$20001,IF(Settings!$B$2="","&lt;&gt;",Settings!$B$2),'JLR Machines'!$D$2:$D$20001,IF(Settings!$B$3="","&lt;&gt;",Settings!$B$3)))</f>
        <v>0</v>
      </c>
      <c r="Q151" s="39">
        <f>IF($P151&lt;&gt;1,0,SUMIFS('JLR Machines'!$G$2:$G$20001,'JLR Machines'!$A$2:$A$20001,$O151,'JLR Machines'!$C$2:$C$20001,IF(Settings!$B$2="","&lt;&gt;",Settings!$B$2),'JLR Machines'!$D$2:$D$20001,IF(Settings!$B$3="","&lt;&gt;",Settings!$B$3)))</f>
        <v>0</v>
      </c>
      <c r="R151" s="39">
        <f>IF($P151&lt;&gt;1,0,SUMIFS('JLR Machines'!$H$2:$H$20001,'JLR Machines'!$A$2:$A$20001,$O151,'JLR Machines'!$C$2:$C$20001,IF(Settings!$B$2="","&lt;&gt;",Settings!$B$2),'JLR Machines'!$D$2:$D$20001,IF(Settings!$B$3="","&lt;&gt;",Settings!$B$3)))</f>
        <v>0</v>
      </c>
      <c r="S151" s="39">
        <f>IF($P151&lt;&gt;1,0,SUMIFS('JLR Machines'!$I$2:$I$20001,'JLR Machines'!$A$2:$A$20001,$O151,'JLR Machines'!$C$2:$C$20001,IF(Settings!$B$2="","&lt;&gt;",Settings!$B$2),'JLR Machines'!$D$2:$D$20001,IF(Settings!$B$3="","&lt;&gt;",Settings!$B$3)))</f>
        <v>0</v>
      </c>
      <c r="T151" s="39">
        <f>IF($P151&lt;&gt;1,0,SUMIFS('JLR Machines'!$J$2:$J$20001,'JLR Machines'!$A$2:$A$20001,$O151,'JLR Machines'!$C$2:$C$20001,IF(Settings!$B$2="","&lt;&gt;",Settings!$B$2),'JLR Machines'!$D$2:$D$20001,IF(Settings!$B$3="","&lt;&gt;",Settings!$B$3)))</f>
        <v>0</v>
      </c>
      <c r="U151" s="39">
        <f>IF($P151&lt;&gt;1,0,SUMIFS('JLR Machines'!$K$2:$K$20001,'JLR Machines'!$A$2:$A$20001,$O151,'JLR Machines'!$C$2:$C$20001,IF(Settings!$B$2="","&lt;&gt;",Settings!$B$2),'JLR Machines'!$D$2:$D$20001,IF(Settings!$B$3="","&lt;&gt;",Settings!$B$3)))</f>
        <v>0</v>
      </c>
      <c r="V151" s="39">
        <f>IF($P151&lt;&gt;1,0,SUMIFS('JLR Machines'!$L$2:$L$20001,'JLR Machines'!$A$2:$A$20001,$O151,'JLR Machines'!$C$2:$C$20001,IF(Settings!$B$2="","&lt;&gt;",Settings!$B$2),'JLR Machines'!$D$2:$D$20001,IF(Settings!$B$3="","&lt;&gt;",Settings!$B$3)))</f>
        <v>0</v>
      </c>
      <c r="W151" s="39">
        <f>IF($P151&lt;&gt;1,0,SUMIFS('JLR Machines'!$M$2:$M$20001,'JLR Machines'!$A$2:$A$20001,$O151,'JLR Machines'!$C$2:$C$20001,IF(Settings!$B$2="","&lt;&gt;",Settings!$B$2),'JLR Machines'!$D$2:$D$20001,IF(Settings!$B$3="","&lt;&gt;",Settings!$B$3)))</f>
        <v>0</v>
      </c>
      <c r="X151" s="39">
        <f>IF($P151&lt;&gt;1,0,SUMIFS('JLR Machines'!$N$2:$N$20001,'JLR Machines'!$A$2:$A$20001,$O151,'JLR Machines'!$C$2:$C$20001,IF(Settings!$B$2="","&lt;&gt;",Settings!$B$2),'JLR Machines'!$D$2:$D$20001,IF(Settings!$B$3="","&lt;&gt;",Settings!$B$3)))</f>
        <v>0</v>
      </c>
      <c r="Y151" s="39">
        <f>$Q151+$R151+$S151+$T151+$U151+$V151+$W151</f>
        <v>0</v>
      </c>
      <c r="Z151" s="38">
        <f>IF($X151&lt;=0,0,ROUND((D151+E151+F151+G151+H151+I151)/3400-$X151,4))</f>
        <v>0</v>
      </c>
      <c r="AA151" s="40" t="s">
        <v>2385</v>
      </c>
      <c r="AB151" s="40" t="s">
        <v>2099</v>
      </c>
    </row>
    <row r="152" spans="1:28" x14ac:dyDescent="0.25">
      <c r="A152" s="32" t="s">
        <v>1224</v>
      </c>
      <c r="B152" s="33" t="s">
        <v>2386</v>
      </c>
      <c r="C152" s="33" t="s">
        <v>1379</v>
      </c>
      <c r="D152" s="41">
        <f>IF($X152&gt;0,IF($Y152&gt;0,MAX(0,$Q152+$X152-$Y152)*2800,$X152*2800),60720)</f>
        <v>60720</v>
      </c>
      <c r="E152" s="41">
        <f>IF($X152&gt;0,IF($Y152&gt;0,$S152*2800,0),25240)</f>
        <v>25240</v>
      </c>
      <c r="F152" s="41">
        <f>IF($X152&gt;0,IF($Y152&gt;0,$V152*2800,0),58261)</f>
        <v>58261</v>
      </c>
      <c r="G152" s="41">
        <f>IF($X152&gt;0,IF($Y152&gt;0,$R152*2800,0),20192)</f>
        <v>20192</v>
      </c>
      <c r="H152" s="41">
        <f>IF($X152&gt;0,IF($Y152&gt;0,($T152+$W152)*2800,0),15108)</f>
        <v>15108</v>
      </c>
      <c r="I152" s="41">
        <f>IF($X152&gt;0,IF($Y152&gt;0,$U152*2800,0),7500)</f>
        <v>7500</v>
      </c>
      <c r="J152" s="35">
        <v>4000</v>
      </c>
      <c r="K152" s="42">
        <v>0.7</v>
      </c>
      <c r="L152" s="36" t="str">
        <f>IF($X152&gt;0,IF($P152&lt;&gt;1,$AB152,IFERROR(INDEX('JLR Machines'!$D$2:$D$20001,MATCH($O152,'JLR Machines'!$A$2:$A$20001,0)),$AB152)),$AB152)</f>
        <v>2026-09-29</v>
      </c>
      <c r="M152" s="36" t="str">
        <f>IF($X152&gt;0,IF($Y152&gt;0,"JLR machine "&amp;$O152&amp;" at "&amp;TEXT($X152,"0.00")&amp;" per hr — build-up as supplied","JLR machine "&amp;$O152&amp;" at "&amp;TEXT($X152,"0.00")&amp;" per hr — build-up not supplied"),$AA152)</f>
        <v>UK composites benchmark Jun 2026. 1200mm × 3000mm production autoclave. CFRP aerospace/auto structures.</v>
      </c>
      <c r="N152" s="33" t="s">
        <v>1380</v>
      </c>
      <c r="O152" s="37" t="str">
        <f>IFERROR(INDEX(Mapping!$C$2:$C$549,MATCH($A152,Mapping!$A$2:$A$549,0)),"")</f>
        <v/>
      </c>
      <c r="P152" s="37">
        <f>IF($O152="",0,COUNTIFS('JLR Machines'!$A$2:$A$20001,$O152,'JLR Machines'!$C$2:$C$20001,IF(Settings!$B$2="","&lt;&gt;",Settings!$B$2),'JLR Machines'!$D$2:$D$20001,IF(Settings!$B$3="","&lt;&gt;",Settings!$B$3)))</f>
        <v>0</v>
      </c>
      <c r="Q152" s="39">
        <f>IF($P152&lt;&gt;1,0,SUMIFS('JLR Machines'!$G$2:$G$20001,'JLR Machines'!$A$2:$A$20001,$O152,'JLR Machines'!$C$2:$C$20001,IF(Settings!$B$2="","&lt;&gt;",Settings!$B$2),'JLR Machines'!$D$2:$D$20001,IF(Settings!$B$3="","&lt;&gt;",Settings!$B$3)))</f>
        <v>0</v>
      </c>
      <c r="R152" s="39">
        <f>IF($P152&lt;&gt;1,0,SUMIFS('JLR Machines'!$H$2:$H$20001,'JLR Machines'!$A$2:$A$20001,$O152,'JLR Machines'!$C$2:$C$20001,IF(Settings!$B$2="","&lt;&gt;",Settings!$B$2),'JLR Machines'!$D$2:$D$20001,IF(Settings!$B$3="","&lt;&gt;",Settings!$B$3)))</f>
        <v>0</v>
      </c>
      <c r="S152" s="39">
        <f>IF($P152&lt;&gt;1,0,SUMIFS('JLR Machines'!$I$2:$I$20001,'JLR Machines'!$A$2:$A$20001,$O152,'JLR Machines'!$C$2:$C$20001,IF(Settings!$B$2="","&lt;&gt;",Settings!$B$2),'JLR Machines'!$D$2:$D$20001,IF(Settings!$B$3="","&lt;&gt;",Settings!$B$3)))</f>
        <v>0</v>
      </c>
      <c r="T152" s="39">
        <f>IF($P152&lt;&gt;1,0,SUMIFS('JLR Machines'!$J$2:$J$20001,'JLR Machines'!$A$2:$A$20001,$O152,'JLR Machines'!$C$2:$C$20001,IF(Settings!$B$2="","&lt;&gt;",Settings!$B$2),'JLR Machines'!$D$2:$D$20001,IF(Settings!$B$3="","&lt;&gt;",Settings!$B$3)))</f>
        <v>0</v>
      </c>
      <c r="U152" s="39">
        <f>IF($P152&lt;&gt;1,0,SUMIFS('JLR Machines'!$K$2:$K$20001,'JLR Machines'!$A$2:$A$20001,$O152,'JLR Machines'!$C$2:$C$20001,IF(Settings!$B$2="","&lt;&gt;",Settings!$B$2),'JLR Machines'!$D$2:$D$20001,IF(Settings!$B$3="","&lt;&gt;",Settings!$B$3)))</f>
        <v>0</v>
      </c>
      <c r="V152" s="39">
        <f>IF($P152&lt;&gt;1,0,SUMIFS('JLR Machines'!$L$2:$L$20001,'JLR Machines'!$A$2:$A$20001,$O152,'JLR Machines'!$C$2:$C$20001,IF(Settings!$B$2="","&lt;&gt;",Settings!$B$2),'JLR Machines'!$D$2:$D$20001,IF(Settings!$B$3="","&lt;&gt;",Settings!$B$3)))</f>
        <v>0</v>
      </c>
      <c r="W152" s="39">
        <f>IF($P152&lt;&gt;1,0,SUMIFS('JLR Machines'!$M$2:$M$20001,'JLR Machines'!$A$2:$A$20001,$O152,'JLR Machines'!$C$2:$C$20001,IF(Settings!$B$2="","&lt;&gt;",Settings!$B$2),'JLR Machines'!$D$2:$D$20001,IF(Settings!$B$3="","&lt;&gt;",Settings!$B$3)))</f>
        <v>0</v>
      </c>
      <c r="X152" s="39">
        <f>IF($P152&lt;&gt;1,0,SUMIFS('JLR Machines'!$N$2:$N$20001,'JLR Machines'!$A$2:$A$20001,$O152,'JLR Machines'!$C$2:$C$20001,IF(Settings!$B$2="","&lt;&gt;",Settings!$B$2),'JLR Machines'!$D$2:$D$20001,IF(Settings!$B$3="","&lt;&gt;",Settings!$B$3)))</f>
        <v>0</v>
      </c>
      <c r="Y152" s="39">
        <f>$Q152+$R152+$S152+$T152+$U152+$V152+$W152</f>
        <v>0</v>
      </c>
      <c r="Z152" s="38">
        <f>IF($X152&lt;=0,0,ROUND((D152+E152+F152+G152+H152+I152)/2800-$X152,4))</f>
        <v>0</v>
      </c>
      <c r="AA152" s="40" t="s">
        <v>2387</v>
      </c>
      <c r="AB152" s="40" t="s">
        <v>2099</v>
      </c>
    </row>
    <row r="153" spans="1:28" x14ac:dyDescent="0.25">
      <c r="A153" s="32" t="s">
        <v>1226</v>
      </c>
      <c r="B153" s="33" t="s">
        <v>2388</v>
      </c>
      <c r="C153" s="33" t="s">
        <v>1379</v>
      </c>
      <c r="D153" s="41">
        <f>IF($X153&gt;0,IF($Y153&gt;0,MAX(0,$Q153+$X153-$Y153)*3750,$X153*3750),18216)</f>
        <v>18216</v>
      </c>
      <c r="E153" s="41">
        <f>IF($X153&gt;0,IF($Y153&gt;0,$S153*3750,0),6058)</f>
        <v>6058</v>
      </c>
      <c r="F153" s="41">
        <f>IF($X153&gt;0,IF($Y153&gt;0,$V153*3750,0),34957)</f>
        <v>34957</v>
      </c>
      <c r="G153" s="41">
        <f>IF($X153&gt;0,IF($Y153&gt;0,$R153*3750,0),12115)</f>
        <v>12115</v>
      </c>
      <c r="H153" s="41">
        <f>IF($X153&gt;0,IF($Y153&gt;0,($T153+$W153)*3750,0),5036)</f>
        <v>5036</v>
      </c>
      <c r="I153" s="41">
        <f>IF($X153&gt;0,IF($Y153&gt;0,$U153*3750,0),2250)</f>
        <v>2250</v>
      </c>
      <c r="J153" s="35">
        <v>5000</v>
      </c>
      <c r="K153" s="42">
        <v>0.75</v>
      </c>
      <c r="L153" s="36" t="str">
        <f>IF($X153&gt;0,IF($P153&lt;&gt;1,$AB153,IFERROR(INDEX('JLR Machines'!$D$2:$D$20001,MATCH($O153,'JLR Machines'!$A$2:$A$20001,0)),$AB153)),$AB153)</f>
        <v>2026-09-29</v>
      </c>
      <c r="M153" s="36" t="str">
        <f>IF($X153&gt;0,IF($Y153&gt;0,"JLR machine "&amp;$O153&amp;" at "&amp;TEXT($X153,"0.00")&amp;" per hr — build-up as supplied","JLR machine "&amp;$O153&amp;" at "&amp;TEXT($X153,"0.00")&amp;" per hr — build-up not supplied"),$AA153)</f>
        <v>UK composites benchmark Jun 2026. Fan-assisted oven cure — prepreg (no autoclave pressure), wet layup post-cure.</v>
      </c>
      <c r="N153" s="33" t="s">
        <v>1380</v>
      </c>
      <c r="O153" s="37" t="str">
        <f>IFERROR(INDEX(Mapping!$C$2:$C$549,MATCH($A153,Mapping!$A$2:$A$549,0)),"")</f>
        <v/>
      </c>
      <c r="P153" s="37">
        <f>IF($O153="",0,COUNTIFS('JLR Machines'!$A$2:$A$20001,$O153,'JLR Machines'!$C$2:$C$20001,IF(Settings!$B$2="","&lt;&gt;",Settings!$B$2),'JLR Machines'!$D$2:$D$20001,IF(Settings!$B$3="","&lt;&gt;",Settings!$B$3)))</f>
        <v>0</v>
      </c>
      <c r="Q153" s="39">
        <f>IF($P153&lt;&gt;1,0,SUMIFS('JLR Machines'!$G$2:$G$20001,'JLR Machines'!$A$2:$A$20001,$O153,'JLR Machines'!$C$2:$C$20001,IF(Settings!$B$2="","&lt;&gt;",Settings!$B$2),'JLR Machines'!$D$2:$D$20001,IF(Settings!$B$3="","&lt;&gt;",Settings!$B$3)))</f>
        <v>0</v>
      </c>
      <c r="R153" s="39">
        <f>IF($P153&lt;&gt;1,0,SUMIFS('JLR Machines'!$H$2:$H$20001,'JLR Machines'!$A$2:$A$20001,$O153,'JLR Machines'!$C$2:$C$20001,IF(Settings!$B$2="","&lt;&gt;",Settings!$B$2),'JLR Machines'!$D$2:$D$20001,IF(Settings!$B$3="","&lt;&gt;",Settings!$B$3)))</f>
        <v>0</v>
      </c>
      <c r="S153" s="39">
        <f>IF($P153&lt;&gt;1,0,SUMIFS('JLR Machines'!$I$2:$I$20001,'JLR Machines'!$A$2:$A$20001,$O153,'JLR Machines'!$C$2:$C$20001,IF(Settings!$B$2="","&lt;&gt;",Settings!$B$2),'JLR Machines'!$D$2:$D$20001,IF(Settings!$B$3="","&lt;&gt;",Settings!$B$3)))</f>
        <v>0</v>
      </c>
      <c r="T153" s="39">
        <f>IF($P153&lt;&gt;1,0,SUMIFS('JLR Machines'!$J$2:$J$20001,'JLR Machines'!$A$2:$A$20001,$O153,'JLR Machines'!$C$2:$C$20001,IF(Settings!$B$2="","&lt;&gt;",Settings!$B$2),'JLR Machines'!$D$2:$D$20001,IF(Settings!$B$3="","&lt;&gt;",Settings!$B$3)))</f>
        <v>0</v>
      </c>
      <c r="U153" s="39">
        <f>IF($P153&lt;&gt;1,0,SUMIFS('JLR Machines'!$K$2:$K$20001,'JLR Machines'!$A$2:$A$20001,$O153,'JLR Machines'!$C$2:$C$20001,IF(Settings!$B$2="","&lt;&gt;",Settings!$B$2),'JLR Machines'!$D$2:$D$20001,IF(Settings!$B$3="","&lt;&gt;",Settings!$B$3)))</f>
        <v>0</v>
      </c>
      <c r="V153" s="39">
        <f>IF($P153&lt;&gt;1,0,SUMIFS('JLR Machines'!$L$2:$L$20001,'JLR Machines'!$A$2:$A$20001,$O153,'JLR Machines'!$C$2:$C$20001,IF(Settings!$B$2="","&lt;&gt;",Settings!$B$2),'JLR Machines'!$D$2:$D$20001,IF(Settings!$B$3="","&lt;&gt;",Settings!$B$3)))</f>
        <v>0</v>
      </c>
      <c r="W153" s="39">
        <f>IF($P153&lt;&gt;1,0,SUMIFS('JLR Machines'!$M$2:$M$20001,'JLR Machines'!$A$2:$A$20001,$O153,'JLR Machines'!$C$2:$C$20001,IF(Settings!$B$2="","&lt;&gt;",Settings!$B$2),'JLR Machines'!$D$2:$D$20001,IF(Settings!$B$3="","&lt;&gt;",Settings!$B$3)))</f>
        <v>0</v>
      </c>
      <c r="X153" s="39">
        <f>IF($P153&lt;&gt;1,0,SUMIFS('JLR Machines'!$N$2:$N$20001,'JLR Machines'!$A$2:$A$20001,$O153,'JLR Machines'!$C$2:$C$20001,IF(Settings!$B$2="","&lt;&gt;",Settings!$B$2),'JLR Machines'!$D$2:$D$20001,IF(Settings!$B$3="","&lt;&gt;",Settings!$B$3)))</f>
        <v>0</v>
      </c>
      <c r="Y153" s="39">
        <f>$Q153+$R153+$S153+$T153+$U153+$V153+$W153</f>
        <v>0</v>
      </c>
      <c r="Z153" s="38">
        <f>IF($X153&lt;=0,0,ROUND((D153+E153+F153+G153+H153+I153)/3750-$X153,4))</f>
        <v>0</v>
      </c>
      <c r="AA153" s="40" t="s">
        <v>2389</v>
      </c>
      <c r="AB153" s="40" t="s">
        <v>2099</v>
      </c>
    </row>
    <row r="154" spans="1:28" x14ac:dyDescent="0.25">
      <c r="A154" s="32" t="s">
        <v>1228</v>
      </c>
      <c r="B154" s="33" t="s">
        <v>2390</v>
      </c>
      <c r="C154" s="33" t="s">
        <v>1379</v>
      </c>
      <c r="D154" s="41">
        <f>IF($X154&gt;0,IF($Y154&gt;0,MAX(0,$Q154+$X154-$Y154)*2730,$X154*2730),22264)</f>
        <v>22264</v>
      </c>
      <c r="E154" s="41">
        <f>IF($X154&gt;0,IF($Y154&gt;0,$S154*2730,0),9086)</f>
        <v>9086</v>
      </c>
      <c r="F154" s="41">
        <f>IF($X154&gt;0,IF($Y154&gt;0,$V154*2730,0),13983)</f>
        <v>13983</v>
      </c>
      <c r="G154" s="41">
        <f>IF($X154&gt;0,IF($Y154&gt;0,$R154*2730,0),8077)</f>
        <v>8077</v>
      </c>
      <c r="H154" s="41">
        <f>IF($X154&gt;0,IF($Y154&gt;0,($T154+$W154)*2730,0),6043)</f>
        <v>6043</v>
      </c>
      <c r="I154" s="41">
        <f>IF($X154&gt;0,IF($Y154&gt;0,$U154*2730,0),2750)</f>
        <v>2750</v>
      </c>
      <c r="J154" s="35">
        <v>3500</v>
      </c>
      <c r="K154" s="42">
        <v>0.78</v>
      </c>
      <c r="L154" s="36" t="str">
        <f>IF($X154&gt;0,IF($P154&lt;&gt;1,$AB154,IFERROR(INDEX('JLR Machines'!$D$2:$D$20001,MATCH($O154,'JLR Machines'!$A$2:$A$20001,0)),$AB154)),$AB154)</f>
        <v>2026-09-29</v>
      </c>
      <c r="M154" s="36" t="str">
        <f>IF($X154&gt;0,IF($Y154&gt;0,"JLR machine "&amp;$O154&amp;" at "&amp;TEXT($X154,"0.00")&amp;" per hr — build-up as supplied","JLR machine "&amp;$O154&amp;" at "&amp;TEXT($X154,"0.00")&amp;" per hr — build-up not supplied"),$AA154)</f>
        <v>UK composites benchmark Jun 2026. Resin Transfer Moulding injection press. Structural automotive CFRP/GFRP.</v>
      </c>
      <c r="N154" s="33" t="s">
        <v>1380</v>
      </c>
      <c r="O154" s="37" t="str">
        <f>IFERROR(INDEX(Mapping!$C$2:$C$549,MATCH($A154,Mapping!$A$2:$A$549,0)),"")</f>
        <v/>
      </c>
      <c r="P154" s="37">
        <f>IF($O154="",0,COUNTIFS('JLR Machines'!$A$2:$A$20001,$O154,'JLR Machines'!$C$2:$C$20001,IF(Settings!$B$2="","&lt;&gt;",Settings!$B$2),'JLR Machines'!$D$2:$D$20001,IF(Settings!$B$3="","&lt;&gt;",Settings!$B$3)))</f>
        <v>0</v>
      </c>
      <c r="Q154" s="39">
        <f>IF($P154&lt;&gt;1,0,SUMIFS('JLR Machines'!$G$2:$G$20001,'JLR Machines'!$A$2:$A$20001,$O154,'JLR Machines'!$C$2:$C$20001,IF(Settings!$B$2="","&lt;&gt;",Settings!$B$2),'JLR Machines'!$D$2:$D$20001,IF(Settings!$B$3="","&lt;&gt;",Settings!$B$3)))</f>
        <v>0</v>
      </c>
      <c r="R154" s="39">
        <f>IF($P154&lt;&gt;1,0,SUMIFS('JLR Machines'!$H$2:$H$20001,'JLR Machines'!$A$2:$A$20001,$O154,'JLR Machines'!$C$2:$C$20001,IF(Settings!$B$2="","&lt;&gt;",Settings!$B$2),'JLR Machines'!$D$2:$D$20001,IF(Settings!$B$3="","&lt;&gt;",Settings!$B$3)))</f>
        <v>0</v>
      </c>
      <c r="S154" s="39">
        <f>IF($P154&lt;&gt;1,0,SUMIFS('JLR Machines'!$I$2:$I$20001,'JLR Machines'!$A$2:$A$20001,$O154,'JLR Machines'!$C$2:$C$20001,IF(Settings!$B$2="","&lt;&gt;",Settings!$B$2),'JLR Machines'!$D$2:$D$20001,IF(Settings!$B$3="","&lt;&gt;",Settings!$B$3)))</f>
        <v>0</v>
      </c>
      <c r="T154" s="39">
        <f>IF($P154&lt;&gt;1,0,SUMIFS('JLR Machines'!$J$2:$J$20001,'JLR Machines'!$A$2:$A$20001,$O154,'JLR Machines'!$C$2:$C$20001,IF(Settings!$B$2="","&lt;&gt;",Settings!$B$2),'JLR Machines'!$D$2:$D$20001,IF(Settings!$B$3="","&lt;&gt;",Settings!$B$3)))</f>
        <v>0</v>
      </c>
      <c r="U154" s="39">
        <f>IF($P154&lt;&gt;1,0,SUMIFS('JLR Machines'!$K$2:$K$20001,'JLR Machines'!$A$2:$A$20001,$O154,'JLR Machines'!$C$2:$C$20001,IF(Settings!$B$2="","&lt;&gt;",Settings!$B$2),'JLR Machines'!$D$2:$D$20001,IF(Settings!$B$3="","&lt;&gt;",Settings!$B$3)))</f>
        <v>0</v>
      </c>
      <c r="V154" s="39">
        <f>IF($P154&lt;&gt;1,0,SUMIFS('JLR Machines'!$L$2:$L$20001,'JLR Machines'!$A$2:$A$20001,$O154,'JLR Machines'!$C$2:$C$20001,IF(Settings!$B$2="","&lt;&gt;",Settings!$B$2),'JLR Machines'!$D$2:$D$20001,IF(Settings!$B$3="","&lt;&gt;",Settings!$B$3)))</f>
        <v>0</v>
      </c>
      <c r="W154" s="39">
        <f>IF($P154&lt;&gt;1,0,SUMIFS('JLR Machines'!$M$2:$M$20001,'JLR Machines'!$A$2:$A$20001,$O154,'JLR Machines'!$C$2:$C$20001,IF(Settings!$B$2="","&lt;&gt;",Settings!$B$2),'JLR Machines'!$D$2:$D$20001,IF(Settings!$B$3="","&lt;&gt;",Settings!$B$3)))</f>
        <v>0</v>
      </c>
      <c r="X154" s="39">
        <f>IF($P154&lt;&gt;1,0,SUMIFS('JLR Machines'!$N$2:$N$20001,'JLR Machines'!$A$2:$A$20001,$O154,'JLR Machines'!$C$2:$C$20001,IF(Settings!$B$2="","&lt;&gt;",Settings!$B$2),'JLR Machines'!$D$2:$D$20001,IF(Settings!$B$3="","&lt;&gt;",Settings!$B$3)))</f>
        <v>0</v>
      </c>
      <c r="Y154" s="39">
        <f>$Q154+$R154+$S154+$T154+$U154+$V154+$W154</f>
        <v>0</v>
      </c>
      <c r="Z154" s="38">
        <f>IF($X154&lt;=0,0,ROUND((D154+E154+F154+G154+H154+I154)/2730-$X154,4))</f>
        <v>0</v>
      </c>
      <c r="AA154" s="40" t="s">
        <v>2391</v>
      </c>
      <c r="AB154" s="40" t="s">
        <v>2099</v>
      </c>
    </row>
    <row r="155" spans="1:28" x14ac:dyDescent="0.25">
      <c r="A155" s="32" t="s">
        <v>1230</v>
      </c>
      <c r="B155" s="33" t="s">
        <v>2392</v>
      </c>
      <c r="C155" s="33" t="s">
        <v>1379</v>
      </c>
      <c r="D155" s="41">
        <f>IF($X155&gt;0,IF($Y155&gt;0,MAX(0,$Q155+$X155-$Y155)*3000,$X155*3000),35420)</f>
        <v>35420</v>
      </c>
      <c r="E155" s="41">
        <f>IF($X155&gt;0,IF($Y155&gt;0,$S155*3000,0),14134)</f>
        <v>14134</v>
      </c>
      <c r="F155" s="41">
        <f>IF($X155&gt;0,IF($Y155&gt;0,$V155*3000,0),23304)</f>
        <v>23304</v>
      </c>
      <c r="G155" s="41">
        <f>IF($X155&gt;0,IF($Y155&gt;0,$R155*3000,0),12115)</f>
        <v>12115</v>
      </c>
      <c r="H155" s="41">
        <f>IF($X155&gt;0,IF($Y155&gt;0,($T155+$W155)*3000,0),10072)</f>
        <v>10072</v>
      </c>
      <c r="I155" s="41">
        <f>IF($X155&gt;0,IF($Y155&gt;0,$U155*3000,0),4375)</f>
        <v>4375</v>
      </c>
      <c r="J155" s="35">
        <v>4000</v>
      </c>
      <c r="K155" s="42">
        <v>0.75</v>
      </c>
      <c r="L155" s="36" t="str">
        <f>IF($X155&gt;0,IF($P155&lt;&gt;1,$AB155,IFERROR(INDEX('JLR Machines'!$D$2:$D$20001,MATCH($O155,'JLR Machines'!$A$2:$A$20001,0)),$AB155)),$AB155)</f>
        <v>2026-09-29</v>
      </c>
      <c r="M155" s="36" t="str">
        <f>IF($X155&gt;0,IF($Y155&gt;0,"JLR machine "&amp;$O155&amp;" at "&amp;TEXT($X155,"0.00")&amp;" per hr — build-up as supplied","JLR machine "&amp;$O155&amp;" at "&amp;TEXT($X155,"0.00")&amp;" per hr — build-up not supplied"),$AA155)</f>
        <v>UK composites benchmark Jun 2026. 5-axis waterjet trim/drill for CFRP panels. 380 MPa, 0.4mm orifice.</v>
      </c>
      <c r="N155" s="33" t="s">
        <v>1380</v>
      </c>
      <c r="O155" s="37" t="str">
        <f>IFERROR(INDEX(Mapping!$C$2:$C$549,MATCH($A155,Mapping!$A$2:$A$549,0)),"")</f>
        <v/>
      </c>
      <c r="P155" s="37">
        <f>IF($O155="",0,COUNTIFS('JLR Machines'!$A$2:$A$20001,$O155,'JLR Machines'!$C$2:$C$20001,IF(Settings!$B$2="","&lt;&gt;",Settings!$B$2),'JLR Machines'!$D$2:$D$20001,IF(Settings!$B$3="","&lt;&gt;",Settings!$B$3)))</f>
        <v>0</v>
      </c>
      <c r="Q155" s="39">
        <f>IF($P155&lt;&gt;1,0,SUMIFS('JLR Machines'!$G$2:$G$20001,'JLR Machines'!$A$2:$A$20001,$O155,'JLR Machines'!$C$2:$C$20001,IF(Settings!$B$2="","&lt;&gt;",Settings!$B$2),'JLR Machines'!$D$2:$D$20001,IF(Settings!$B$3="","&lt;&gt;",Settings!$B$3)))</f>
        <v>0</v>
      </c>
      <c r="R155" s="39">
        <f>IF($P155&lt;&gt;1,0,SUMIFS('JLR Machines'!$H$2:$H$20001,'JLR Machines'!$A$2:$A$20001,$O155,'JLR Machines'!$C$2:$C$20001,IF(Settings!$B$2="","&lt;&gt;",Settings!$B$2),'JLR Machines'!$D$2:$D$20001,IF(Settings!$B$3="","&lt;&gt;",Settings!$B$3)))</f>
        <v>0</v>
      </c>
      <c r="S155" s="39">
        <f>IF($P155&lt;&gt;1,0,SUMIFS('JLR Machines'!$I$2:$I$20001,'JLR Machines'!$A$2:$A$20001,$O155,'JLR Machines'!$C$2:$C$20001,IF(Settings!$B$2="","&lt;&gt;",Settings!$B$2),'JLR Machines'!$D$2:$D$20001,IF(Settings!$B$3="","&lt;&gt;",Settings!$B$3)))</f>
        <v>0</v>
      </c>
      <c r="T155" s="39">
        <f>IF($P155&lt;&gt;1,0,SUMIFS('JLR Machines'!$J$2:$J$20001,'JLR Machines'!$A$2:$A$20001,$O155,'JLR Machines'!$C$2:$C$20001,IF(Settings!$B$2="","&lt;&gt;",Settings!$B$2),'JLR Machines'!$D$2:$D$20001,IF(Settings!$B$3="","&lt;&gt;",Settings!$B$3)))</f>
        <v>0</v>
      </c>
      <c r="U155" s="39">
        <f>IF($P155&lt;&gt;1,0,SUMIFS('JLR Machines'!$K$2:$K$20001,'JLR Machines'!$A$2:$A$20001,$O155,'JLR Machines'!$C$2:$C$20001,IF(Settings!$B$2="","&lt;&gt;",Settings!$B$2),'JLR Machines'!$D$2:$D$20001,IF(Settings!$B$3="","&lt;&gt;",Settings!$B$3)))</f>
        <v>0</v>
      </c>
      <c r="V155" s="39">
        <f>IF($P155&lt;&gt;1,0,SUMIFS('JLR Machines'!$L$2:$L$20001,'JLR Machines'!$A$2:$A$20001,$O155,'JLR Machines'!$C$2:$C$20001,IF(Settings!$B$2="","&lt;&gt;",Settings!$B$2),'JLR Machines'!$D$2:$D$20001,IF(Settings!$B$3="","&lt;&gt;",Settings!$B$3)))</f>
        <v>0</v>
      </c>
      <c r="W155" s="39">
        <f>IF($P155&lt;&gt;1,0,SUMIFS('JLR Machines'!$M$2:$M$20001,'JLR Machines'!$A$2:$A$20001,$O155,'JLR Machines'!$C$2:$C$20001,IF(Settings!$B$2="","&lt;&gt;",Settings!$B$2),'JLR Machines'!$D$2:$D$20001,IF(Settings!$B$3="","&lt;&gt;",Settings!$B$3)))</f>
        <v>0</v>
      </c>
      <c r="X155" s="39">
        <f>IF($P155&lt;&gt;1,0,SUMIFS('JLR Machines'!$N$2:$N$20001,'JLR Machines'!$A$2:$A$20001,$O155,'JLR Machines'!$C$2:$C$20001,IF(Settings!$B$2="","&lt;&gt;",Settings!$B$2),'JLR Machines'!$D$2:$D$20001,IF(Settings!$B$3="","&lt;&gt;",Settings!$B$3)))</f>
        <v>0</v>
      </c>
      <c r="Y155" s="39">
        <f>$Q155+$R155+$S155+$T155+$U155+$V155+$W155</f>
        <v>0</v>
      </c>
      <c r="Z155" s="38">
        <f>IF($X155&lt;=0,0,ROUND((D155+E155+F155+G155+H155+I155)/3000-$X155,4))</f>
        <v>0</v>
      </c>
      <c r="AA155" s="40" t="s">
        <v>2393</v>
      </c>
      <c r="AB155" s="40" t="s">
        <v>2099</v>
      </c>
    </row>
    <row r="156" spans="1:28" x14ac:dyDescent="0.25">
      <c r="A156" s="32" t="s">
        <v>1232</v>
      </c>
      <c r="B156" s="33" t="s">
        <v>2394</v>
      </c>
      <c r="C156" s="33" t="s">
        <v>1379</v>
      </c>
      <c r="D156" s="41">
        <f>IF($X156&gt;0,IF($Y156&gt;0,MAX(0,$Q156+$X156-$Y156)*2800,$X156*2800),425040)</f>
        <v>425040</v>
      </c>
      <c r="E156" s="41">
        <f>IF($X156&gt;0,IF($Y156&gt;0,$S156*2800,0),161534)</f>
        <v>161534</v>
      </c>
      <c r="F156" s="41">
        <f>IF($X156&gt;0,IF($Y156&gt;0,$V156*2800,0),93218)</f>
        <v>93218</v>
      </c>
      <c r="G156" s="41">
        <f>IF($X156&gt;0,IF($Y156&gt;0,$R156*2800,0),40384)</f>
        <v>40384</v>
      </c>
      <c r="H156" s="41">
        <f>IF($X156&gt;0,IF($Y156&gt;0,($T156+$W156)*2800,0),60430)</f>
        <v>60430</v>
      </c>
      <c r="I156" s="41">
        <f>IF($X156&gt;0,IF($Y156&gt;0,$U156*2800,0),24000)</f>
        <v>24000</v>
      </c>
      <c r="J156" s="35">
        <v>4000</v>
      </c>
      <c r="K156" s="42">
        <v>0.7</v>
      </c>
      <c r="L156" s="36" t="str">
        <f>IF($X156&gt;0,IF($P156&lt;&gt;1,$AB156,IFERROR(INDEX('JLR Machines'!$D$2:$D$20001,MATCH($O156,'JLR Machines'!$A$2:$A$20001,0)),$AB156)),$AB156)</f>
        <v>2026-09-29</v>
      </c>
      <c r="M156" s="36" t="str">
        <f>IF($X156&gt;0,IF($Y156&gt;0,"JLR machine "&amp;$O156&amp;" at "&amp;TEXT($X156,"0.00")&amp;" per hr — build-up as supplied","JLR machine "&amp;$O156&amp;" at "&amp;TEXT($X156,"0.00")&amp;" per hr — build-up not supplied"),$AA156)</f>
        <v>Automated Fibre/Tape Placement cell. Rate includes robot, gantry, head, NC software, maintenance. Setup: 4.0 hr. UK composites benchmark Jun 2026.</v>
      </c>
      <c r="N156" s="33" t="s">
        <v>1380</v>
      </c>
      <c r="O156" s="37" t="str">
        <f>IFERROR(INDEX(Mapping!$C$2:$C$549,MATCH($A156,Mapping!$A$2:$A$549,0)),"")</f>
        <v/>
      </c>
      <c r="P156" s="37">
        <f>IF($O156="",0,COUNTIFS('JLR Machines'!$A$2:$A$20001,$O156,'JLR Machines'!$C$2:$C$20001,IF(Settings!$B$2="","&lt;&gt;",Settings!$B$2),'JLR Machines'!$D$2:$D$20001,IF(Settings!$B$3="","&lt;&gt;",Settings!$B$3)))</f>
        <v>0</v>
      </c>
      <c r="Q156" s="39">
        <f>IF($P156&lt;&gt;1,0,SUMIFS('JLR Machines'!$G$2:$G$20001,'JLR Machines'!$A$2:$A$20001,$O156,'JLR Machines'!$C$2:$C$20001,IF(Settings!$B$2="","&lt;&gt;",Settings!$B$2),'JLR Machines'!$D$2:$D$20001,IF(Settings!$B$3="","&lt;&gt;",Settings!$B$3)))</f>
        <v>0</v>
      </c>
      <c r="R156" s="39">
        <f>IF($P156&lt;&gt;1,0,SUMIFS('JLR Machines'!$H$2:$H$20001,'JLR Machines'!$A$2:$A$20001,$O156,'JLR Machines'!$C$2:$C$20001,IF(Settings!$B$2="","&lt;&gt;",Settings!$B$2),'JLR Machines'!$D$2:$D$20001,IF(Settings!$B$3="","&lt;&gt;",Settings!$B$3)))</f>
        <v>0</v>
      </c>
      <c r="S156" s="39">
        <f>IF($P156&lt;&gt;1,0,SUMIFS('JLR Machines'!$I$2:$I$20001,'JLR Machines'!$A$2:$A$20001,$O156,'JLR Machines'!$C$2:$C$20001,IF(Settings!$B$2="","&lt;&gt;",Settings!$B$2),'JLR Machines'!$D$2:$D$20001,IF(Settings!$B$3="","&lt;&gt;",Settings!$B$3)))</f>
        <v>0</v>
      </c>
      <c r="T156" s="39">
        <f>IF($P156&lt;&gt;1,0,SUMIFS('JLR Machines'!$J$2:$J$20001,'JLR Machines'!$A$2:$A$20001,$O156,'JLR Machines'!$C$2:$C$20001,IF(Settings!$B$2="","&lt;&gt;",Settings!$B$2),'JLR Machines'!$D$2:$D$20001,IF(Settings!$B$3="","&lt;&gt;",Settings!$B$3)))</f>
        <v>0</v>
      </c>
      <c r="U156" s="39">
        <f>IF($P156&lt;&gt;1,0,SUMIFS('JLR Machines'!$K$2:$K$20001,'JLR Machines'!$A$2:$A$20001,$O156,'JLR Machines'!$C$2:$C$20001,IF(Settings!$B$2="","&lt;&gt;",Settings!$B$2),'JLR Machines'!$D$2:$D$20001,IF(Settings!$B$3="","&lt;&gt;",Settings!$B$3)))</f>
        <v>0</v>
      </c>
      <c r="V156" s="39">
        <f>IF($P156&lt;&gt;1,0,SUMIFS('JLR Machines'!$L$2:$L$20001,'JLR Machines'!$A$2:$A$20001,$O156,'JLR Machines'!$C$2:$C$20001,IF(Settings!$B$2="","&lt;&gt;",Settings!$B$2),'JLR Machines'!$D$2:$D$20001,IF(Settings!$B$3="","&lt;&gt;",Settings!$B$3)))</f>
        <v>0</v>
      </c>
      <c r="W156" s="39">
        <f>IF($P156&lt;&gt;1,0,SUMIFS('JLR Machines'!$M$2:$M$20001,'JLR Machines'!$A$2:$A$20001,$O156,'JLR Machines'!$C$2:$C$20001,IF(Settings!$B$2="","&lt;&gt;",Settings!$B$2),'JLR Machines'!$D$2:$D$20001,IF(Settings!$B$3="","&lt;&gt;",Settings!$B$3)))</f>
        <v>0</v>
      </c>
      <c r="X156" s="39">
        <f>IF($P156&lt;&gt;1,0,SUMIFS('JLR Machines'!$N$2:$N$20001,'JLR Machines'!$A$2:$A$20001,$O156,'JLR Machines'!$C$2:$C$20001,IF(Settings!$B$2="","&lt;&gt;",Settings!$B$2),'JLR Machines'!$D$2:$D$20001,IF(Settings!$B$3="","&lt;&gt;",Settings!$B$3)))</f>
        <v>0</v>
      </c>
      <c r="Y156" s="39">
        <f>$Q156+$R156+$S156+$T156+$U156+$V156+$W156</f>
        <v>0</v>
      </c>
      <c r="Z156" s="38">
        <f>IF($X156&lt;=0,0,ROUND((D156+E156+F156+G156+H156+I156)/2800-$X156,4))</f>
        <v>0</v>
      </c>
      <c r="AA156" s="40" t="s">
        <v>2395</v>
      </c>
      <c r="AB156" s="40" t="s">
        <v>2099</v>
      </c>
    </row>
    <row r="157" spans="1:28" x14ac:dyDescent="0.25">
      <c r="A157" s="32" t="s">
        <v>1234</v>
      </c>
      <c r="B157" s="33" t="s">
        <v>2396</v>
      </c>
      <c r="C157" s="33" t="s">
        <v>1379</v>
      </c>
      <c r="D157" s="41">
        <f>IF($X157&gt;0,IF($Y157&gt;0,MAX(0,$Q157+$X157-$Y157)*3200,$X157*3200),18216)</f>
        <v>18216</v>
      </c>
      <c r="E157" s="41">
        <f>IF($X157&gt;0,IF($Y157&gt;0,$S157*3200,0),5048)</f>
        <v>5048</v>
      </c>
      <c r="F157" s="41">
        <f>IF($X157&gt;0,IF($Y157&gt;0,$V157*3200,0),3496)</f>
        <v>3496</v>
      </c>
      <c r="G157" s="41">
        <f>IF($X157&gt;0,IF($Y157&gt;0,$R157*3200,0),4038)</f>
        <v>4038</v>
      </c>
      <c r="H157" s="41">
        <f>IF($X157&gt;0,IF($Y157&gt;0,($T157+$W157)*3200,0),5036)</f>
        <v>5036</v>
      </c>
      <c r="I157" s="41">
        <f>IF($X157&gt;0,IF($Y157&gt;0,$U157*3200,0),2250)</f>
        <v>2250</v>
      </c>
      <c r="J157" s="35">
        <v>4000</v>
      </c>
      <c r="K157" s="42">
        <v>0.8</v>
      </c>
      <c r="L157" s="36" t="str">
        <f>IF($X157&gt;0,IF($P157&lt;&gt;1,$AB157,IFERROR(INDEX('JLR Machines'!$D$2:$D$20001,MATCH($O157,'JLR Machines'!$A$2:$A$20001,0)),$AB157)),$AB157)</f>
        <v>2026-09-29</v>
      </c>
      <c r="M157" s="36" t="str">
        <f>IF($X157&gt;0,IF($Y157&gt;0,"JLR machine "&amp;$O157&amp;" at "&amp;TEXT($X157,"0.00")&amp;" per hr — build-up as supplied","JLR machine "&amp;$O157&amp;" at "&amp;TEXT($X157,"0.00")&amp;" per hr — build-up not supplied"),$AA157)</f>
        <v>UK harness benchmark Jun 2026. Automated electrical test: continuity, insulation resistance, HiPot. IATF-compliant.</v>
      </c>
      <c r="N157" s="33" t="s">
        <v>1380</v>
      </c>
      <c r="O157" s="37" t="str">
        <f>IFERROR(INDEX(Mapping!$C$2:$C$549,MATCH($A157,Mapping!$A$2:$A$549,0)),"")</f>
        <v/>
      </c>
      <c r="P157" s="37">
        <f>IF($O157="",0,COUNTIFS('JLR Machines'!$A$2:$A$20001,$O157,'JLR Machines'!$C$2:$C$20001,IF(Settings!$B$2="","&lt;&gt;",Settings!$B$2),'JLR Machines'!$D$2:$D$20001,IF(Settings!$B$3="","&lt;&gt;",Settings!$B$3)))</f>
        <v>0</v>
      </c>
      <c r="Q157" s="39">
        <f>IF($P157&lt;&gt;1,0,SUMIFS('JLR Machines'!$G$2:$G$20001,'JLR Machines'!$A$2:$A$20001,$O157,'JLR Machines'!$C$2:$C$20001,IF(Settings!$B$2="","&lt;&gt;",Settings!$B$2),'JLR Machines'!$D$2:$D$20001,IF(Settings!$B$3="","&lt;&gt;",Settings!$B$3)))</f>
        <v>0</v>
      </c>
      <c r="R157" s="39">
        <f>IF($P157&lt;&gt;1,0,SUMIFS('JLR Machines'!$H$2:$H$20001,'JLR Machines'!$A$2:$A$20001,$O157,'JLR Machines'!$C$2:$C$20001,IF(Settings!$B$2="","&lt;&gt;",Settings!$B$2),'JLR Machines'!$D$2:$D$20001,IF(Settings!$B$3="","&lt;&gt;",Settings!$B$3)))</f>
        <v>0</v>
      </c>
      <c r="S157" s="39">
        <f>IF($P157&lt;&gt;1,0,SUMIFS('JLR Machines'!$I$2:$I$20001,'JLR Machines'!$A$2:$A$20001,$O157,'JLR Machines'!$C$2:$C$20001,IF(Settings!$B$2="","&lt;&gt;",Settings!$B$2),'JLR Machines'!$D$2:$D$20001,IF(Settings!$B$3="","&lt;&gt;",Settings!$B$3)))</f>
        <v>0</v>
      </c>
      <c r="T157" s="39">
        <f>IF($P157&lt;&gt;1,0,SUMIFS('JLR Machines'!$J$2:$J$20001,'JLR Machines'!$A$2:$A$20001,$O157,'JLR Machines'!$C$2:$C$20001,IF(Settings!$B$2="","&lt;&gt;",Settings!$B$2),'JLR Machines'!$D$2:$D$20001,IF(Settings!$B$3="","&lt;&gt;",Settings!$B$3)))</f>
        <v>0</v>
      </c>
      <c r="U157" s="39">
        <f>IF($P157&lt;&gt;1,0,SUMIFS('JLR Machines'!$K$2:$K$20001,'JLR Machines'!$A$2:$A$20001,$O157,'JLR Machines'!$C$2:$C$20001,IF(Settings!$B$2="","&lt;&gt;",Settings!$B$2),'JLR Machines'!$D$2:$D$20001,IF(Settings!$B$3="","&lt;&gt;",Settings!$B$3)))</f>
        <v>0</v>
      </c>
      <c r="V157" s="39">
        <f>IF($P157&lt;&gt;1,0,SUMIFS('JLR Machines'!$L$2:$L$20001,'JLR Machines'!$A$2:$A$20001,$O157,'JLR Machines'!$C$2:$C$20001,IF(Settings!$B$2="","&lt;&gt;",Settings!$B$2),'JLR Machines'!$D$2:$D$20001,IF(Settings!$B$3="","&lt;&gt;",Settings!$B$3)))</f>
        <v>0</v>
      </c>
      <c r="W157" s="39">
        <f>IF($P157&lt;&gt;1,0,SUMIFS('JLR Machines'!$M$2:$M$20001,'JLR Machines'!$A$2:$A$20001,$O157,'JLR Machines'!$C$2:$C$20001,IF(Settings!$B$2="","&lt;&gt;",Settings!$B$2),'JLR Machines'!$D$2:$D$20001,IF(Settings!$B$3="","&lt;&gt;",Settings!$B$3)))</f>
        <v>0</v>
      </c>
      <c r="X157" s="39">
        <f>IF($P157&lt;&gt;1,0,SUMIFS('JLR Machines'!$N$2:$N$20001,'JLR Machines'!$A$2:$A$20001,$O157,'JLR Machines'!$C$2:$C$20001,IF(Settings!$B$2="","&lt;&gt;",Settings!$B$2),'JLR Machines'!$D$2:$D$20001,IF(Settings!$B$3="","&lt;&gt;",Settings!$B$3)))</f>
        <v>0</v>
      </c>
      <c r="Y157" s="39">
        <f>$Q157+$R157+$S157+$T157+$U157+$V157+$W157</f>
        <v>0</v>
      </c>
      <c r="Z157" s="38">
        <f>IF($X157&lt;=0,0,ROUND((D157+E157+F157+G157+H157+I157)/3200-$X157,4))</f>
        <v>0</v>
      </c>
      <c r="AA157" s="40" t="s">
        <v>2397</v>
      </c>
      <c r="AB157" s="40" t="s">
        <v>2099</v>
      </c>
    </row>
    <row r="158" spans="1:28" x14ac:dyDescent="0.25">
      <c r="A158" s="32" t="s">
        <v>1236</v>
      </c>
      <c r="B158" s="33" t="s">
        <v>2398</v>
      </c>
      <c r="C158" s="33" t="s">
        <v>2399</v>
      </c>
      <c r="D158" s="41">
        <f>IF($X158&gt;0,IF($Y158&gt;0,MAX(0,$Q158+$X158-$Y158)*3400,$X158*3400),22264)</f>
        <v>22264</v>
      </c>
      <c r="E158" s="41">
        <f>IF($X158&gt;0,IF($Y158&gt;0,$S158*3400,0),2423)</f>
        <v>2423</v>
      </c>
      <c r="F158" s="41">
        <f>IF($X158&gt;0,IF($Y158&gt;0,$V158*3400,0),1515)</f>
        <v>1515</v>
      </c>
      <c r="G158" s="41">
        <f>IF($X158&gt;0,IF($Y158&gt;0,$R158*3400,0),530)</f>
        <v>530</v>
      </c>
      <c r="H158" s="41">
        <f>IF($X158&gt;0,IF($Y158&gt;0,($T158+$W158)*3400,0),2266)</f>
        <v>2266</v>
      </c>
      <c r="I158" s="41">
        <f>IF($X158&gt;0,IF($Y158&gt;0,$U158*3400,0),5850)</f>
        <v>5850</v>
      </c>
      <c r="J158" s="35">
        <v>4000</v>
      </c>
      <c r="K158" s="42">
        <v>0.85</v>
      </c>
      <c r="L158" s="36" t="str">
        <f>IF($X158&gt;0,IF($P158&lt;&gt;1,$AB158,IFERROR(INDEX('JLR Machines'!$D$2:$D$20001,MATCH($O158,'JLR Machines'!$A$2:$A$20001,0)),$AB158)),$AB158)</f>
        <v>2026-09-29</v>
      </c>
      <c r="M158" s="36" t="str">
        <f>IF($X158&gt;0,IF($Y158&gt;0,"JLR machine "&amp;$O158&amp;" at "&amp;TEXT($X158,"0.00")&amp;" per hr — build-up as supplied","JLR machine "&amp;$O158&amp;" at "&amp;TEXT($X158,"0.00")&amp;" per hr — build-up not supplied"),$AA158)</f>
        <v>China CNC machining benchmark. 3-axis VMC, Jiangsu/Guangdong region. Jun 2026</v>
      </c>
      <c r="N158" s="33" t="s">
        <v>1380</v>
      </c>
      <c r="O158" s="37" t="str">
        <f>IFERROR(INDEX(Mapping!$C$2:$C$549,MATCH($A158,Mapping!$A$2:$A$549,0)),"")</f>
        <v/>
      </c>
      <c r="P158" s="37">
        <f>IF($O158="",0,COUNTIFS('JLR Machines'!$A$2:$A$20001,$O158,'JLR Machines'!$C$2:$C$20001,IF(Settings!$B$2="","&lt;&gt;",Settings!$B$2),'JLR Machines'!$D$2:$D$20001,IF(Settings!$B$3="","&lt;&gt;",Settings!$B$3)))</f>
        <v>0</v>
      </c>
      <c r="Q158" s="39">
        <f>IF($P158&lt;&gt;1,0,SUMIFS('JLR Machines'!$G$2:$G$20001,'JLR Machines'!$A$2:$A$20001,$O158,'JLR Machines'!$C$2:$C$20001,IF(Settings!$B$2="","&lt;&gt;",Settings!$B$2),'JLR Machines'!$D$2:$D$20001,IF(Settings!$B$3="","&lt;&gt;",Settings!$B$3)))</f>
        <v>0</v>
      </c>
      <c r="R158" s="39">
        <f>IF($P158&lt;&gt;1,0,SUMIFS('JLR Machines'!$H$2:$H$20001,'JLR Machines'!$A$2:$A$20001,$O158,'JLR Machines'!$C$2:$C$20001,IF(Settings!$B$2="","&lt;&gt;",Settings!$B$2),'JLR Machines'!$D$2:$D$20001,IF(Settings!$B$3="","&lt;&gt;",Settings!$B$3)))</f>
        <v>0</v>
      </c>
      <c r="S158" s="39">
        <f>IF($P158&lt;&gt;1,0,SUMIFS('JLR Machines'!$I$2:$I$20001,'JLR Machines'!$A$2:$A$20001,$O158,'JLR Machines'!$C$2:$C$20001,IF(Settings!$B$2="","&lt;&gt;",Settings!$B$2),'JLR Machines'!$D$2:$D$20001,IF(Settings!$B$3="","&lt;&gt;",Settings!$B$3)))</f>
        <v>0</v>
      </c>
      <c r="T158" s="39">
        <f>IF($P158&lt;&gt;1,0,SUMIFS('JLR Machines'!$J$2:$J$20001,'JLR Machines'!$A$2:$A$20001,$O158,'JLR Machines'!$C$2:$C$20001,IF(Settings!$B$2="","&lt;&gt;",Settings!$B$2),'JLR Machines'!$D$2:$D$20001,IF(Settings!$B$3="","&lt;&gt;",Settings!$B$3)))</f>
        <v>0</v>
      </c>
      <c r="U158" s="39">
        <f>IF($P158&lt;&gt;1,0,SUMIFS('JLR Machines'!$K$2:$K$20001,'JLR Machines'!$A$2:$A$20001,$O158,'JLR Machines'!$C$2:$C$20001,IF(Settings!$B$2="","&lt;&gt;",Settings!$B$2),'JLR Machines'!$D$2:$D$20001,IF(Settings!$B$3="","&lt;&gt;",Settings!$B$3)))</f>
        <v>0</v>
      </c>
      <c r="V158" s="39">
        <f>IF($P158&lt;&gt;1,0,SUMIFS('JLR Machines'!$L$2:$L$20001,'JLR Machines'!$A$2:$A$20001,$O158,'JLR Machines'!$C$2:$C$20001,IF(Settings!$B$2="","&lt;&gt;",Settings!$B$2),'JLR Machines'!$D$2:$D$20001,IF(Settings!$B$3="","&lt;&gt;",Settings!$B$3)))</f>
        <v>0</v>
      </c>
      <c r="W158" s="39">
        <f>IF($P158&lt;&gt;1,0,SUMIFS('JLR Machines'!$M$2:$M$20001,'JLR Machines'!$A$2:$A$20001,$O158,'JLR Machines'!$C$2:$C$20001,IF(Settings!$B$2="","&lt;&gt;",Settings!$B$2),'JLR Machines'!$D$2:$D$20001,IF(Settings!$B$3="","&lt;&gt;",Settings!$B$3)))</f>
        <v>0</v>
      </c>
      <c r="X158" s="39">
        <f>IF($P158&lt;&gt;1,0,SUMIFS('JLR Machines'!$N$2:$N$20001,'JLR Machines'!$A$2:$A$20001,$O158,'JLR Machines'!$C$2:$C$20001,IF(Settings!$B$2="","&lt;&gt;",Settings!$B$2),'JLR Machines'!$D$2:$D$20001,IF(Settings!$B$3="","&lt;&gt;",Settings!$B$3)))</f>
        <v>0</v>
      </c>
      <c r="Y158" s="39">
        <f>$Q158+$R158+$S158+$T158+$U158+$V158+$W158</f>
        <v>0</v>
      </c>
      <c r="Z158" s="38">
        <f>IF($X158&lt;=0,0,ROUND((D158+E158+F158+G158+H158+I158)/3400-$X158,4))</f>
        <v>0</v>
      </c>
      <c r="AA158" s="40" t="s">
        <v>2400</v>
      </c>
      <c r="AB158" s="40" t="s">
        <v>2099</v>
      </c>
    </row>
    <row r="159" spans="1:28" x14ac:dyDescent="0.25">
      <c r="A159" s="32" t="s">
        <v>1238</v>
      </c>
      <c r="B159" s="33" t="s">
        <v>2401</v>
      </c>
      <c r="C159" s="33" t="s">
        <v>2402</v>
      </c>
      <c r="D159" s="41">
        <f>IF($X159&gt;0,IF($Y159&gt;0,MAX(0,$Q159+$X159-$Y159)*3400,$X159*3400),22264)</f>
        <v>22264</v>
      </c>
      <c r="E159" s="41">
        <f>IF($X159&gt;0,IF($Y159&gt;0,$S159*3400,0),2019)</f>
        <v>2019</v>
      </c>
      <c r="F159" s="41">
        <f>IF($X159&gt;0,IF($Y159&gt;0,$V159*3400,0),2039)</f>
        <v>2039</v>
      </c>
      <c r="G159" s="41">
        <f>IF($X159&gt;0,IF($Y159&gt;0,$R159*3400,0),353)</f>
        <v>353</v>
      </c>
      <c r="H159" s="41">
        <f>IF($X159&gt;0,IF($Y159&gt;0,($T159+$W159)*3400,0),1511)</f>
        <v>1511</v>
      </c>
      <c r="I159" s="41">
        <f>IF($X159&gt;0,IF($Y159&gt;0,$U159*3400,0),5850)</f>
        <v>5850</v>
      </c>
      <c r="J159" s="35">
        <v>4000</v>
      </c>
      <c r="K159" s="42">
        <v>0.85</v>
      </c>
      <c r="L159" s="36" t="str">
        <f>IF($X159&gt;0,IF($P159&lt;&gt;1,$AB159,IFERROR(INDEX('JLR Machines'!$D$2:$D$20001,MATCH($O159,'JLR Machines'!$A$2:$A$20001,0)),$AB159)),$AB159)</f>
        <v>2026-09-29</v>
      </c>
      <c r="M159" s="36" t="str">
        <f>IF($X159&gt;0,IF($Y159&gt;0,"JLR machine "&amp;$O159&amp;" at "&amp;TEXT($X159,"0.00")&amp;" per hr — build-up as supplied","JLR machine "&amp;$O159&amp;" at "&amp;TEXT($X159,"0.00")&amp;" per hr — build-up not supplied"),$AA159)</f>
        <v>India CNC machining benchmark. Pune/Chennai corridor. Jun 2026</v>
      </c>
      <c r="N159" s="33" t="s">
        <v>1380</v>
      </c>
      <c r="O159" s="37" t="str">
        <f>IFERROR(INDEX(Mapping!$C$2:$C$549,MATCH($A159,Mapping!$A$2:$A$549,0)),"")</f>
        <v/>
      </c>
      <c r="P159" s="37">
        <f>IF($O159="",0,COUNTIFS('JLR Machines'!$A$2:$A$20001,$O159,'JLR Machines'!$C$2:$C$20001,IF(Settings!$B$2="","&lt;&gt;",Settings!$B$2),'JLR Machines'!$D$2:$D$20001,IF(Settings!$B$3="","&lt;&gt;",Settings!$B$3)))</f>
        <v>0</v>
      </c>
      <c r="Q159" s="39">
        <f>IF($P159&lt;&gt;1,0,SUMIFS('JLR Machines'!$G$2:$G$20001,'JLR Machines'!$A$2:$A$20001,$O159,'JLR Machines'!$C$2:$C$20001,IF(Settings!$B$2="","&lt;&gt;",Settings!$B$2),'JLR Machines'!$D$2:$D$20001,IF(Settings!$B$3="","&lt;&gt;",Settings!$B$3)))</f>
        <v>0</v>
      </c>
      <c r="R159" s="39">
        <f>IF($P159&lt;&gt;1,0,SUMIFS('JLR Machines'!$H$2:$H$20001,'JLR Machines'!$A$2:$A$20001,$O159,'JLR Machines'!$C$2:$C$20001,IF(Settings!$B$2="","&lt;&gt;",Settings!$B$2),'JLR Machines'!$D$2:$D$20001,IF(Settings!$B$3="","&lt;&gt;",Settings!$B$3)))</f>
        <v>0</v>
      </c>
      <c r="S159" s="39">
        <f>IF($P159&lt;&gt;1,0,SUMIFS('JLR Machines'!$I$2:$I$20001,'JLR Machines'!$A$2:$A$20001,$O159,'JLR Machines'!$C$2:$C$20001,IF(Settings!$B$2="","&lt;&gt;",Settings!$B$2),'JLR Machines'!$D$2:$D$20001,IF(Settings!$B$3="","&lt;&gt;",Settings!$B$3)))</f>
        <v>0</v>
      </c>
      <c r="T159" s="39">
        <f>IF($P159&lt;&gt;1,0,SUMIFS('JLR Machines'!$J$2:$J$20001,'JLR Machines'!$A$2:$A$20001,$O159,'JLR Machines'!$C$2:$C$20001,IF(Settings!$B$2="","&lt;&gt;",Settings!$B$2),'JLR Machines'!$D$2:$D$20001,IF(Settings!$B$3="","&lt;&gt;",Settings!$B$3)))</f>
        <v>0</v>
      </c>
      <c r="U159" s="39">
        <f>IF($P159&lt;&gt;1,0,SUMIFS('JLR Machines'!$K$2:$K$20001,'JLR Machines'!$A$2:$A$20001,$O159,'JLR Machines'!$C$2:$C$20001,IF(Settings!$B$2="","&lt;&gt;",Settings!$B$2),'JLR Machines'!$D$2:$D$20001,IF(Settings!$B$3="","&lt;&gt;",Settings!$B$3)))</f>
        <v>0</v>
      </c>
      <c r="V159" s="39">
        <f>IF($P159&lt;&gt;1,0,SUMIFS('JLR Machines'!$L$2:$L$20001,'JLR Machines'!$A$2:$A$20001,$O159,'JLR Machines'!$C$2:$C$20001,IF(Settings!$B$2="","&lt;&gt;",Settings!$B$2),'JLR Machines'!$D$2:$D$20001,IF(Settings!$B$3="","&lt;&gt;",Settings!$B$3)))</f>
        <v>0</v>
      </c>
      <c r="W159" s="39">
        <f>IF($P159&lt;&gt;1,0,SUMIFS('JLR Machines'!$M$2:$M$20001,'JLR Machines'!$A$2:$A$20001,$O159,'JLR Machines'!$C$2:$C$20001,IF(Settings!$B$2="","&lt;&gt;",Settings!$B$2),'JLR Machines'!$D$2:$D$20001,IF(Settings!$B$3="","&lt;&gt;",Settings!$B$3)))</f>
        <v>0</v>
      </c>
      <c r="X159" s="39">
        <f>IF($P159&lt;&gt;1,0,SUMIFS('JLR Machines'!$N$2:$N$20001,'JLR Machines'!$A$2:$A$20001,$O159,'JLR Machines'!$C$2:$C$20001,IF(Settings!$B$2="","&lt;&gt;",Settings!$B$2),'JLR Machines'!$D$2:$D$20001,IF(Settings!$B$3="","&lt;&gt;",Settings!$B$3)))</f>
        <v>0</v>
      </c>
      <c r="Y159" s="39">
        <f>$Q159+$R159+$S159+$T159+$U159+$V159+$W159</f>
        <v>0</v>
      </c>
      <c r="Z159" s="38">
        <f>IF($X159&lt;=0,0,ROUND((D159+E159+F159+G159+H159+I159)/3400-$X159,4))</f>
        <v>0</v>
      </c>
      <c r="AA159" s="40" t="s">
        <v>2403</v>
      </c>
      <c r="AB159" s="40" t="s">
        <v>2099</v>
      </c>
    </row>
    <row r="160" spans="1:28" x14ac:dyDescent="0.25">
      <c r="A160" s="32" t="s">
        <v>1240</v>
      </c>
      <c r="B160" s="33" t="s">
        <v>2404</v>
      </c>
      <c r="C160" s="33" t="s">
        <v>2405</v>
      </c>
      <c r="D160" s="41">
        <f>IF($X160&gt;0,IF($Y160&gt;0,MAX(0,$Q160+$X160-$Y160)*3480,$X160*3480),22264)</f>
        <v>22264</v>
      </c>
      <c r="E160" s="41">
        <f>IF($X160&gt;0,IF($Y160&gt;0,$S160*3480,0),11307)</f>
        <v>11307</v>
      </c>
      <c r="F160" s="41">
        <f>IF($X160&gt;0,IF($Y160&gt;0,$V160*3480,0),5069)</f>
        <v>5069</v>
      </c>
      <c r="G160" s="41">
        <f>IF($X160&gt;0,IF($Y160&gt;0,$R160*3480,0),2827)</f>
        <v>2827</v>
      </c>
      <c r="H160" s="41">
        <f>IF($X160&gt;0,IF($Y160&gt;0,($T160+$W160)*3480,0),10575)</f>
        <v>10575</v>
      </c>
      <c r="I160" s="41">
        <f>IF($X160&gt;0,IF($Y160&gt;0,$U160*3480,0),5850)</f>
        <v>5850</v>
      </c>
      <c r="J160" s="35">
        <v>4000</v>
      </c>
      <c r="K160" s="42">
        <v>0.87</v>
      </c>
      <c r="L160" s="36" t="str">
        <f>IF($X160&gt;0,IF($P160&lt;&gt;1,$AB160,IFERROR(INDEX('JLR Machines'!$D$2:$D$20001,MATCH($O160,'JLR Machines'!$A$2:$A$20001,0)),$AB160)),$AB160)</f>
        <v>2026-09-29</v>
      </c>
      <c r="M160" s="36" t="str">
        <f>IF($X160&gt;0,IF($Y160&gt;0,"JLR machine "&amp;$O160&amp;" at "&amp;TEXT($X160,"0.00")&amp;" per hr — build-up as supplied","JLR machine "&amp;$O160&amp;" at "&amp;TEXT($X160,"0.00")&amp;" per hr — build-up not supplied"),$AA160)</f>
        <v>Germany precision machining benchmark. Baden-Württemberg. Jun 2026</v>
      </c>
      <c r="N160" s="33" t="s">
        <v>1380</v>
      </c>
      <c r="O160" s="37" t="str">
        <f>IFERROR(INDEX(Mapping!$C$2:$C$549,MATCH($A160,Mapping!$A$2:$A$549,0)),"")</f>
        <v/>
      </c>
      <c r="P160" s="37">
        <f>IF($O160="",0,COUNTIFS('JLR Machines'!$A$2:$A$20001,$O160,'JLR Machines'!$C$2:$C$20001,IF(Settings!$B$2="","&lt;&gt;",Settings!$B$2),'JLR Machines'!$D$2:$D$20001,IF(Settings!$B$3="","&lt;&gt;",Settings!$B$3)))</f>
        <v>0</v>
      </c>
      <c r="Q160" s="39">
        <f>IF($P160&lt;&gt;1,0,SUMIFS('JLR Machines'!$G$2:$G$20001,'JLR Machines'!$A$2:$A$20001,$O160,'JLR Machines'!$C$2:$C$20001,IF(Settings!$B$2="","&lt;&gt;",Settings!$B$2),'JLR Machines'!$D$2:$D$20001,IF(Settings!$B$3="","&lt;&gt;",Settings!$B$3)))</f>
        <v>0</v>
      </c>
      <c r="R160" s="39">
        <f>IF($P160&lt;&gt;1,0,SUMIFS('JLR Machines'!$H$2:$H$20001,'JLR Machines'!$A$2:$A$20001,$O160,'JLR Machines'!$C$2:$C$20001,IF(Settings!$B$2="","&lt;&gt;",Settings!$B$2),'JLR Machines'!$D$2:$D$20001,IF(Settings!$B$3="","&lt;&gt;",Settings!$B$3)))</f>
        <v>0</v>
      </c>
      <c r="S160" s="39">
        <f>IF($P160&lt;&gt;1,0,SUMIFS('JLR Machines'!$I$2:$I$20001,'JLR Machines'!$A$2:$A$20001,$O160,'JLR Machines'!$C$2:$C$20001,IF(Settings!$B$2="","&lt;&gt;",Settings!$B$2),'JLR Machines'!$D$2:$D$20001,IF(Settings!$B$3="","&lt;&gt;",Settings!$B$3)))</f>
        <v>0</v>
      </c>
      <c r="T160" s="39">
        <f>IF($P160&lt;&gt;1,0,SUMIFS('JLR Machines'!$J$2:$J$20001,'JLR Machines'!$A$2:$A$20001,$O160,'JLR Machines'!$C$2:$C$20001,IF(Settings!$B$2="","&lt;&gt;",Settings!$B$2),'JLR Machines'!$D$2:$D$20001,IF(Settings!$B$3="","&lt;&gt;",Settings!$B$3)))</f>
        <v>0</v>
      </c>
      <c r="U160" s="39">
        <f>IF($P160&lt;&gt;1,0,SUMIFS('JLR Machines'!$K$2:$K$20001,'JLR Machines'!$A$2:$A$20001,$O160,'JLR Machines'!$C$2:$C$20001,IF(Settings!$B$2="","&lt;&gt;",Settings!$B$2),'JLR Machines'!$D$2:$D$20001,IF(Settings!$B$3="","&lt;&gt;",Settings!$B$3)))</f>
        <v>0</v>
      </c>
      <c r="V160" s="39">
        <f>IF($P160&lt;&gt;1,0,SUMIFS('JLR Machines'!$L$2:$L$20001,'JLR Machines'!$A$2:$A$20001,$O160,'JLR Machines'!$C$2:$C$20001,IF(Settings!$B$2="","&lt;&gt;",Settings!$B$2),'JLR Machines'!$D$2:$D$20001,IF(Settings!$B$3="","&lt;&gt;",Settings!$B$3)))</f>
        <v>0</v>
      </c>
      <c r="W160" s="39">
        <f>IF($P160&lt;&gt;1,0,SUMIFS('JLR Machines'!$M$2:$M$20001,'JLR Machines'!$A$2:$A$20001,$O160,'JLR Machines'!$C$2:$C$20001,IF(Settings!$B$2="","&lt;&gt;",Settings!$B$2),'JLR Machines'!$D$2:$D$20001,IF(Settings!$B$3="","&lt;&gt;",Settings!$B$3)))</f>
        <v>0</v>
      </c>
      <c r="X160" s="39">
        <f>IF($P160&lt;&gt;1,0,SUMIFS('JLR Machines'!$N$2:$N$20001,'JLR Machines'!$A$2:$A$20001,$O160,'JLR Machines'!$C$2:$C$20001,IF(Settings!$B$2="","&lt;&gt;",Settings!$B$2),'JLR Machines'!$D$2:$D$20001,IF(Settings!$B$3="","&lt;&gt;",Settings!$B$3)))</f>
        <v>0</v>
      </c>
      <c r="Y160" s="39">
        <f>$Q160+$R160+$S160+$T160+$U160+$V160+$W160</f>
        <v>0</v>
      </c>
      <c r="Z160" s="38">
        <f>IF($X160&lt;=0,0,ROUND((D160+E160+F160+G160+H160+I160)/3480-$X160,4))</f>
        <v>0</v>
      </c>
      <c r="AA160" s="40" t="s">
        <v>2406</v>
      </c>
      <c r="AB160" s="40" t="s">
        <v>2099</v>
      </c>
    </row>
    <row r="161" spans="1:28" x14ac:dyDescent="0.25">
      <c r="A161" s="32" t="s">
        <v>1242</v>
      </c>
      <c r="B161" s="33" t="s">
        <v>2407</v>
      </c>
      <c r="C161" s="33" t="s">
        <v>2408</v>
      </c>
      <c r="D161" s="41">
        <f>IF($X161&gt;0,IF($Y161&gt;0,MAX(0,$Q161+$X161-$Y161)*3400,$X161*3400),22264)</f>
        <v>22264</v>
      </c>
      <c r="E161" s="41">
        <f>IF($X161&gt;0,IF($Y161&gt;0,$S161*3400,0),3635)</f>
        <v>3635</v>
      </c>
      <c r="F161" s="41">
        <f>IF($X161&gt;0,IF($Y161&gt;0,$V161*3400,0),3030)</f>
        <v>3030</v>
      </c>
      <c r="G161" s="41">
        <f>IF($X161&gt;0,IF($Y161&gt;0,$R161*3400,0),1237)</f>
        <v>1237</v>
      </c>
      <c r="H161" s="41">
        <f>IF($X161&gt;0,IF($Y161&gt;0,($T161+$W161)*3400,0),3399)</f>
        <v>3399</v>
      </c>
      <c r="I161" s="41">
        <f>IF($X161&gt;0,IF($Y161&gt;0,$U161*3400,0),5850)</f>
        <v>5850</v>
      </c>
      <c r="J161" s="35">
        <v>4000</v>
      </c>
      <c r="K161" s="42">
        <v>0.85</v>
      </c>
      <c r="L161" s="36" t="str">
        <f>IF($X161&gt;0,IF($P161&lt;&gt;1,$AB161,IFERROR(INDEX('JLR Machines'!$D$2:$D$20001,MATCH($O161,'JLR Machines'!$A$2:$A$20001,0)),$AB161)),$AB161)</f>
        <v>2026-09-29</v>
      </c>
      <c r="M161" s="36" t="str">
        <f>IF($X161&gt;0,IF($Y161&gt;0,"JLR machine "&amp;$O161&amp;" at "&amp;TEXT($X161,"0.00")&amp;" per hr — build-up as supplied","JLR machine "&amp;$O161&amp;" at "&amp;TEXT($X161,"0.00")&amp;" per hr — build-up not supplied"),$AA161)</f>
        <v>Poland CNC machining benchmark. Silesia/Lower Silesia. Jun 2026</v>
      </c>
      <c r="N161" s="33" t="s">
        <v>1380</v>
      </c>
      <c r="O161" s="37" t="str">
        <f>IFERROR(INDEX(Mapping!$C$2:$C$549,MATCH($A161,Mapping!$A$2:$A$549,0)),"")</f>
        <v/>
      </c>
      <c r="P161" s="37">
        <f>IF($O161="",0,COUNTIFS('JLR Machines'!$A$2:$A$20001,$O161,'JLR Machines'!$C$2:$C$20001,IF(Settings!$B$2="","&lt;&gt;",Settings!$B$2),'JLR Machines'!$D$2:$D$20001,IF(Settings!$B$3="","&lt;&gt;",Settings!$B$3)))</f>
        <v>0</v>
      </c>
      <c r="Q161" s="39">
        <f>IF($P161&lt;&gt;1,0,SUMIFS('JLR Machines'!$G$2:$G$20001,'JLR Machines'!$A$2:$A$20001,$O161,'JLR Machines'!$C$2:$C$20001,IF(Settings!$B$2="","&lt;&gt;",Settings!$B$2),'JLR Machines'!$D$2:$D$20001,IF(Settings!$B$3="","&lt;&gt;",Settings!$B$3)))</f>
        <v>0</v>
      </c>
      <c r="R161" s="39">
        <f>IF($P161&lt;&gt;1,0,SUMIFS('JLR Machines'!$H$2:$H$20001,'JLR Machines'!$A$2:$A$20001,$O161,'JLR Machines'!$C$2:$C$20001,IF(Settings!$B$2="","&lt;&gt;",Settings!$B$2),'JLR Machines'!$D$2:$D$20001,IF(Settings!$B$3="","&lt;&gt;",Settings!$B$3)))</f>
        <v>0</v>
      </c>
      <c r="S161" s="39">
        <f>IF($P161&lt;&gt;1,0,SUMIFS('JLR Machines'!$I$2:$I$20001,'JLR Machines'!$A$2:$A$20001,$O161,'JLR Machines'!$C$2:$C$20001,IF(Settings!$B$2="","&lt;&gt;",Settings!$B$2),'JLR Machines'!$D$2:$D$20001,IF(Settings!$B$3="","&lt;&gt;",Settings!$B$3)))</f>
        <v>0</v>
      </c>
      <c r="T161" s="39">
        <f>IF($P161&lt;&gt;1,0,SUMIFS('JLR Machines'!$J$2:$J$20001,'JLR Machines'!$A$2:$A$20001,$O161,'JLR Machines'!$C$2:$C$20001,IF(Settings!$B$2="","&lt;&gt;",Settings!$B$2),'JLR Machines'!$D$2:$D$20001,IF(Settings!$B$3="","&lt;&gt;",Settings!$B$3)))</f>
        <v>0</v>
      </c>
      <c r="U161" s="39">
        <f>IF($P161&lt;&gt;1,0,SUMIFS('JLR Machines'!$K$2:$K$20001,'JLR Machines'!$A$2:$A$20001,$O161,'JLR Machines'!$C$2:$C$20001,IF(Settings!$B$2="","&lt;&gt;",Settings!$B$2),'JLR Machines'!$D$2:$D$20001,IF(Settings!$B$3="","&lt;&gt;",Settings!$B$3)))</f>
        <v>0</v>
      </c>
      <c r="V161" s="39">
        <f>IF($P161&lt;&gt;1,0,SUMIFS('JLR Machines'!$L$2:$L$20001,'JLR Machines'!$A$2:$A$20001,$O161,'JLR Machines'!$C$2:$C$20001,IF(Settings!$B$2="","&lt;&gt;",Settings!$B$2),'JLR Machines'!$D$2:$D$20001,IF(Settings!$B$3="","&lt;&gt;",Settings!$B$3)))</f>
        <v>0</v>
      </c>
      <c r="W161" s="39">
        <f>IF($P161&lt;&gt;1,0,SUMIFS('JLR Machines'!$M$2:$M$20001,'JLR Machines'!$A$2:$A$20001,$O161,'JLR Machines'!$C$2:$C$20001,IF(Settings!$B$2="","&lt;&gt;",Settings!$B$2),'JLR Machines'!$D$2:$D$20001,IF(Settings!$B$3="","&lt;&gt;",Settings!$B$3)))</f>
        <v>0</v>
      </c>
      <c r="X161" s="39">
        <f>IF($P161&lt;&gt;1,0,SUMIFS('JLR Machines'!$N$2:$N$20001,'JLR Machines'!$A$2:$A$20001,$O161,'JLR Machines'!$C$2:$C$20001,IF(Settings!$B$2="","&lt;&gt;",Settings!$B$2),'JLR Machines'!$D$2:$D$20001,IF(Settings!$B$3="","&lt;&gt;",Settings!$B$3)))</f>
        <v>0</v>
      </c>
      <c r="Y161" s="39">
        <f>$Q161+$R161+$S161+$T161+$U161+$V161+$W161</f>
        <v>0</v>
      </c>
      <c r="Z161" s="38">
        <f>IF($X161&lt;=0,0,ROUND((D161+E161+F161+G161+H161+I161)/3400-$X161,4))</f>
        <v>0</v>
      </c>
      <c r="AA161" s="40" t="s">
        <v>2409</v>
      </c>
      <c r="AB161" s="40" t="s">
        <v>2099</v>
      </c>
    </row>
    <row r="162" spans="1:28" x14ac:dyDescent="0.25">
      <c r="A162" s="32" t="s">
        <v>1244</v>
      </c>
      <c r="B162" s="33" t="s">
        <v>2410</v>
      </c>
      <c r="C162" s="33" t="s">
        <v>2411</v>
      </c>
      <c r="D162" s="41">
        <f>IF($X162&gt;0,IF($Y162&gt;0,MAX(0,$Q162+$X162-$Y162)*3400,$X162*3400),22264)</f>
        <v>22264</v>
      </c>
      <c r="E162" s="41">
        <f>IF($X162&gt;0,IF($Y162&gt;0,$S162*3400,0),2423)</f>
        <v>2423</v>
      </c>
      <c r="F162" s="41">
        <f>IF($X162&gt;0,IF($Y162&gt;0,$V162*3400,0),2272)</f>
        <v>2272</v>
      </c>
      <c r="G162" s="41">
        <f>IF($X162&gt;0,IF($Y162&gt;0,$R162*3400,0),707)</f>
        <v>707</v>
      </c>
      <c r="H162" s="41">
        <f>IF($X162&gt;0,IF($Y162&gt;0,($T162+$W162)*3400,0),2266)</f>
        <v>2266</v>
      </c>
      <c r="I162" s="41">
        <f>IF($X162&gt;0,IF($Y162&gt;0,$U162*3400,0),5850)</f>
        <v>5850</v>
      </c>
      <c r="J162" s="35">
        <v>4000</v>
      </c>
      <c r="K162" s="42">
        <v>0.85</v>
      </c>
      <c r="L162" s="36" t="str">
        <f>IF($X162&gt;0,IF($P162&lt;&gt;1,$AB162,IFERROR(INDEX('JLR Machines'!$D$2:$D$20001,MATCH($O162,'JLR Machines'!$A$2:$A$20001,0)),$AB162)),$AB162)</f>
        <v>2026-09-29</v>
      </c>
      <c r="M162" s="36" t="str">
        <f>IF($X162&gt;0,IF($Y162&gt;0,"JLR machine "&amp;$O162&amp;" at "&amp;TEXT($X162,"0.00")&amp;" per hr — build-up as supplied","JLR machine "&amp;$O162&amp;" at "&amp;TEXT($X162,"0.00")&amp;" per hr — build-up not supplied"),$AA162)</f>
        <v>Mexico CNC machining benchmark. Monterrey/Guanajuato. Jun 2026</v>
      </c>
      <c r="N162" s="33" t="s">
        <v>1380</v>
      </c>
      <c r="O162" s="37" t="str">
        <f>IFERROR(INDEX(Mapping!$C$2:$C$549,MATCH($A162,Mapping!$A$2:$A$549,0)),"")</f>
        <v/>
      </c>
      <c r="P162" s="37">
        <f>IF($O162="",0,COUNTIFS('JLR Machines'!$A$2:$A$20001,$O162,'JLR Machines'!$C$2:$C$20001,IF(Settings!$B$2="","&lt;&gt;",Settings!$B$2),'JLR Machines'!$D$2:$D$20001,IF(Settings!$B$3="","&lt;&gt;",Settings!$B$3)))</f>
        <v>0</v>
      </c>
      <c r="Q162" s="39">
        <f>IF($P162&lt;&gt;1,0,SUMIFS('JLR Machines'!$G$2:$G$20001,'JLR Machines'!$A$2:$A$20001,$O162,'JLR Machines'!$C$2:$C$20001,IF(Settings!$B$2="","&lt;&gt;",Settings!$B$2),'JLR Machines'!$D$2:$D$20001,IF(Settings!$B$3="","&lt;&gt;",Settings!$B$3)))</f>
        <v>0</v>
      </c>
      <c r="R162" s="39">
        <f>IF($P162&lt;&gt;1,0,SUMIFS('JLR Machines'!$H$2:$H$20001,'JLR Machines'!$A$2:$A$20001,$O162,'JLR Machines'!$C$2:$C$20001,IF(Settings!$B$2="","&lt;&gt;",Settings!$B$2),'JLR Machines'!$D$2:$D$20001,IF(Settings!$B$3="","&lt;&gt;",Settings!$B$3)))</f>
        <v>0</v>
      </c>
      <c r="S162" s="39">
        <f>IF($P162&lt;&gt;1,0,SUMIFS('JLR Machines'!$I$2:$I$20001,'JLR Machines'!$A$2:$A$20001,$O162,'JLR Machines'!$C$2:$C$20001,IF(Settings!$B$2="","&lt;&gt;",Settings!$B$2),'JLR Machines'!$D$2:$D$20001,IF(Settings!$B$3="","&lt;&gt;",Settings!$B$3)))</f>
        <v>0</v>
      </c>
      <c r="T162" s="39">
        <f>IF($P162&lt;&gt;1,0,SUMIFS('JLR Machines'!$J$2:$J$20001,'JLR Machines'!$A$2:$A$20001,$O162,'JLR Machines'!$C$2:$C$20001,IF(Settings!$B$2="","&lt;&gt;",Settings!$B$2),'JLR Machines'!$D$2:$D$20001,IF(Settings!$B$3="","&lt;&gt;",Settings!$B$3)))</f>
        <v>0</v>
      </c>
      <c r="U162" s="39">
        <f>IF($P162&lt;&gt;1,0,SUMIFS('JLR Machines'!$K$2:$K$20001,'JLR Machines'!$A$2:$A$20001,$O162,'JLR Machines'!$C$2:$C$20001,IF(Settings!$B$2="","&lt;&gt;",Settings!$B$2),'JLR Machines'!$D$2:$D$20001,IF(Settings!$B$3="","&lt;&gt;",Settings!$B$3)))</f>
        <v>0</v>
      </c>
      <c r="V162" s="39">
        <f>IF($P162&lt;&gt;1,0,SUMIFS('JLR Machines'!$L$2:$L$20001,'JLR Machines'!$A$2:$A$20001,$O162,'JLR Machines'!$C$2:$C$20001,IF(Settings!$B$2="","&lt;&gt;",Settings!$B$2),'JLR Machines'!$D$2:$D$20001,IF(Settings!$B$3="","&lt;&gt;",Settings!$B$3)))</f>
        <v>0</v>
      </c>
      <c r="W162" s="39">
        <f>IF($P162&lt;&gt;1,0,SUMIFS('JLR Machines'!$M$2:$M$20001,'JLR Machines'!$A$2:$A$20001,$O162,'JLR Machines'!$C$2:$C$20001,IF(Settings!$B$2="","&lt;&gt;",Settings!$B$2),'JLR Machines'!$D$2:$D$20001,IF(Settings!$B$3="","&lt;&gt;",Settings!$B$3)))</f>
        <v>0</v>
      </c>
      <c r="X162" s="39">
        <f>IF($P162&lt;&gt;1,0,SUMIFS('JLR Machines'!$N$2:$N$20001,'JLR Machines'!$A$2:$A$20001,$O162,'JLR Machines'!$C$2:$C$20001,IF(Settings!$B$2="","&lt;&gt;",Settings!$B$2),'JLR Machines'!$D$2:$D$20001,IF(Settings!$B$3="","&lt;&gt;",Settings!$B$3)))</f>
        <v>0</v>
      </c>
      <c r="Y162" s="39">
        <f>$Q162+$R162+$S162+$T162+$U162+$V162+$W162</f>
        <v>0</v>
      </c>
      <c r="Z162" s="38">
        <f>IF($X162&lt;=0,0,ROUND((D162+E162+F162+G162+H162+I162)/3400-$X162,4))</f>
        <v>0</v>
      </c>
      <c r="AA162" s="40" t="s">
        <v>2412</v>
      </c>
      <c r="AB162" s="40" t="s">
        <v>2099</v>
      </c>
    </row>
    <row r="163" spans="1:28" x14ac:dyDescent="0.25">
      <c r="A163" s="32" t="s">
        <v>1246</v>
      </c>
      <c r="B163" s="33" t="s">
        <v>2413</v>
      </c>
      <c r="C163" s="33" t="s">
        <v>2399</v>
      </c>
      <c r="D163" s="41">
        <f>IF($X163&gt;0,IF($Y163&gt;0,MAX(0,$Q163+$X163-$Y163)*4250,$X163*4250),28336)</f>
        <v>28336</v>
      </c>
      <c r="E163" s="41">
        <f>IF($X163&gt;0,IF($Y163&gt;0,$S163*4250,0),3029)</f>
        <v>3029</v>
      </c>
      <c r="F163" s="41">
        <f>IF($X163&gt;0,IF($Y163&gt;0,$V163*4250,0),4894)</f>
        <v>4894</v>
      </c>
      <c r="G163" s="41">
        <f>IF($X163&gt;0,IF($Y163&gt;0,$R163*4250,0),1212)</f>
        <v>1212</v>
      </c>
      <c r="H163" s="41">
        <f>IF($X163&gt;0,IF($Y163&gt;0,($T163+$W163)*4250,0),3022)</f>
        <v>3022</v>
      </c>
      <c r="I163" s="41">
        <f>IF($X163&gt;0,IF($Y163&gt;0,$U163*4250,0),7000)</f>
        <v>7000</v>
      </c>
      <c r="J163" s="35">
        <v>5000</v>
      </c>
      <c r="K163" s="42">
        <v>0.85</v>
      </c>
      <c r="L163" s="36" t="str">
        <f>IF($X163&gt;0,IF($P163&lt;&gt;1,$AB163,IFERROR(INDEX('JLR Machines'!$D$2:$D$20001,MATCH($O163,'JLR Machines'!$A$2:$A$20001,0)),$AB163)),$AB163)</f>
        <v>2026-09-29</v>
      </c>
      <c r="M163" s="36" t="str">
        <f>IF($X163&gt;0,IF($Y163&gt;0,"JLR machine "&amp;$O163&amp;" at "&amp;TEXT($X163,"0.00")&amp;" per hr — build-up as supplied","JLR machine "&amp;$O163&amp;" at "&amp;TEXT($X163,"0.00")&amp;" per hr — build-up not supplied"),$AA163)</f>
        <v>China injection moulding benchmark. Taizhou/Guangdong plastics belt. Jun 2026</v>
      </c>
      <c r="N163" s="33" t="s">
        <v>1380</v>
      </c>
      <c r="O163" s="37" t="str">
        <f>IFERROR(INDEX(Mapping!$C$2:$C$549,MATCH($A163,Mapping!$A$2:$A$549,0)),"")</f>
        <v/>
      </c>
      <c r="P163" s="37">
        <f>IF($O163="",0,COUNTIFS('JLR Machines'!$A$2:$A$20001,$O163,'JLR Machines'!$C$2:$C$20001,IF(Settings!$B$2="","&lt;&gt;",Settings!$B$2),'JLR Machines'!$D$2:$D$20001,IF(Settings!$B$3="","&lt;&gt;",Settings!$B$3)))</f>
        <v>0</v>
      </c>
      <c r="Q163" s="39">
        <f>IF($P163&lt;&gt;1,0,SUMIFS('JLR Machines'!$G$2:$G$20001,'JLR Machines'!$A$2:$A$20001,$O163,'JLR Machines'!$C$2:$C$20001,IF(Settings!$B$2="","&lt;&gt;",Settings!$B$2),'JLR Machines'!$D$2:$D$20001,IF(Settings!$B$3="","&lt;&gt;",Settings!$B$3)))</f>
        <v>0</v>
      </c>
      <c r="R163" s="39">
        <f>IF($P163&lt;&gt;1,0,SUMIFS('JLR Machines'!$H$2:$H$20001,'JLR Machines'!$A$2:$A$20001,$O163,'JLR Machines'!$C$2:$C$20001,IF(Settings!$B$2="","&lt;&gt;",Settings!$B$2),'JLR Machines'!$D$2:$D$20001,IF(Settings!$B$3="","&lt;&gt;",Settings!$B$3)))</f>
        <v>0</v>
      </c>
      <c r="S163" s="39">
        <f>IF($P163&lt;&gt;1,0,SUMIFS('JLR Machines'!$I$2:$I$20001,'JLR Machines'!$A$2:$A$20001,$O163,'JLR Machines'!$C$2:$C$20001,IF(Settings!$B$2="","&lt;&gt;",Settings!$B$2),'JLR Machines'!$D$2:$D$20001,IF(Settings!$B$3="","&lt;&gt;",Settings!$B$3)))</f>
        <v>0</v>
      </c>
      <c r="T163" s="39">
        <f>IF($P163&lt;&gt;1,0,SUMIFS('JLR Machines'!$J$2:$J$20001,'JLR Machines'!$A$2:$A$20001,$O163,'JLR Machines'!$C$2:$C$20001,IF(Settings!$B$2="","&lt;&gt;",Settings!$B$2),'JLR Machines'!$D$2:$D$20001,IF(Settings!$B$3="","&lt;&gt;",Settings!$B$3)))</f>
        <v>0</v>
      </c>
      <c r="U163" s="39">
        <f>IF($P163&lt;&gt;1,0,SUMIFS('JLR Machines'!$K$2:$K$20001,'JLR Machines'!$A$2:$A$20001,$O163,'JLR Machines'!$C$2:$C$20001,IF(Settings!$B$2="","&lt;&gt;",Settings!$B$2),'JLR Machines'!$D$2:$D$20001,IF(Settings!$B$3="","&lt;&gt;",Settings!$B$3)))</f>
        <v>0</v>
      </c>
      <c r="V163" s="39">
        <f>IF($P163&lt;&gt;1,0,SUMIFS('JLR Machines'!$L$2:$L$20001,'JLR Machines'!$A$2:$A$20001,$O163,'JLR Machines'!$C$2:$C$20001,IF(Settings!$B$2="","&lt;&gt;",Settings!$B$2),'JLR Machines'!$D$2:$D$20001,IF(Settings!$B$3="","&lt;&gt;",Settings!$B$3)))</f>
        <v>0</v>
      </c>
      <c r="W163" s="39">
        <f>IF($P163&lt;&gt;1,0,SUMIFS('JLR Machines'!$M$2:$M$20001,'JLR Machines'!$A$2:$A$20001,$O163,'JLR Machines'!$C$2:$C$20001,IF(Settings!$B$2="","&lt;&gt;",Settings!$B$2),'JLR Machines'!$D$2:$D$20001,IF(Settings!$B$3="","&lt;&gt;",Settings!$B$3)))</f>
        <v>0</v>
      </c>
      <c r="X163" s="39">
        <f>IF($P163&lt;&gt;1,0,SUMIFS('JLR Machines'!$N$2:$N$20001,'JLR Machines'!$A$2:$A$20001,$O163,'JLR Machines'!$C$2:$C$20001,IF(Settings!$B$2="","&lt;&gt;",Settings!$B$2),'JLR Machines'!$D$2:$D$20001,IF(Settings!$B$3="","&lt;&gt;",Settings!$B$3)))</f>
        <v>0</v>
      </c>
      <c r="Y163" s="39">
        <f>$Q163+$R163+$S163+$T163+$U163+$V163+$W163</f>
        <v>0</v>
      </c>
      <c r="Z163" s="38">
        <f>IF($X163&lt;=0,0,ROUND((D163+E163+F163+G163+H163+I163)/4250-$X163,4))</f>
        <v>0</v>
      </c>
      <c r="AA163" s="40" t="s">
        <v>2414</v>
      </c>
      <c r="AB163" s="40" t="s">
        <v>2099</v>
      </c>
    </row>
    <row r="164" spans="1:28" x14ac:dyDescent="0.25">
      <c r="A164" s="32" t="s">
        <v>1248</v>
      </c>
      <c r="B164" s="33" t="s">
        <v>2415</v>
      </c>
      <c r="C164" s="33" t="s">
        <v>2402</v>
      </c>
      <c r="D164" s="41">
        <f>IF($X164&gt;0,IF($Y164&gt;0,MAX(0,$Q164+$X164-$Y164)*4150,$X164*4150),28336)</f>
        <v>28336</v>
      </c>
      <c r="E164" s="41">
        <f>IF($X164&gt;0,IF($Y164&gt;0,$S164*4150,0),2524)</f>
        <v>2524</v>
      </c>
      <c r="F164" s="41">
        <f>IF($X164&gt;0,IF($Y164&gt;0,$V164*4150,0),6525)</f>
        <v>6525</v>
      </c>
      <c r="G164" s="41">
        <f>IF($X164&gt;0,IF($Y164&gt;0,$R164*4150,0),808)</f>
        <v>808</v>
      </c>
      <c r="H164" s="41">
        <f>IF($X164&gt;0,IF($Y164&gt;0,($T164+$W164)*4150,0),2216)</f>
        <v>2216</v>
      </c>
      <c r="I164" s="41">
        <f>IF($X164&gt;0,IF($Y164&gt;0,$U164*4150,0),7000)</f>
        <v>7000</v>
      </c>
      <c r="J164" s="35">
        <v>5000</v>
      </c>
      <c r="K164" s="42">
        <v>0.83</v>
      </c>
      <c r="L164" s="36" t="str">
        <f>IF($X164&gt;0,IF($P164&lt;&gt;1,$AB164,IFERROR(INDEX('JLR Machines'!$D$2:$D$20001,MATCH($O164,'JLR Machines'!$A$2:$A$20001,0)),$AB164)),$AB164)</f>
        <v>2026-09-29</v>
      </c>
      <c r="M164" s="36" t="str">
        <f>IF($X164&gt;0,IF($Y164&gt;0,"JLR machine "&amp;$O164&amp;" at "&amp;TEXT($X164,"0.00")&amp;" per hr — build-up as supplied","JLR machine "&amp;$O164&amp;" at "&amp;TEXT($X164,"0.00")&amp;" per hr — build-up not supplied"),$AA164)</f>
        <v>India injection moulding benchmark. Pune/Rajkot plastics cluster. Jun 2026</v>
      </c>
      <c r="N164" s="33" t="s">
        <v>1380</v>
      </c>
      <c r="O164" s="37" t="str">
        <f>IFERROR(INDEX(Mapping!$C$2:$C$549,MATCH($A164,Mapping!$A$2:$A$549,0)),"")</f>
        <v/>
      </c>
      <c r="P164" s="37">
        <f>IF($O164="",0,COUNTIFS('JLR Machines'!$A$2:$A$20001,$O164,'JLR Machines'!$C$2:$C$20001,IF(Settings!$B$2="","&lt;&gt;",Settings!$B$2),'JLR Machines'!$D$2:$D$20001,IF(Settings!$B$3="","&lt;&gt;",Settings!$B$3)))</f>
        <v>0</v>
      </c>
      <c r="Q164" s="39">
        <f>IF($P164&lt;&gt;1,0,SUMIFS('JLR Machines'!$G$2:$G$20001,'JLR Machines'!$A$2:$A$20001,$O164,'JLR Machines'!$C$2:$C$20001,IF(Settings!$B$2="","&lt;&gt;",Settings!$B$2),'JLR Machines'!$D$2:$D$20001,IF(Settings!$B$3="","&lt;&gt;",Settings!$B$3)))</f>
        <v>0</v>
      </c>
      <c r="R164" s="39">
        <f>IF($P164&lt;&gt;1,0,SUMIFS('JLR Machines'!$H$2:$H$20001,'JLR Machines'!$A$2:$A$20001,$O164,'JLR Machines'!$C$2:$C$20001,IF(Settings!$B$2="","&lt;&gt;",Settings!$B$2),'JLR Machines'!$D$2:$D$20001,IF(Settings!$B$3="","&lt;&gt;",Settings!$B$3)))</f>
        <v>0</v>
      </c>
      <c r="S164" s="39">
        <f>IF($P164&lt;&gt;1,0,SUMIFS('JLR Machines'!$I$2:$I$20001,'JLR Machines'!$A$2:$A$20001,$O164,'JLR Machines'!$C$2:$C$20001,IF(Settings!$B$2="","&lt;&gt;",Settings!$B$2),'JLR Machines'!$D$2:$D$20001,IF(Settings!$B$3="","&lt;&gt;",Settings!$B$3)))</f>
        <v>0</v>
      </c>
      <c r="T164" s="39">
        <f>IF($P164&lt;&gt;1,0,SUMIFS('JLR Machines'!$J$2:$J$20001,'JLR Machines'!$A$2:$A$20001,$O164,'JLR Machines'!$C$2:$C$20001,IF(Settings!$B$2="","&lt;&gt;",Settings!$B$2),'JLR Machines'!$D$2:$D$20001,IF(Settings!$B$3="","&lt;&gt;",Settings!$B$3)))</f>
        <v>0</v>
      </c>
      <c r="U164" s="39">
        <f>IF($P164&lt;&gt;1,0,SUMIFS('JLR Machines'!$K$2:$K$20001,'JLR Machines'!$A$2:$A$20001,$O164,'JLR Machines'!$C$2:$C$20001,IF(Settings!$B$2="","&lt;&gt;",Settings!$B$2),'JLR Machines'!$D$2:$D$20001,IF(Settings!$B$3="","&lt;&gt;",Settings!$B$3)))</f>
        <v>0</v>
      </c>
      <c r="V164" s="39">
        <f>IF($P164&lt;&gt;1,0,SUMIFS('JLR Machines'!$L$2:$L$20001,'JLR Machines'!$A$2:$A$20001,$O164,'JLR Machines'!$C$2:$C$20001,IF(Settings!$B$2="","&lt;&gt;",Settings!$B$2),'JLR Machines'!$D$2:$D$20001,IF(Settings!$B$3="","&lt;&gt;",Settings!$B$3)))</f>
        <v>0</v>
      </c>
      <c r="W164" s="39">
        <f>IF($P164&lt;&gt;1,0,SUMIFS('JLR Machines'!$M$2:$M$20001,'JLR Machines'!$A$2:$A$20001,$O164,'JLR Machines'!$C$2:$C$20001,IF(Settings!$B$2="","&lt;&gt;",Settings!$B$2),'JLR Machines'!$D$2:$D$20001,IF(Settings!$B$3="","&lt;&gt;",Settings!$B$3)))</f>
        <v>0</v>
      </c>
      <c r="X164" s="39">
        <f>IF($P164&lt;&gt;1,0,SUMIFS('JLR Machines'!$N$2:$N$20001,'JLR Machines'!$A$2:$A$20001,$O164,'JLR Machines'!$C$2:$C$20001,IF(Settings!$B$2="","&lt;&gt;",Settings!$B$2),'JLR Machines'!$D$2:$D$20001,IF(Settings!$B$3="","&lt;&gt;",Settings!$B$3)))</f>
        <v>0</v>
      </c>
      <c r="Y164" s="39">
        <f>$Q164+$R164+$S164+$T164+$U164+$V164+$W164</f>
        <v>0</v>
      </c>
      <c r="Z164" s="38">
        <f>IF($X164&lt;=0,0,ROUND((D164+E164+F164+G164+H164+I164)/4150-$X164,4))</f>
        <v>0</v>
      </c>
      <c r="AA164" s="40" t="s">
        <v>2416</v>
      </c>
      <c r="AB164" s="40" t="s">
        <v>2099</v>
      </c>
    </row>
    <row r="165" spans="1:28" x14ac:dyDescent="0.25">
      <c r="A165" s="32" t="s">
        <v>1250</v>
      </c>
      <c r="B165" s="33" t="s">
        <v>2417</v>
      </c>
      <c r="C165" s="33" t="s">
        <v>2405</v>
      </c>
      <c r="D165" s="41">
        <f>IF($X165&gt;0,IF($Y165&gt;0,MAX(0,$Q165+$X165-$Y165)*4350,$X165*4350),28336)</f>
        <v>28336</v>
      </c>
      <c r="E165" s="41">
        <f>IF($X165&gt;0,IF($Y165&gt;0,$S165*4350,0),14134)</f>
        <v>14134</v>
      </c>
      <c r="F165" s="41">
        <f>IF($X165&gt;0,IF($Y165&gt;0,$V165*4350,0),16220)</f>
        <v>16220</v>
      </c>
      <c r="G165" s="41">
        <f>IF($X165&gt;0,IF($Y165&gt;0,$R165*4350,0),6462)</f>
        <v>6462</v>
      </c>
      <c r="H165" s="41">
        <f>IF($X165&gt;0,IF($Y165&gt;0,($T165+$W165)*4350,0),22561)</f>
        <v>22561</v>
      </c>
      <c r="I165" s="41">
        <f>IF($X165&gt;0,IF($Y165&gt;0,$U165*4350,0),7000)</f>
        <v>7000</v>
      </c>
      <c r="J165" s="35">
        <v>5000</v>
      </c>
      <c r="K165" s="42">
        <v>0.87</v>
      </c>
      <c r="L165" s="36" t="str">
        <f>IF($X165&gt;0,IF($P165&lt;&gt;1,$AB165,IFERROR(INDEX('JLR Machines'!$D$2:$D$20001,MATCH($O165,'JLR Machines'!$A$2:$A$20001,0)),$AB165)),$AB165)</f>
        <v>2026-09-29</v>
      </c>
      <c r="M165" s="36" t="str">
        <f>IF($X165&gt;0,IF($Y165&gt;0,"JLR machine "&amp;$O165&amp;" at "&amp;TEXT($X165,"0.00")&amp;" per hr — build-up as supplied","JLR machine "&amp;$O165&amp;" at "&amp;TEXT($X165,"0.00")&amp;" per hr — build-up not supplied"),$AA165)</f>
        <v>Germany injection moulding benchmark. Jun 2026</v>
      </c>
      <c r="N165" s="33" t="s">
        <v>1380</v>
      </c>
      <c r="O165" s="37" t="str">
        <f>IFERROR(INDEX(Mapping!$C$2:$C$549,MATCH($A165,Mapping!$A$2:$A$549,0)),"")</f>
        <v/>
      </c>
      <c r="P165" s="37">
        <f>IF($O165="",0,COUNTIFS('JLR Machines'!$A$2:$A$20001,$O165,'JLR Machines'!$C$2:$C$20001,IF(Settings!$B$2="","&lt;&gt;",Settings!$B$2),'JLR Machines'!$D$2:$D$20001,IF(Settings!$B$3="","&lt;&gt;",Settings!$B$3)))</f>
        <v>0</v>
      </c>
      <c r="Q165" s="39">
        <f>IF($P165&lt;&gt;1,0,SUMIFS('JLR Machines'!$G$2:$G$20001,'JLR Machines'!$A$2:$A$20001,$O165,'JLR Machines'!$C$2:$C$20001,IF(Settings!$B$2="","&lt;&gt;",Settings!$B$2),'JLR Machines'!$D$2:$D$20001,IF(Settings!$B$3="","&lt;&gt;",Settings!$B$3)))</f>
        <v>0</v>
      </c>
      <c r="R165" s="39">
        <f>IF($P165&lt;&gt;1,0,SUMIFS('JLR Machines'!$H$2:$H$20001,'JLR Machines'!$A$2:$A$20001,$O165,'JLR Machines'!$C$2:$C$20001,IF(Settings!$B$2="","&lt;&gt;",Settings!$B$2),'JLR Machines'!$D$2:$D$20001,IF(Settings!$B$3="","&lt;&gt;",Settings!$B$3)))</f>
        <v>0</v>
      </c>
      <c r="S165" s="39">
        <f>IF($P165&lt;&gt;1,0,SUMIFS('JLR Machines'!$I$2:$I$20001,'JLR Machines'!$A$2:$A$20001,$O165,'JLR Machines'!$C$2:$C$20001,IF(Settings!$B$2="","&lt;&gt;",Settings!$B$2),'JLR Machines'!$D$2:$D$20001,IF(Settings!$B$3="","&lt;&gt;",Settings!$B$3)))</f>
        <v>0</v>
      </c>
      <c r="T165" s="39">
        <f>IF($P165&lt;&gt;1,0,SUMIFS('JLR Machines'!$J$2:$J$20001,'JLR Machines'!$A$2:$A$20001,$O165,'JLR Machines'!$C$2:$C$20001,IF(Settings!$B$2="","&lt;&gt;",Settings!$B$2),'JLR Machines'!$D$2:$D$20001,IF(Settings!$B$3="","&lt;&gt;",Settings!$B$3)))</f>
        <v>0</v>
      </c>
      <c r="U165" s="39">
        <f>IF($P165&lt;&gt;1,0,SUMIFS('JLR Machines'!$K$2:$K$20001,'JLR Machines'!$A$2:$A$20001,$O165,'JLR Machines'!$C$2:$C$20001,IF(Settings!$B$2="","&lt;&gt;",Settings!$B$2),'JLR Machines'!$D$2:$D$20001,IF(Settings!$B$3="","&lt;&gt;",Settings!$B$3)))</f>
        <v>0</v>
      </c>
      <c r="V165" s="39">
        <f>IF($P165&lt;&gt;1,0,SUMIFS('JLR Machines'!$L$2:$L$20001,'JLR Machines'!$A$2:$A$20001,$O165,'JLR Machines'!$C$2:$C$20001,IF(Settings!$B$2="","&lt;&gt;",Settings!$B$2),'JLR Machines'!$D$2:$D$20001,IF(Settings!$B$3="","&lt;&gt;",Settings!$B$3)))</f>
        <v>0</v>
      </c>
      <c r="W165" s="39">
        <f>IF($P165&lt;&gt;1,0,SUMIFS('JLR Machines'!$M$2:$M$20001,'JLR Machines'!$A$2:$A$20001,$O165,'JLR Machines'!$C$2:$C$20001,IF(Settings!$B$2="","&lt;&gt;",Settings!$B$2),'JLR Machines'!$D$2:$D$20001,IF(Settings!$B$3="","&lt;&gt;",Settings!$B$3)))</f>
        <v>0</v>
      </c>
      <c r="X165" s="39">
        <f>IF($P165&lt;&gt;1,0,SUMIFS('JLR Machines'!$N$2:$N$20001,'JLR Machines'!$A$2:$A$20001,$O165,'JLR Machines'!$C$2:$C$20001,IF(Settings!$B$2="","&lt;&gt;",Settings!$B$2),'JLR Machines'!$D$2:$D$20001,IF(Settings!$B$3="","&lt;&gt;",Settings!$B$3)))</f>
        <v>0</v>
      </c>
      <c r="Y165" s="39">
        <f>$Q165+$R165+$S165+$T165+$U165+$V165+$W165</f>
        <v>0</v>
      </c>
      <c r="Z165" s="38">
        <f>IF($X165&lt;=0,0,ROUND((D165+E165+F165+G165+H165+I165)/4350-$X165,4))</f>
        <v>0</v>
      </c>
      <c r="AA165" s="40" t="s">
        <v>2418</v>
      </c>
      <c r="AB165" s="40" t="s">
        <v>2099</v>
      </c>
    </row>
    <row r="166" spans="1:28" x14ac:dyDescent="0.25">
      <c r="A166" s="32" t="s">
        <v>1252</v>
      </c>
      <c r="B166" s="33" t="s">
        <v>2419</v>
      </c>
      <c r="C166" s="33" t="s">
        <v>2408</v>
      </c>
      <c r="D166" s="41">
        <f>IF($X166&gt;0,IF($Y166&gt;0,MAX(0,$Q166+$X166-$Y166)*4250,$X166*4250),28336)</f>
        <v>28336</v>
      </c>
      <c r="E166" s="41">
        <f>IF($X166&gt;0,IF($Y166&gt;0,$S166*4250,0),4543)</f>
        <v>4543</v>
      </c>
      <c r="F166" s="41">
        <f>IF($X166&gt;0,IF($Y166&gt;0,$V166*4250,0),9695)</f>
        <v>9695</v>
      </c>
      <c r="G166" s="41">
        <f>IF($X166&gt;0,IF($Y166&gt;0,$R166*4250,0),2827)</f>
        <v>2827</v>
      </c>
      <c r="H166" s="41">
        <f>IF($X166&gt;0,IF($Y166&gt;0,($T166+$W166)*4250,0),7252)</f>
        <v>7252</v>
      </c>
      <c r="I166" s="41">
        <f>IF($X166&gt;0,IF($Y166&gt;0,$U166*4250,0),7000)</f>
        <v>7000</v>
      </c>
      <c r="J166" s="35">
        <v>5000</v>
      </c>
      <c r="K166" s="42">
        <v>0.85</v>
      </c>
      <c r="L166" s="36" t="str">
        <f>IF($X166&gt;0,IF($P166&lt;&gt;1,$AB166,IFERROR(INDEX('JLR Machines'!$D$2:$D$20001,MATCH($O166,'JLR Machines'!$A$2:$A$20001,0)),$AB166)),$AB166)</f>
        <v>2026-09-29</v>
      </c>
      <c r="M166" s="36" t="str">
        <f>IF($X166&gt;0,IF($Y166&gt;0,"JLR machine "&amp;$O166&amp;" at "&amp;TEXT($X166,"0.00")&amp;" per hr — build-up as supplied","JLR machine "&amp;$O166&amp;" at "&amp;TEXT($X166,"0.00")&amp;" per hr — build-up not supplied"),$AA166)</f>
        <v>Poland injection moulding benchmark. Jun 2026</v>
      </c>
      <c r="N166" s="33" t="s">
        <v>1380</v>
      </c>
      <c r="O166" s="37" t="str">
        <f>IFERROR(INDEX(Mapping!$C$2:$C$549,MATCH($A166,Mapping!$A$2:$A$549,0)),"")</f>
        <v/>
      </c>
      <c r="P166" s="37">
        <f>IF($O166="",0,COUNTIFS('JLR Machines'!$A$2:$A$20001,$O166,'JLR Machines'!$C$2:$C$20001,IF(Settings!$B$2="","&lt;&gt;",Settings!$B$2),'JLR Machines'!$D$2:$D$20001,IF(Settings!$B$3="","&lt;&gt;",Settings!$B$3)))</f>
        <v>0</v>
      </c>
      <c r="Q166" s="39">
        <f>IF($P166&lt;&gt;1,0,SUMIFS('JLR Machines'!$G$2:$G$20001,'JLR Machines'!$A$2:$A$20001,$O166,'JLR Machines'!$C$2:$C$20001,IF(Settings!$B$2="","&lt;&gt;",Settings!$B$2),'JLR Machines'!$D$2:$D$20001,IF(Settings!$B$3="","&lt;&gt;",Settings!$B$3)))</f>
        <v>0</v>
      </c>
      <c r="R166" s="39">
        <f>IF($P166&lt;&gt;1,0,SUMIFS('JLR Machines'!$H$2:$H$20001,'JLR Machines'!$A$2:$A$20001,$O166,'JLR Machines'!$C$2:$C$20001,IF(Settings!$B$2="","&lt;&gt;",Settings!$B$2),'JLR Machines'!$D$2:$D$20001,IF(Settings!$B$3="","&lt;&gt;",Settings!$B$3)))</f>
        <v>0</v>
      </c>
      <c r="S166" s="39">
        <f>IF($P166&lt;&gt;1,0,SUMIFS('JLR Machines'!$I$2:$I$20001,'JLR Machines'!$A$2:$A$20001,$O166,'JLR Machines'!$C$2:$C$20001,IF(Settings!$B$2="","&lt;&gt;",Settings!$B$2),'JLR Machines'!$D$2:$D$20001,IF(Settings!$B$3="","&lt;&gt;",Settings!$B$3)))</f>
        <v>0</v>
      </c>
      <c r="T166" s="39">
        <f>IF($P166&lt;&gt;1,0,SUMIFS('JLR Machines'!$J$2:$J$20001,'JLR Machines'!$A$2:$A$20001,$O166,'JLR Machines'!$C$2:$C$20001,IF(Settings!$B$2="","&lt;&gt;",Settings!$B$2),'JLR Machines'!$D$2:$D$20001,IF(Settings!$B$3="","&lt;&gt;",Settings!$B$3)))</f>
        <v>0</v>
      </c>
      <c r="U166" s="39">
        <f>IF($P166&lt;&gt;1,0,SUMIFS('JLR Machines'!$K$2:$K$20001,'JLR Machines'!$A$2:$A$20001,$O166,'JLR Machines'!$C$2:$C$20001,IF(Settings!$B$2="","&lt;&gt;",Settings!$B$2),'JLR Machines'!$D$2:$D$20001,IF(Settings!$B$3="","&lt;&gt;",Settings!$B$3)))</f>
        <v>0</v>
      </c>
      <c r="V166" s="39">
        <f>IF($P166&lt;&gt;1,0,SUMIFS('JLR Machines'!$L$2:$L$20001,'JLR Machines'!$A$2:$A$20001,$O166,'JLR Machines'!$C$2:$C$20001,IF(Settings!$B$2="","&lt;&gt;",Settings!$B$2),'JLR Machines'!$D$2:$D$20001,IF(Settings!$B$3="","&lt;&gt;",Settings!$B$3)))</f>
        <v>0</v>
      </c>
      <c r="W166" s="39">
        <f>IF($P166&lt;&gt;1,0,SUMIFS('JLR Machines'!$M$2:$M$20001,'JLR Machines'!$A$2:$A$20001,$O166,'JLR Machines'!$C$2:$C$20001,IF(Settings!$B$2="","&lt;&gt;",Settings!$B$2),'JLR Machines'!$D$2:$D$20001,IF(Settings!$B$3="","&lt;&gt;",Settings!$B$3)))</f>
        <v>0</v>
      </c>
      <c r="X166" s="39">
        <f>IF($P166&lt;&gt;1,0,SUMIFS('JLR Machines'!$N$2:$N$20001,'JLR Machines'!$A$2:$A$20001,$O166,'JLR Machines'!$C$2:$C$20001,IF(Settings!$B$2="","&lt;&gt;",Settings!$B$2),'JLR Machines'!$D$2:$D$20001,IF(Settings!$B$3="","&lt;&gt;",Settings!$B$3)))</f>
        <v>0</v>
      </c>
      <c r="Y166" s="39">
        <f>$Q166+$R166+$S166+$T166+$U166+$V166+$W166</f>
        <v>0</v>
      </c>
      <c r="Z166" s="38">
        <f>IF($X166&lt;=0,0,ROUND((D166+E166+F166+G166+H166+I166)/4250-$X166,4))</f>
        <v>0</v>
      </c>
      <c r="AA166" s="40" t="s">
        <v>2420</v>
      </c>
      <c r="AB166" s="40" t="s">
        <v>2099</v>
      </c>
    </row>
    <row r="167" spans="1:28" x14ac:dyDescent="0.25">
      <c r="A167" s="32" t="s">
        <v>1254</v>
      </c>
      <c r="B167" s="33" t="s">
        <v>2421</v>
      </c>
      <c r="C167" s="33" t="s">
        <v>2411</v>
      </c>
      <c r="D167" s="41">
        <f>IF($X167&gt;0,IF($Y167&gt;0,MAX(0,$Q167+$X167-$Y167)*4200,$X167*4200),28336)</f>
        <v>28336</v>
      </c>
      <c r="E167" s="41">
        <f>IF($X167&gt;0,IF($Y167&gt;0,$S167*4200,0),3029)</f>
        <v>3029</v>
      </c>
      <c r="F167" s="41">
        <f>IF($X167&gt;0,IF($Y167&gt;0,$V167*4200,0),7271)</f>
        <v>7271</v>
      </c>
      <c r="G167" s="41">
        <f>IF($X167&gt;0,IF($Y167&gt;0,$R167*4200,0),1615)</f>
        <v>1615</v>
      </c>
      <c r="H167" s="41">
        <f>IF($X167&gt;0,IF($Y167&gt;0,($T167+$W167)*4200,0),3022)</f>
        <v>3022</v>
      </c>
      <c r="I167" s="41">
        <f>IF($X167&gt;0,IF($Y167&gt;0,$U167*4200,0),7000)</f>
        <v>7000</v>
      </c>
      <c r="J167" s="35">
        <v>5000</v>
      </c>
      <c r="K167" s="42">
        <v>0.84</v>
      </c>
      <c r="L167" s="36" t="str">
        <f>IF($X167&gt;0,IF($P167&lt;&gt;1,$AB167,IFERROR(INDEX('JLR Machines'!$D$2:$D$20001,MATCH($O167,'JLR Machines'!$A$2:$A$20001,0)),$AB167)),$AB167)</f>
        <v>2026-09-29</v>
      </c>
      <c r="M167" s="36" t="str">
        <f>IF($X167&gt;0,IF($Y167&gt;0,"JLR machine "&amp;$O167&amp;" at "&amp;TEXT($X167,"0.00")&amp;" per hr — build-up as supplied","JLR machine "&amp;$O167&amp;" at "&amp;TEXT($X167,"0.00")&amp;" per hr — build-up not supplied"),$AA167)</f>
        <v>Mexico injection moulding benchmark. Monterrey/Saltillo. Jun 2026</v>
      </c>
      <c r="N167" s="33" t="s">
        <v>1380</v>
      </c>
      <c r="O167" s="37" t="str">
        <f>IFERROR(INDEX(Mapping!$C$2:$C$549,MATCH($A167,Mapping!$A$2:$A$549,0)),"")</f>
        <v/>
      </c>
      <c r="P167" s="37">
        <f>IF($O167="",0,COUNTIFS('JLR Machines'!$A$2:$A$20001,$O167,'JLR Machines'!$C$2:$C$20001,IF(Settings!$B$2="","&lt;&gt;",Settings!$B$2),'JLR Machines'!$D$2:$D$20001,IF(Settings!$B$3="","&lt;&gt;",Settings!$B$3)))</f>
        <v>0</v>
      </c>
      <c r="Q167" s="39">
        <f>IF($P167&lt;&gt;1,0,SUMIFS('JLR Machines'!$G$2:$G$20001,'JLR Machines'!$A$2:$A$20001,$O167,'JLR Machines'!$C$2:$C$20001,IF(Settings!$B$2="","&lt;&gt;",Settings!$B$2),'JLR Machines'!$D$2:$D$20001,IF(Settings!$B$3="","&lt;&gt;",Settings!$B$3)))</f>
        <v>0</v>
      </c>
      <c r="R167" s="39">
        <f>IF($P167&lt;&gt;1,0,SUMIFS('JLR Machines'!$H$2:$H$20001,'JLR Machines'!$A$2:$A$20001,$O167,'JLR Machines'!$C$2:$C$20001,IF(Settings!$B$2="","&lt;&gt;",Settings!$B$2),'JLR Machines'!$D$2:$D$20001,IF(Settings!$B$3="","&lt;&gt;",Settings!$B$3)))</f>
        <v>0</v>
      </c>
      <c r="S167" s="39">
        <f>IF($P167&lt;&gt;1,0,SUMIFS('JLR Machines'!$I$2:$I$20001,'JLR Machines'!$A$2:$A$20001,$O167,'JLR Machines'!$C$2:$C$20001,IF(Settings!$B$2="","&lt;&gt;",Settings!$B$2),'JLR Machines'!$D$2:$D$20001,IF(Settings!$B$3="","&lt;&gt;",Settings!$B$3)))</f>
        <v>0</v>
      </c>
      <c r="T167" s="39">
        <f>IF($P167&lt;&gt;1,0,SUMIFS('JLR Machines'!$J$2:$J$20001,'JLR Machines'!$A$2:$A$20001,$O167,'JLR Machines'!$C$2:$C$20001,IF(Settings!$B$2="","&lt;&gt;",Settings!$B$2),'JLR Machines'!$D$2:$D$20001,IF(Settings!$B$3="","&lt;&gt;",Settings!$B$3)))</f>
        <v>0</v>
      </c>
      <c r="U167" s="39">
        <f>IF($P167&lt;&gt;1,0,SUMIFS('JLR Machines'!$K$2:$K$20001,'JLR Machines'!$A$2:$A$20001,$O167,'JLR Machines'!$C$2:$C$20001,IF(Settings!$B$2="","&lt;&gt;",Settings!$B$2),'JLR Machines'!$D$2:$D$20001,IF(Settings!$B$3="","&lt;&gt;",Settings!$B$3)))</f>
        <v>0</v>
      </c>
      <c r="V167" s="39">
        <f>IF($P167&lt;&gt;1,0,SUMIFS('JLR Machines'!$L$2:$L$20001,'JLR Machines'!$A$2:$A$20001,$O167,'JLR Machines'!$C$2:$C$20001,IF(Settings!$B$2="","&lt;&gt;",Settings!$B$2),'JLR Machines'!$D$2:$D$20001,IF(Settings!$B$3="","&lt;&gt;",Settings!$B$3)))</f>
        <v>0</v>
      </c>
      <c r="W167" s="39">
        <f>IF($P167&lt;&gt;1,0,SUMIFS('JLR Machines'!$M$2:$M$20001,'JLR Machines'!$A$2:$A$20001,$O167,'JLR Machines'!$C$2:$C$20001,IF(Settings!$B$2="","&lt;&gt;",Settings!$B$2),'JLR Machines'!$D$2:$D$20001,IF(Settings!$B$3="","&lt;&gt;",Settings!$B$3)))</f>
        <v>0</v>
      </c>
      <c r="X167" s="39">
        <f>IF($P167&lt;&gt;1,0,SUMIFS('JLR Machines'!$N$2:$N$20001,'JLR Machines'!$A$2:$A$20001,$O167,'JLR Machines'!$C$2:$C$20001,IF(Settings!$B$2="","&lt;&gt;",Settings!$B$2),'JLR Machines'!$D$2:$D$20001,IF(Settings!$B$3="","&lt;&gt;",Settings!$B$3)))</f>
        <v>0</v>
      </c>
      <c r="Y167" s="39">
        <f>$Q167+$R167+$S167+$T167+$U167+$V167+$W167</f>
        <v>0</v>
      </c>
      <c r="Z167" s="38">
        <f>IF($X167&lt;=0,0,ROUND((D167+E167+F167+G167+H167+I167)/4200-$X167,4))</f>
        <v>0</v>
      </c>
      <c r="AA167" s="40" t="s">
        <v>2422</v>
      </c>
      <c r="AB167" s="40" t="s">
        <v>2099</v>
      </c>
    </row>
    <row r="168" spans="1:28" x14ac:dyDescent="0.25">
      <c r="A168" s="32" t="s">
        <v>1256</v>
      </c>
      <c r="B168" s="33" t="s">
        <v>2423</v>
      </c>
      <c r="C168" s="33" t="s">
        <v>2399</v>
      </c>
      <c r="D168" s="41">
        <f>IF($X168&gt;0,IF($Y168&gt;0,MAX(0,$Q168+$X168-$Y168)*3200,$X168*3200),55660)</f>
        <v>55660</v>
      </c>
      <c r="E168" s="41">
        <f>IF($X168&gt;0,IF($Y168&gt;0,$S168*3200,0),6058)</f>
        <v>6058</v>
      </c>
      <c r="F168" s="41">
        <f>IF($X168&gt;0,IF($Y168&gt;0,$V168*3200,0),9089)</f>
        <v>9089</v>
      </c>
      <c r="G168" s="41">
        <f>IF($X168&gt;0,IF($Y168&gt;0,$R168*3200,0),2272)</f>
        <v>2272</v>
      </c>
      <c r="H168" s="41">
        <f>IF($X168&gt;0,IF($Y168&gt;0,($T168+$W168)*3200,0),7554)</f>
        <v>7554</v>
      </c>
      <c r="I168" s="41">
        <f>IF($X168&gt;0,IF($Y168&gt;0,$U168*3200,0),13750)</f>
        <v>13750</v>
      </c>
      <c r="J168" s="35">
        <v>4000</v>
      </c>
      <c r="K168" s="42">
        <v>0.8</v>
      </c>
      <c r="L168" s="36" t="str">
        <f>IF($X168&gt;0,IF($P168&lt;&gt;1,$AB168,IFERROR(INDEX('JLR Machines'!$D$2:$D$20001,MATCH($O168,'JLR Machines'!$A$2:$A$20001,0)),$AB168)),$AB168)</f>
        <v>2026-09-29</v>
      </c>
      <c r="M168" s="36" t="str">
        <f>IF($X168&gt;0,IF($Y168&gt;0,"JLR machine "&amp;$O168&amp;" at "&amp;TEXT($X168,"0.00")&amp;" per hr — build-up as supplied","JLR machine "&amp;$O168&amp;" at "&amp;TEXT($X168,"0.00")&amp;" per hr — build-up not supplied"),$AA168)</f>
        <v>China HPDC foundry benchmark. ADC12 Al alloy. Guangdong/Jiangsu. Jun 2026</v>
      </c>
      <c r="N168" s="33" t="s">
        <v>1380</v>
      </c>
      <c r="O168" s="37" t="str">
        <f>IFERROR(INDEX(Mapping!$C$2:$C$549,MATCH($A168,Mapping!$A$2:$A$549,0)),"")</f>
        <v/>
      </c>
      <c r="P168" s="37">
        <f>IF($O168="",0,COUNTIFS('JLR Machines'!$A$2:$A$20001,$O168,'JLR Machines'!$C$2:$C$20001,IF(Settings!$B$2="","&lt;&gt;",Settings!$B$2),'JLR Machines'!$D$2:$D$20001,IF(Settings!$B$3="","&lt;&gt;",Settings!$B$3)))</f>
        <v>0</v>
      </c>
      <c r="Q168" s="39">
        <f>IF($P168&lt;&gt;1,0,SUMIFS('JLR Machines'!$G$2:$G$20001,'JLR Machines'!$A$2:$A$20001,$O168,'JLR Machines'!$C$2:$C$20001,IF(Settings!$B$2="","&lt;&gt;",Settings!$B$2),'JLR Machines'!$D$2:$D$20001,IF(Settings!$B$3="","&lt;&gt;",Settings!$B$3)))</f>
        <v>0</v>
      </c>
      <c r="R168" s="39">
        <f>IF($P168&lt;&gt;1,0,SUMIFS('JLR Machines'!$H$2:$H$20001,'JLR Machines'!$A$2:$A$20001,$O168,'JLR Machines'!$C$2:$C$20001,IF(Settings!$B$2="","&lt;&gt;",Settings!$B$2),'JLR Machines'!$D$2:$D$20001,IF(Settings!$B$3="","&lt;&gt;",Settings!$B$3)))</f>
        <v>0</v>
      </c>
      <c r="S168" s="39">
        <f>IF($P168&lt;&gt;1,0,SUMIFS('JLR Machines'!$I$2:$I$20001,'JLR Machines'!$A$2:$A$20001,$O168,'JLR Machines'!$C$2:$C$20001,IF(Settings!$B$2="","&lt;&gt;",Settings!$B$2),'JLR Machines'!$D$2:$D$20001,IF(Settings!$B$3="","&lt;&gt;",Settings!$B$3)))</f>
        <v>0</v>
      </c>
      <c r="T168" s="39">
        <f>IF($P168&lt;&gt;1,0,SUMIFS('JLR Machines'!$J$2:$J$20001,'JLR Machines'!$A$2:$A$20001,$O168,'JLR Machines'!$C$2:$C$20001,IF(Settings!$B$2="","&lt;&gt;",Settings!$B$2),'JLR Machines'!$D$2:$D$20001,IF(Settings!$B$3="","&lt;&gt;",Settings!$B$3)))</f>
        <v>0</v>
      </c>
      <c r="U168" s="39">
        <f>IF($P168&lt;&gt;1,0,SUMIFS('JLR Machines'!$K$2:$K$20001,'JLR Machines'!$A$2:$A$20001,$O168,'JLR Machines'!$C$2:$C$20001,IF(Settings!$B$2="","&lt;&gt;",Settings!$B$2),'JLR Machines'!$D$2:$D$20001,IF(Settings!$B$3="","&lt;&gt;",Settings!$B$3)))</f>
        <v>0</v>
      </c>
      <c r="V168" s="39">
        <f>IF($P168&lt;&gt;1,0,SUMIFS('JLR Machines'!$L$2:$L$20001,'JLR Machines'!$A$2:$A$20001,$O168,'JLR Machines'!$C$2:$C$20001,IF(Settings!$B$2="","&lt;&gt;",Settings!$B$2),'JLR Machines'!$D$2:$D$20001,IF(Settings!$B$3="","&lt;&gt;",Settings!$B$3)))</f>
        <v>0</v>
      </c>
      <c r="W168" s="39">
        <f>IF($P168&lt;&gt;1,0,SUMIFS('JLR Machines'!$M$2:$M$20001,'JLR Machines'!$A$2:$A$20001,$O168,'JLR Machines'!$C$2:$C$20001,IF(Settings!$B$2="","&lt;&gt;",Settings!$B$2),'JLR Machines'!$D$2:$D$20001,IF(Settings!$B$3="","&lt;&gt;",Settings!$B$3)))</f>
        <v>0</v>
      </c>
      <c r="X168" s="39">
        <f>IF($P168&lt;&gt;1,0,SUMIFS('JLR Machines'!$N$2:$N$20001,'JLR Machines'!$A$2:$A$20001,$O168,'JLR Machines'!$C$2:$C$20001,IF(Settings!$B$2="","&lt;&gt;",Settings!$B$2),'JLR Machines'!$D$2:$D$20001,IF(Settings!$B$3="","&lt;&gt;",Settings!$B$3)))</f>
        <v>0</v>
      </c>
      <c r="Y168" s="39">
        <f>$Q168+$R168+$S168+$T168+$U168+$V168+$W168</f>
        <v>0</v>
      </c>
      <c r="Z168" s="38">
        <f>IF($X168&lt;=0,0,ROUND((D168+E168+F168+G168+H168+I168)/3200-$X168,4))</f>
        <v>0</v>
      </c>
      <c r="AA168" s="40" t="s">
        <v>2424</v>
      </c>
      <c r="AB168" s="40" t="s">
        <v>2099</v>
      </c>
    </row>
    <row r="169" spans="1:28" x14ac:dyDescent="0.25">
      <c r="A169" s="32" t="s">
        <v>1258</v>
      </c>
      <c r="B169" s="33" t="s">
        <v>2425</v>
      </c>
      <c r="C169" s="33" t="s">
        <v>2402</v>
      </c>
      <c r="D169" s="41">
        <f>IF($X169&gt;0,IF($Y169&gt;0,MAX(0,$Q169+$X169-$Y169)*3120,$X169*3120),55660)</f>
        <v>55660</v>
      </c>
      <c r="E169" s="41">
        <f>IF($X169&gt;0,IF($Y169&gt;0,$S169*3120,0),5048)</f>
        <v>5048</v>
      </c>
      <c r="F169" s="41">
        <f>IF($X169&gt;0,IF($Y169&gt;0,$V169*3120,0),12235)</f>
        <v>12235</v>
      </c>
      <c r="G169" s="41">
        <f>IF($X169&gt;0,IF($Y169&gt;0,$R169*3120,0),1514)</f>
        <v>1514</v>
      </c>
      <c r="H169" s="41">
        <f>IF($X169&gt;0,IF($Y169&gt;0,($T169+$W169)*3120,0),5539)</f>
        <v>5539</v>
      </c>
      <c r="I169" s="41">
        <f>IF($X169&gt;0,IF($Y169&gt;0,$U169*3120,0),13750)</f>
        <v>13750</v>
      </c>
      <c r="J169" s="35">
        <v>4000</v>
      </c>
      <c r="K169" s="42">
        <v>0.78</v>
      </c>
      <c r="L169" s="36" t="str">
        <f>IF($X169&gt;0,IF($P169&lt;&gt;1,$AB169,IFERROR(INDEX('JLR Machines'!$D$2:$D$20001,MATCH($O169,'JLR Machines'!$A$2:$A$20001,0)),$AB169)),$AB169)</f>
        <v>2026-09-29</v>
      </c>
      <c r="M169" s="36" t="str">
        <f>IF($X169&gt;0,IF($Y169&gt;0,"JLR machine "&amp;$O169&amp;" at "&amp;TEXT($X169,"0.00")&amp;" per hr — build-up as supplied","JLR machine "&amp;$O169&amp;" at "&amp;TEXT($X169,"0.00")&amp;" per hr — build-up not supplied"),$AA169)</f>
        <v>India HPDC foundry benchmark. Rajkot/Pune auto cluster. Jun 2026</v>
      </c>
      <c r="N169" s="33" t="s">
        <v>1380</v>
      </c>
      <c r="O169" s="37" t="str">
        <f>IFERROR(INDEX(Mapping!$C$2:$C$549,MATCH($A169,Mapping!$A$2:$A$549,0)),"")</f>
        <v/>
      </c>
      <c r="P169" s="37">
        <f>IF($O169="",0,COUNTIFS('JLR Machines'!$A$2:$A$20001,$O169,'JLR Machines'!$C$2:$C$20001,IF(Settings!$B$2="","&lt;&gt;",Settings!$B$2),'JLR Machines'!$D$2:$D$20001,IF(Settings!$B$3="","&lt;&gt;",Settings!$B$3)))</f>
        <v>0</v>
      </c>
      <c r="Q169" s="39">
        <f>IF($P169&lt;&gt;1,0,SUMIFS('JLR Machines'!$G$2:$G$20001,'JLR Machines'!$A$2:$A$20001,$O169,'JLR Machines'!$C$2:$C$20001,IF(Settings!$B$2="","&lt;&gt;",Settings!$B$2),'JLR Machines'!$D$2:$D$20001,IF(Settings!$B$3="","&lt;&gt;",Settings!$B$3)))</f>
        <v>0</v>
      </c>
      <c r="R169" s="39">
        <f>IF($P169&lt;&gt;1,0,SUMIFS('JLR Machines'!$H$2:$H$20001,'JLR Machines'!$A$2:$A$20001,$O169,'JLR Machines'!$C$2:$C$20001,IF(Settings!$B$2="","&lt;&gt;",Settings!$B$2),'JLR Machines'!$D$2:$D$20001,IF(Settings!$B$3="","&lt;&gt;",Settings!$B$3)))</f>
        <v>0</v>
      </c>
      <c r="S169" s="39">
        <f>IF($P169&lt;&gt;1,0,SUMIFS('JLR Machines'!$I$2:$I$20001,'JLR Machines'!$A$2:$A$20001,$O169,'JLR Machines'!$C$2:$C$20001,IF(Settings!$B$2="","&lt;&gt;",Settings!$B$2),'JLR Machines'!$D$2:$D$20001,IF(Settings!$B$3="","&lt;&gt;",Settings!$B$3)))</f>
        <v>0</v>
      </c>
      <c r="T169" s="39">
        <f>IF($P169&lt;&gt;1,0,SUMIFS('JLR Machines'!$J$2:$J$20001,'JLR Machines'!$A$2:$A$20001,$O169,'JLR Machines'!$C$2:$C$20001,IF(Settings!$B$2="","&lt;&gt;",Settings!$B$2),'JLR Machines'!$D$2:$D$20001,IF(Settings!$B$3="","&lt;&gt;",Settings!$B$3)))</f>
        <v>0</v>
      </c>
      <c r="U169" s="39">
        <f>IF($P169&lt;&gt;1,0,SUMIFS('JLR Machines'!$K$2:$K$20001,'JLR Machines'!$A$2:$A$20001,$O169,'JLR Machines'!$C$2:$C$20001,IF(Settings!$B$2="","&lt;&gt;",Settings!$B$2),'JLR Machines'!$D$2:$D$20001,IF(Settings!$B$3="","&lt;&gt;",Settings!$B$3)))</f>
        <v>0</v>
      </c>
      <c r="V169" s="39">
        <f>IF($P169&lt;&gt;1,0,SUMIFS('JLR Machines'!$L$2:$L$20001,'JLR Machines'!$A$2:$A$20001,$O169,'JLR Machines'!$C$2:$C$20001,IF(Settings!$B$2="","&lt;&gt;",Settings!$B$2),'JLR Machines'!$D$2:$D$20001,IF(Settings!$B$3="","&lt;&gt;",Settings!$B$3)))</f>
        <v>0</v>
      </c>
      <c r="W169" s="39">
        <f>IF($P169&lt;&gt;1,0,SUMIFS('JLR Machines'!$M$2:$M$20001,'JLR Machines'!$A$2:$A$20001,$O169,'JLR Machines'!$C$2:$C$20001,IF(Settings!$B$2="","&lt;&gt;",Settings!$B$2),'JLR Machines'!$D$2:$D$20001,IF(Settings!$B$3="","&lt;&gt;",Settings!$B$3)))</f>
        <v>0</v>
      </c>
      <c r="X169" s="39">
        <f>IF($P169&lt;&gt;1,0,SUMIFS('JLR Machines'!$N$2:$N$20001,'JLR Machines'!$A$2:$A$20001,$O169,'JLR Machines'!$C$2:$C$20001,IF(Settings!$B$2="","&lt;&gt;",Settings!$B$2),'JLR Machines'!$D$2:$D$20001,IF(Settings!$B$3="","&lt;&gt;",Settings!$B$3)))</f>
        <v>0</v>
      </c>
      <c r="Y169" s="39">
        <f>$Q169+$R169+$S169+$T169+$U169+$V169+$W169</f>
        <v>0</v>
      </c>
      <c r="Z169" s="38">
        <f>IF($X169&lt;=0,0,ROUND((D169+E169+F169+G169+H169+I169)/3120-$X169,4))</f>
        <v>0</v>
      </c>
      <c r="AA169" s="40" t="s">
        <v>2426</v>
      </c>
      <c r="AB169" s="40" t="s">
        <v>2099</v>
      </c>
    </row>
    <row r="170" spans="1:28" x14ac:dyDescent="0.25">
      <c r="A170" s="32" t="s">
        <v>1260</v>
      </c>
      <c r="B170" s="33" t="s">
        <v>2427</v>
      </c>
      <c r="C170" s="33" t="s">
        <v>2411</v>
      </c>
      <c r="D170" s="41">
        <f>IF($X170&gt;0,IF($Y170&gt;0,MAX(0,$Q170+$X170-$Y170)*3200,$X170*3200),55660)</f>
        <v>55660</v>
      </c>
      <c r="E170" s="41">
        <f>IF($X170&gt;0,IF($Y170&gt;0,$S170*3200,0),6058)</f>
        <v>6058</v>
      </c>
      <c r="F170" s="41">
        <f>IF($X170&gt;0,IF($Y170&gt;0,$V170*3200,0),13633)</f>
        <v>13633</v>
      </c>
      <c r="G170" s="41">
        <f>IF($X170&gt;0,IF($Y170&gt;0,$R170*3200,0),3029)</f>
        <v>3029</v>
      </c>
      <c r="H170" s="41">
        <f>IF($X170&gt;0,IF($Y170&gt;0,($T170+$W170)*3200,0),7554)</f>
        <v>7554</v>
      </c>
      <c r="I170" s="41">
        <f>IF($X170&gt;0,IF($Y170&gt;0,$U170*3200,0),13750)</f>
        <v>13750</v>
      </c>
      <c r="J170" s="35">
        <v>4000</v>
      </c>
      <c r="K170" s="42">
        <v>0.8</v>
      </c>
      <c r="L170" s="36" t="str">
        <f>IF($X170&gt;0,IF($P170&lt;&gt;1,$AB170,IFERROR(INDEX('JLR Machines'!$D$2:$D$20001,MATCH($O170,'JLR Machines'!$A$2:$A$20001,0)),$AB170)),$AB170)</f>
        <v>2026-09-29</v>
      </c>
      <c r="M170" s="36" t="str">
        <f>IF($X170&gt;0,IF($Y170&gt;0,"JLR machine "&amp;$O170&amp;" at "&amp;TEXT($X170,"0.00")&amp;" per hr — build-up as supplied","JLR machine "&amp;$O170&amp;" at "&amp;TEXT($X170,"0.00")&amp;" per hr — build-up not supplied"),$AA170)</f>
        <v>Mexico HPDC benchmark. Monterrey auto zone. Jun 2026</v>
      </c>
      <c r="N170" s="33" t="s">
        <v>1380</v>
      </c>
      <c r="O170" s="37" t="str">
        <f>IFERROR(INDEX(Mapping!$C$2:$C$549,MATCH($A170,Mapping!$A$2:$A$549,0)),"")</f>
        <v/>
      </c>
      <c r="P170" s="37">
        <f>IF($O170="",0,COUNTIFS('JLR Machines'!$A$2:$A$20001,$O170,'JLR Machines'!$C$2:$C$20001,IF(Settings!$B$2="","&lt;&gt;",Settings!$B$2),'JLR Machines'!$D$2:$D$20001,IF(Settings!$B$3="","&lt;&gt;",Settings!$B$3)))</f>
        <v>0</v>
      </c>
      <c r="Q170" s="39">
        <f>IF($P170&lt;&gt;1,0,SUMIFS('JLR Machines'!$G$2:$G$20001,'JLR Machines'!$A$2:$A$20001,$O170,'JLR Machines'!$C$2:$C$20001,IF(Settings!$B$2="","&lt;&gt;",Settings!$B$2),'JLR Machines'!$D$2:$D$20001,IF(Settings!$B$3="","&lt;&gt;",Settings!$B$3)))</f>
        <v>0</v>
      </c>
      <c r="R170" s="39">
        <f>IF($P170&lt;&gt;1,0,SUMIFS('JLR Machines'!$H$2:$H$20001,'JLR Machines'!$A$2:$A$20001,$O170,'JLR Machines'!$C$2:$C$20001,IF(Settings!$B$2="","&lt;&gt;",Settings!$B$2),'JLR Machines'!$D$2:$D$20001,IF(Settings!$B$3="","&lt;&gt;",Settings!$B$3)))</f>
        <v>0</v>
      </c>
      <c r="S170" s="39">
        <f>IF($P170&lt;&gt;1,0,SUMIFS('JLR Machines'!$I$2:$I$20001,'JLR Machines'!$A$2:$A$20001,$O170,'JLR Machines'!$C$2:$C$20001,IF(Settings!$B$2="","&lt;&gt;",Settings!$B$2),'JLR Machines'!$D$2:$D$20001,IF(Settings!$B$3="","&lt;&gt;",Settings!$B$3)))</f>
        <v>0</v>
      </c>
      <c r="T170" s="39">
        <f>IF($P170&lt;&gt;1,0,SUMIFS('JLR Machines'!$J$2:$J$20001,'JLR Machines'!$A$2:$A$20001,$O170,'JLR Machines'!$C$2:$C$20001,IF(Settings!$B$2="","&lt;&gt;",Settings!$B$2),'JLR Machines'!$D$2:$D$20001,IF(Settings!$B$3="","&lt;&gt;",Settings!$B$3)))</f>
        <v>0</v>
      </c>
      <c r="U170" s="39">
        <f>IF($P170&lt;&gt;1,0,SUMIFS('JLR Machines'!$K$2:$K$20001,'JLR Machines'!$A$2:$A$20001,$O170,'JLR Machines'!$C$2:$C$20001,IF(Settings!$B$2="","&lt;&gt;",Settings!$B$2),'JLR Machines'!$D$2:$D$20001,IF(Settings!$B$3="","&lt;&gt;",Settings!$B$3)))</f>
        <v>0</v>
      </c>
      <c r="V170" s="39">
        <f>IF($P170&lt;&gt;1,0,SUMIFS('JLR Machines'!$L$2:$L$20001,'JLR Machines'!$A$2:$A$20001,$O170,'JLR Machines'!$C$2:$C$20001,IF(Settings!$B$2="","&lt;&gt;",Settings!$B$2),'JLR Machines'!$D$2:$D$20001,IF(Settings!$B$3="","&lt;&gt;",Settings!$B$3)))</f>
        <v>0</v>
      </c>
      <c r="W170" s="39">
        <f>IF($P170&lt;&gt;1,0,SUMIFS('JLR Machines'!$M$2:$M$20001,'JLR Machines'!$A$2:$A$20001,$O170,'JLR Machines'!$C$2:$C$20001,IF(Settings!$B$2="","&lt;&gt;",Settings!$B$2),'JLR Machines'!$D$2:$D$20001,IF(Settings!$B$3="","&lt;&gt;",Settings!$B$3)))</f>
        <v>0</v>
      </c>
      <c r="X170" s="39">
        <f>IF($P170&lt;&gt;1,0,SUMIFS('JLR Machines'!$N$2:$N$20001,'JLR Machines'!$A$2:$A$20001,$O170,'JLR Machines'!$C$2:$C$20001,IF(Settings!$B$2="","&lt;&gt;",Settings!$B$2),'JLR Machines'!$D$2:$D$20001,IF(Settings!$B$3="","&lt;&gt;",Settings!$B$3)))</f>
        <v>0</v>
      </c>
      <c r="Y170" s="39">
        <f>$Q170+$R170+$S170+$T170+$U170+$V170+$W170</f>
        <v>0</v>
      </c>
      <c r="Z170" s="38">
        <f>IF($X170&lt;=0,0,ROUND((D170+E170+F170+G170+H170+I170)/3200-$X170,4))</f>
        <v>0</v>
      </c>
      <c r="AA170" s="40" t="s">
        <v>2428</v>
      </c>
      <c r="AB170" s="40" t="s">
        <v>2099</v>
      </c>
    </row>
    <row r="171" spans="1:28" x14ac:dyDescent="0.25">
      <c r="A171" s="32" t="s">
        <v>1262</v>
      </c>
      <c r="B171" s="33" t="s">
        <v>2429</v>
      </c>
      <c r="C171" s="33" t="s">
        <v>2399</v>
      </c>
      <c r="D171" s="41">
        <f>IF($X171&gt;0,IF($Y171&gt;0,MAX(0,$Q171+$X171-$Y171)*3280,$X171*3280),38456)</f>
        <v>38456</v>
      </c>
      <c r="E171" s="41">
        <f>IF($X171&gt;0,IF($Y171&gt;0,$S171*3280,0),3635)</f>
        <v>3635</v>
      </c>
      <c r="F171" s="41">
        <f>IF($X171&gt;0,IF($Y171&gt;0,$V171*3280,0),6059)</f>
        <v>6059</v>
      </c>
      <c r="G171" s="41">
        <f>IF($X171&gt;0,IF($Y171&gt;0,$R171*3280,0),3029)</f>
        <v>3029</v>
      </c>
      <c r="H171" s="41">
        <f>IF($X171&gt;0,IF($Y171&gt;0,($T171+$W171)*3280,0),4532)</f>
        <v>4532</v>
      </c>
      <c r="I171" s="41">
        <f>IF($X171&gt;0,IF($Y171&gt;0,$U171*3280,0),9500)</f>
        <v>9500</v>
      </c>
      <c r="J171" s="35">
        <v>4000</v>
      </c>
      <c r="K171" s="42">
        <v>0.82</v>
      </c>
      <c r="L171" s="36" t="str">
        <f>IF($X171&gt;0,IF($P171&lt;&gt;1,$AB171,IFERROR(INDEX('JLR Machines'!$D$2:$D$20001,MATCH($O171,'JLR Machines'!$A$2:$A$20001,0)),$AB171)),$AB171)</f>
        <v>2026-09-29</v>
      </c>
      <c r="M171" s="36" t="str">
        <f>IF($X171&gt;0,IF($Y171&gt;0,"JLR machine "&amp;$O171&amp;" at "&amp;TEXT($X171,"0.00")&amp;" per hr — build-up as supplied","JLR machine "&amp;$O171&amp;" at "&amp;TEXT($X171,"0.00")&amp;" per hr — build-up not supplied"),$AA171)</f>
        <v>China press shop benchmark. Wuhan/Shanghai auto stamping. Jun 2026</v>
      </c>
      <c r="N171" s="33" t="s">
        <v>1380</v>
      </c>
      <c r="O171" s="37" t="str">
        <f>IFERROR(INDEX(Mapping!$C$2:$C$549,MATCH($A171,Mapping!$A$2:$A$549,0)),"")</f>
        <v/>
      </c>
      <c r="P171" s="37">
        <f>IF($O171="",0,COUNTIFS('JLR Machines'!$A$2:$A$20001,$O171,'JLR Machines'!$C$2:$C$20001,IF(Settings!$B$2="","&lt;&gt;",Settings!$B$2),'JLR Machines'!$D$2:$D$20001,IF(Settings!$B$3="","&lt;&gt;",Settings!$B$3)))</f>
        <v>0</v>
      </c>
      <c r="Q171" s="39">
        <f>IF($P171&lt;&gt;1,0,SUMIFS('JLR Machines'!$G$2:$G$20001,'JLR Machines'!$A$2:$A$20001,$O171,'JLR Machines'!$C$2:$C$20001,IF(Settings!$B$2="","&lt;&gt;",Settings!$B$2),'JLR Machines'!$D$2:$D$20001,IF(Settings!$B$3="","&lt;&gt;",Settings!$B$3)))</f>
        <v>0</v>
      </c>
      <c r="R171" s="39">
        <f>IF($P171&lt;&gt;1,0,SUMIFS('JLR Machines'!$H$2:$H$20001,'JLR Machines'!$A$2:$A$20001,$O171,'JLR Machines'!$C$2:$C$20001,IF(Settings!$B$2="","&lt;&gt;",Settings!$B$2),'JLR Machines'!$D$2:$D$20001,IF(Settings!$B$3="","&lt;&gt;",Settings!$B$3)))</f>
        <v>0</v>
      </c>
      <c r="S171" s="39">
        <f>IF($P171&lt;&gt;1,0,SUMIFS('JLR Machines'!$I$2:$I$20001,'JLR Machines'!$A$2:$A$20001,$O171,'JLR Machines'!$C$2:$C$20001,IF(Settings!$B$2="","&lt;&gt;",Settings!$B$2),'JLR Machines'!$D$2:$D$20001,IF(Settings!$B$3="","&lt;&gt;",Settings!$B$3)))</f>
        <v>0</v>
      </c>
      <c r="T171" s="39">
        <f>IF($P171&lt;&gt;1,0,SUMIFS('JLR Machines'!$J$2:$J$20001,'JLR Machines'!$A$2:$A$20001,$O171,'JLR Machines'!$C$2:$C$20001,IF(Settings!$B$2="","&lt;&gt;",Settings!$B$2),'JLR Machines'!$D$2:$D$20001,IF(Settings!$B$3="","&lt;&gt;",Settings!$B$3)))</f>
        <v>0</v>
      </c>
      <c r="U171" s="39">
        <f>IF($P171&lt;&gt;1,0,SUMIFS('JLR Machines'!$K$2:$K$20001,'JLR Machines'!$A$2:$A$20001,$O171,'JLR Machines'!$C$2:$C$20001,IF(Settings!$B$2="","&lt;&gt;",Settings!$B$2),'JLR Machines'!$D$2:$D$20001,IF(Settings!$B$3="","&lt;&gt;",Settings!$B$3)))</f>
        <v>0</v>
      </c>
      <c r="V171" s="39">
        <f>IF($P171&lt;&gt;1,0,SUMIFS('JLR Machines'!$L$2:$L$20001,'JLR Machines'!$A$2:$A$20001,$O171,'JLR Machines'!$C$2:$C$20001,IF(Settings!$B$2="","&lt;&gt;",Settings!$B$2),'JLR Machines'!$D$2:$D$20001,IF(Settings!$B$3="","&lt;&gt;",Settings!$B$3)))</f>
        <v>0</v>
      </c>
      <c r="W171" s="39">
        <f>IF($P171&lt;&gt;1,0,SUMIFS('JLR Machines'!$M$2:$M$20001,'JLR Machines'!$A$2:$A$20001,$O171,'JLR Machines'!$C$2:$C$20001,IF(Settings!$B$2="","&lt;&gt;",Settings!$B$2),'JLR Machines'!$D$2:$D$20001,IF(Settings!$B$3="","&lt;&gt;",Settings!$B$3)))</f>
        <v>0</v>
      </c>
      <c r="X171" s="39">
        <f>IF($P171&lt;&gt;1,0,SUMIFS('JLR Machines'!$N$2:$N$20001,'JLR Machines'!$A$2:$A$20001,$O171,'JLR Machines'!$C$2:$C$20001,IF(Settings!$B$2="","&lt;&gt;",Settings!$B$2),'JLR Machines'!$D$2:$D$20001,IF(Settings!$B$3="","&lt;&gt;",Settings!$B$3)))</f>
        <v>0</v>
      </c>
      <c r="Y171" s="39">
        <f>$Q171+$R171+$S171+$T171+$U171+$V171+$W171</f>
        <v>0</v>
      </c>
      <c r="Z171" s="38">
        <f>IF($X171&lt;=0,0,ROUND((D171+E171+F171+G171+H171+I171)/3280-$X171,4))</f>
        <v>0</v>
      </c>
      <c r="AA171" s="40" t="s">
        <v>2430</v>
      </c>
      <c r="AB171" s="40" t="s">
        <v>2099</v>
      </c>
    </row>
    <row r="172" spans="1:28" x14ac:dyDescent="0.25">
      <c r="A172" s="32" t="s">
        <v>1264</v>
      </c>
      <c r="B172" s="33" t="s">
        <v>2431</v>
      </c>
      <c r="C172" s="33" t="s">
        <v>2402</v>
      </c>
      <c r="D172" s="41">
        <f>IF($X172&gt;0,IF($Y172&gt;0,MAX(0,$Q172+$X172-$Y172)*3200,$X172*3200),38456)</f>
        <v>38456</v>
      </c>
      <c r="E172" s="41">
        <f>IF($X172&gt;0,IF($Y172&gt;0,$S172*3200,0),3029)</f>
        <v>3029</v>
      </c>
      <c r="F172" s="41">
        <f>IF($X172&gt;0,IF($Y172&gt;0,$V172*3200,0),8157)</f>
        <v>8157</v>
      </c>
      <c r="G172" s="41">
        <f>IF($X172&gt;0,IF($Y172&gt;0,$R172*3200,0),2019)</f>
        <v>2019</v>
      </c>
      <c r="H172" s="41">
        <f>IF($X172&gt;0,IF($Y172&gt;0,($T172+$W172)*3200,0),3324)</f>
        <v>3324</v>
      </c>
      <c r="I172" s="41">
        <f>IF($X172&gt;0,IF($Y172&gt;0,$U172*3200,0),9500)</f>
        <v>9500</v>
      </c>
      <c r="J172" s="35">
        <v>4000</v>
      </c>
      <c r="K172" s="42">
        <v>0.8</v>
      </c>
      <c r="L172" s="36" t="str">
        <f>IF($X172&gt;0,IF($P172&lt;&gt;1,$AB172,IFERROR(INDEX('JLR Machines'!$D$2:$D$20001,MATCH($O172,'JLR Machines'!$A$2:$A$20001,0)),$AB172)),$AB172)</f>
        <v>2026-09-29</v>
      </c>
      <c r="M172" s="36" t="str">
        <f>IF($X172&gt;0,IF($Y172&gt;0,"JLR machine "&amp;$O172&amp;" at "&amp;TEXT($X172,"0.00")&amp;" per hr — build-up as supplied","JLR machine "&amp;$O172&amp;" at "&amp;TEXT($X172,"0.00")&amp;" per hr — build-up not supplied"),$AA172)</f>
        <v>India press shop benchmark. Pune/NCR auto cluster. Jun 2026</v>
      </c>
      <c r="N172" s="33" t="s">
        <v>1380</v>
      </c>
      <c r="O172" s="37" t="str">
        <f>IFERROR(INDEX(Mapping!$C$2:$C$549,MATCH($A172,Mapping!$A$2:$A$549,0)),"")</f>
        <v/>
      </c>
      <c r="P172" s="37">
        <f>IF($O172="",0,COUNTIFS('JLR Machines'!$A$2:$A$20001,$O172,'JLR Machines'!$C$2:$C$20001,IF(Settings!$B$2="","&lt;&gt;",Settings!$B$2),'JLR Machines'!$D$2:$D$20001,IF(Settings!$B$3="","&lt;&gt;",Settings!$B$3)))</f>
        <v>0</v>
      </c>
      <c r="Q172" s="39">
        <f>IF($P172&lt;&gt;1,0,SUMIFS('JLR Machines'!$G$2:$G$20001,'JLR Machines'!$A$2:$A$20001,$O172,'JLR Machines'!$C$2:$C$20001,IF(Settings!$B$2="","&lt;&gt;",Settings!$B$2),'JLR Machines'!$D$2:$D$20001,IF(Settings!$B$3="","&lt;&gt;",Settings!$B$3)))</f>
        <v>0</v>
      </c>
      <c r="R172" s="39">
        <f>IF($P172&lt;&gt;1,0,SUMIFS('JLR Machines'!$H$2:$H$20001,'JLR Machines'!$A$2:$A$20001,$O172,'JLR Machines'!$C$2:$C$20001,IF(Settings!$B$2="","&lt;&gt;",Settings!$B$2),'JLR Machines'!$D$2:$D$20001,IF(Settings!$B$3="","&lt;&gt;",Settings!$B$3)))</f>
        <v>0</v>
      </c>
      <c r="S172" s="39">
        <f>IF($P172&lt;&gt;1,0,SUMIFS('JLR Machines'!$I$2:$I$20001,'JLR Machines'!$A$2:$A$20001,$O172,'JLR Machines'!$C$2:$C$20001,IF(Settings!$B$2="","&lt;&gt;",Settings!$B$2),'JLR Machines'!$D$2:$D$20001,IF(Settings!$B$3="","&lt;&gt;",Settings!$B$3)))</f>
        <v>0</v>
      </c>
      <c r="T172" s="39">
        <f>IF($P172&lt;&gt;1,0,SUMIFS('JLR Machines'!$J$2:$J$20001,'JLR Machines'!$A$2:$A$20001,$O172,'JLR Machines'!$C$2:$C$20001,IF(Settings!$B$2="","&lt;&gt;",Settings!$B$2),'JLR Machines'!$D$2:$D$20001,IF(Settings!$B$3="","&lt;&gt;",Settings!$B$3)))</f>
        <v>0</v>
      </c>
      <c r="U172" s="39">
        <f>IF($P172&lt;&gt;1,0,SUMIFS('JLR Machines'!$K$2:$K$20001,'JLR Machines'!$A$2:$A$20001,$O172,'JLR Machines'!$C$2:$C$20001,IF(Settings!$B$2="","&lt;&gt;",Settings!$B$2),'JLR Machines'!$D$2:$D$20001,IF(Settings!$B$3="","&lt;&gt;",Settings!$B$3)))</f>
        <v>0</v>
      </c>
      <c r="V172" s="39">
        <f>IF($P172&lt;&gt;1,0,SUMIFS('JLR Machines'!$L$2:$L$20001,'JLR Machines'!$A$2:$A$20001,$O172,'JLR Machines'!$C$2:$C$20001,IF(Settings!$B$2="","&lt;&gt;",Settings!$B$2),'JLR Machines'!$D$2:$D$20001,IF(Settings!$B$3="","&lt;&gt;",Settings!$B$3)))</f>
        <v>0</v>
      </c>
      <c r="W172" s="39">
        <f>IF($P172&lt;&gt;1,0,SUMIFS('JLR Machines'!$M$2:$M$20001,'JLR Machines'!$A$2:$A$20001,$O172,'JLR Machines'!$C$2:$C$20001,IF(Settings!$B$2="","&lt;&gt;",Settings!$B$2),'JLR Machines'!$D$2:$D$20001,IF(Settings!$B$3="","&lt;&gt;",Settings!$B$3)))</f>
        <v>0</v>
      </c>
      <c r="X172" s="39">
        <f>IF($P172&lt;&gt;1,0,SUMIFS('JLR Machines'!$N$2:$N$20001,'JLR Machines'!$A$2:$A$20001,$O172,'JLR Machines'!$C$2:$C$20001,IF(Settings!$B$2="","&lt;&gt;",Settings!$B$2),'JLR Machines'!$D$2:$D$20001,IF(Settings!$B$3="","&lt;&gt;",Settings!$B$3)))</f>
        <v>0</v>
      </c>
      <c r="Y172" s="39">
        <f>$Q172+$R172+$S172+$T172+$U172+$V172+$W172</f>
        <v>0</v>
      </c>
      <c r="Z172" s="38">
        <f>IF($X172&lt;=0,0,ROUND((D172+E172+F172+G172+H172+I172)/3200-$X172,4))</f>
        <v>0</v>
      </c>
      <c r="AA172" s="40" t="s">
        <v>2432</v>
      </c>
      <c r="AB172" s="40" t="s">
        <v>2099</v>
      </c>
    </row>
    <row r="173" spans="1:28" x14ac:dyDescent="0.25">
      <c r="A173" s="32" t="s">
        <v>1266</v>
      </c>
      <c r="B173" s="33" t="s">
        <v>2433</v>
      </c>
      <c r="C173" s="33" t="s">
        <v>2408</v>
      </c>
      <c r="D173" s="41">
        <f>IF($X173&gt;0,IF($Y173&gt;0,MAX(0,$Q173+$X173-$Y173)*3280,$X173*3280),38456)</f>
        <v>38456</v>
      </c>
      <c r="E173" s="41">
        <f>IF($X173&gt;0,IF($Y173&gt;0,$S173*3280,0),5452)</f>
        <v>5452</v>
      </c>
      <c r="F173" s="41">
        <f>IF($X173&gt;0,IF($Y173&gt;0,$V173*3280,0),12118)</f>
        <v>12118</v>
      </c>
      <c r="G173" s="41">
        <f>IF($X173&gt;0,IF($Y173&gt;0,$R173*3280,0),5300)</f>
        <v>5300</v>
      </c>
      <c r="H173" s="41">
        <f>IF($X173&gt;0,IF($Y173&gt;0,($T173+$W173)*3280,0),6798)</f>
        <v>6798</v>
      </c>
      <c r="I173" s="41">
        <f>IF($X173&gt;0,IF($Y173&gt;0,$U173*3280,0),9500)</f>
        <v>9500</v>
      </c>
      <c r="J173" s="35">
        <v>4000</v>
      </c>
      <c r="K173" s="42">
        <v>0.82</v>
      </c>
      <c r="L173" s="36" t="str">
        <f>IF($X173&gt;0,IF($P173&lt;&gt;1,$AB173,IFERROR(INDEX('JLR Machines'!$D$2:$D$20001,MATCH($O173,'JLR Machines'!$A$2:$A$20001,0)),$AB173)),$AB173)</f>
        <v>2026-09-29</v>
      </c>
      <c r="M173" s="36" t="str">
        <f>IF($X173&gt;0,IF($Y173&gt;0,"JLR machine "&amp;$O173&amp;" at "&amp;TEXT($X173,"0.00")&amp;" per hr — build-up as supplied","JLR machine "&amp;$O173&amp;" at "&amp;TEXT($X173,"0.00")&amp;" per hr — build-up not supplied"),$AA173)</f>
        <v>Poland stamping press benchmark. Silesia auto suppliers. Jun 2026</v>
      </c>
      <c r="N173" s="33" t="s">
        <v>1380</v>
      </c>
      <c r="O173" s="37" t="str">
        <f>IFERROR(INDEX(Mapping!$C$2:$C$549,MATCH($A173,Mapping!$A$2:$A$549,0)),"")</f>
        <v/>
      </c>
      <c r="P173" s="37">
        <f>IF($O173="",0,COUNTIFS('JLR Machines'!$A$2:$A$20001,$O173,'JLR Machines'!$C$2:$C$20001,IF(Settings!$B$2="","&lt;&gt;",Settings!$B$2),'JLR Machines'!$D$2:$D$20001,IF(Settings!$B$3="","&lt;&gt;",Settings!$B$3)))</f>
        <v>0</v>
      </c>
      <c r="Q173" s="39">
        <f>IF($P173&lt;&gt;1,0,SUMIFS('JLR Machines'!$G$2:$G$20001,'JLR Machines'!$A$2:$A$20001,$O173,'JLR Machines'!$C$2:$C$20001,IF(Settings!$B$2="","&lt;&gt;",Settings!$B$2),'JLR Machines'!$D$2:$D$20001,IF(Settings!$B$3="","&lt;&gt;",Settings!$B$3)))</f>
        <v>0</v>
      </c>
      <c r="R173" s="39">
        <f>IF($P173&lt;&gt;1,0,SUMIFS('JLR Machines'!$H$2:$H$20001,'JLR Machines'!$A$2:$A$20001,$O173,'JLR Machines'!$C$2:$C$20001,IF(Settings!$B$2="","&lt;&gt;",Settings!$B$2),'JLR Machines'!$D$2:$D$20001,IF(Settings!$B$3="","&lt;&gt;",Settings!$B$3)))</f>
        <v>0</v>
      </c>
      <c r="S173" s="39">
        <f>IF($P173&lt;&gt;1,0,SUMIFS('JLR Machines'!$I$2:$I$20001,'JLR Machines'!$A$2:$A$20001,$O173,'JLR Machines'!$C$2:$C$20001,IF(Settings!$B$2="","&lt;&gt;",Settings!$B$2),'JLR Machines'!$D$2:$D$20001,IF(Settings!$B$3="","&lt;&gt;",Settings!$B$3)))</f>
        <v>0</v>
      </c>
      <c r="T173" s="39">
        <f>IF($P173&lt;&gt;1,0,SUMIFS('JLR Machines'!$J$2:$J$20001,'JLR Machines'!$A$2:$A$20001,$O173,'JLR Machines'!$C$2:$C$20001,IF(Settings!$B$2="","&lt;&gt;",Settings!$B$2),'JLR Machines'!$D$2:$D$20001,IF(Settings!$B$3="","&lt;&gt;",Settings!$B$3)))</f>
        <v>0</v>
      </c>
      <c r="U173" s="39">
        <f>IF($P173&lt;&gt;1,0,SUMIFS('JLR Machines'!$K$2:$K$20001,'JLR Machines'!$A$2:$A$20001,$O173,'JLR Machines'!$C$2:$C$20001,IF(Settings!$B$2="","&lt;&gt;",Settings!$B$2),'JLR Machines'!$D$2:$D$20001,IF(Settings!$B$3="","&lt;&gt;",Settings!$B$3)))</f>
        <v>0</v>
      </c>
      <c r="V173" s="39">
        <f>IF($P173&lt;&gt;1,0,SUMIFS('JLR Machines'!$L$2:$L$20001,'JLR Machines'!$A$2:$A$20001,$O173,'JLR Machines'!$C$2:$C$20001,IF(Settings!$B$2="","&lt;&gt;",Settings!$B$2),'JLR Machines'!$D$2:$D$20001,IF(Settings!$B$3="","&lt;&gt;",Settings!$B$3)))</f>
        <v>0</v>
      </c>
      <c r="W173" s="39">
        <f>IF($P173&lt;&gt;1,0,SUMIFS('JLR Machines'!$M$2:$M$20001,'JLR Machines'!$A$2:$A$20001,$O173,'JLR Machines'!$C$2:$C$20001,IF(Settings!$B$2="","&lt;&gt;",Settings!$B$2),'JLR Machines'!$D$2:$D$20001,IF(Settings!$B$3="","&lt;&gt;",Settings!$B$3)))</f>
        <v>0</v>
      </c>
      <c r="X173" s="39">
        <f>IF($P173&lt;&gt;1,0,SUMIFS('JLR Machines'!$N$2:$N$20001,'JLR Machines'!$A$2:$A$20001,$O173,'JLR Machines'!$C$2:$C$20001,IF(Settings!$B$2="","&lt;&gt;",Settings!$B$2),'JLR Machines'!$D$2:$D$20001,IF(Settings!$B$3="","&lt;&gt;",Settings!$B$3)))</f>
        <v>0</v>
      </c>
      <c r="Y173" s="39">
        <f>$Q173+$R173+$S173+$T173+$U173+$V173+$W173</f>
        <v>0</v>
      </c>
      <c r="Z173" s="38">
        <f>IF($X173&lt;=0,0,ROUND((D173+E173+F173+G173+H173+I173)/3280-$X173,4))</f>
        <v>0</v>
      </c>
      <c r="AA173" s="40" t="s">
        <v>2434</v>
      </c>
      <c r="AB173" s="40" t="s">
        <v>2099</v>
      </c>
    </row>
    <row r="174" spans="1:28" x14ac:dyDescent="0.25">
      <c r="A174" s="32" t="s">
        <v>1268</v>
      </c>
      <c r="B174" s="33" t="s">
        <v>2435</v>
      </c>
      <c r="C174" s="33" t="s">
        <v>2411</v>
      </c>
      <c r="D174" s="41">
        <f>IF($X174&gt;0,IF($Y174&gt;0,MAX(0,$Q174+$X174-$Y174)*3280,$X174*3280),38456)</f>
        <v>38456</v>
      </c>
      <c r="E174" s="41">
        <f>IF($X174&gt;0,IF($Y174&gt;0,$S174*3280,0),3635)</f>
        <v>3635</v>
      </c>
      <c r="F174" s="41">
        <f>IF($X174&gt;0,IF($Y174&gt;0,$V174*3280,0),9089)</f>
        <v>9089</v>
      </c>
      <c r="G174" s="41">
        <f>IF($X174&gt;0,IF($Y174&gt;0,$R174*3280,0),4038)</f>
        <v>4038</v>
      </c>
      <c r="H174" s="41">
        <f>IF($X174&gt;0,IF($Y174&gt;0,($T174+$W174)*3280,0),4532)</f>
        <v>4532</v>
      </c>
      <c r="I174" s="41">
        <f>IF($X174&gt;0,IF($Y174&gt;0,$U174*3280,0),9500)</f>
        <v>9500</v>
      </c>
      <c r="J174" s="35">
        <v>4000</v>
      </c>
      <c r="K174" s="42">
        <v>0.82</v>
      </c>
      <c r="L174" s="36" t="str">
        <f>IF($X174&gt;0,IF($P174&lt;&gt;1,$AB174,IFERROR(INDEX('JLR Machines'!$D$2:$D$20001,MATCH($O174,'JLR Machines'!$A$2:$A$20001,0)),$AB174)),$AB174)</f>
        <v>2026-09-29</v>
      </c>
      <c r="M174" s="36" t="str">
        <f>IF($X174&gt;0,IF($Y174&gt;0,"JLR machine "&amp;$O174&amp;" at "&amp;TEXT($X174,"0.00")&amp;" per hr — build-up as supplied","JLR machine "&amp;$O174&amp;" at "&amp;TEXT($X174,"0.00")&amp;" per hr — build-up not supplied"),$AA174)</f>
        <v>Mexico stamping benchmark. Saltillo auto corridor. Jun 2026</v>
      </c>
      <c r="N174" s="33" t="s">
        <v>1380</v>
      </c>
      <c r="O174" s="37" t="str">
        <f>IFERROR(INDEX(Mapping!$C$2:$C$549,MATCH($A174,Mapping!$A$2:$A$549,0)),"")</f>
        <v/>
      </c>
      <c r="P174" s="37">
        <f>IF($O174="",0,COUNTIFS('JLR Machines'!$A$2:$A$20001,$O174,'JLR Machines'!$C$2:$C$20001,IF(Settings!$B$2="","&lt;&gt;",Settings!$B$2),'JLR Machines'!$D$2:$D$20001,IF(Settings!$B$3="","&lt;&gt;",Settings!$B$3)))</f>
        <v>0</v>
      </c>
      <c r="Q174" s="39">
        <f>IF($P174&lt;&gt;1,0,SUMIFS('JLR Machines'!$G$2:$G$20001,'JLR Machines'!$A$2:$A$20001,$O174,'JLR Machines'!$C$2:$C$20001,IF(Settings!$B$2="","&lt;&gt;",Settings!$B$2),'JLR Machines'!$D$2:$D$20001,IF(Settings!$B$3="","&lt;&gt;",Settings!$B$3)))</f>
        <v>0</v>
      </c>
      <c r="R174" s="39">
        <f>IF($P174&lt;&gt;1,0,SUMIFS('JLR Machines'!$H$2:$H$20001,'JLR Machines'!$A$2:$A$20001,$O174,'JLR Machines'!$C$2:$C$20001,IF(Settings!$B$2="","&lt;&gt;",Settings!$B$2),'JLR Machines'!$D$2:$D$20001,IF(Settings!$B$3="","&lt;&gt;",Settings!$B$3)))</f>
        <v>0</v>
      </c>
      <c r="S174" s="39">
        <f>IF($P174&lt;&gt;1,0,SUMIFS('JLR Machines'!$I$2:$I$20001,'JLR Machines'!$A$2:$A$20001,$O174,'JLR Machines'!$C$2:$C$20001,IF(Settings!$B$2="","&lt;&gt;",Settings!$B$2),'JLR Machines'!$D$2:$D$20001,IF(Settings!$B$3="","&lt;&gt;",Settings!$B$3)))</f>
        <v>0</v>
      </c>
      <c r="T174" s="39">
        <f>IF($P174&lt;&gt;1,0,SUMIFS('JLR Machines'!$J$2:$J$20001,'JLR Machines'!$A$2:$A$20001,$O174,'JLR Machines'!$C$2:$C$20001,IF(Settings!$B$2="","&lt;&gt;",Settings!$B$2),'JLR Machines'!$D$2:$D$20001,IF(Settings!$B$3="","&lt;&gt;",Settings!$B$3)))</f>
        <v>0</v>
      </c>
      <c r="U174" s="39">
        <f>IF($P174&lt;&gt;1,0,SUMIFS('JLR Machines'!$K$2:$K$20001,'JLR Machines'!$A$2:$A$20001,$O174,'JLR Machines'!$C$2:$C$20001,IF(Settings!$B$2="","&lt;&gt;",Settings!$B$2),'JLR Machines'!$D$2:$D$20001,IF(Settings!$B$3="","&lt;&gt;",Settings!$B$3)))</f>
        <v>0</v>
      </c>
      <c r="V174" s="39">
        <f>IF($P174&lt;&gt;1,0,SUMIFS('JLR Machines'!$L$2:$L$20001,'JLR Machines'!$A$2:$A$20001,$O174,'JLR Machines'!$C$2:$C$20001,IF(Settings!$B$2="","&lt;&gt;",Settings!$B$2),'JLR Machines'!$D$2:$D$20001,IF(Settings!$B$3="","&lt;&gt;",Settings!$B$3)))</f>
        <v>0</v>
      </c>
      <c r="W174" s="39">
        <f>IF($P174&lt;&gt;1,0,SUMIFS('JLR Machines'!$M$2:$M$20001,'JLR Machines'!$A$2:$A$20001,$O174,'JLR Machines'!$C$2:$C$20001,IF(Settings!$B$2="","&lt;&gt;",Settings!$B$2),'JLR Machines'!$D$2:$D$20001,IF(Settings!$B$3="","&lt;&gt;",Settings!$B$3)))</f>
        <v>0</v>
      </c>
      <c r="X174" s="39">
        <f>IF($P174&lt;&gt;1,0,SUMIFS('JLR Machines'!$N$2:$N$20001,'JLR Machines'!$A$2:$A$20001,$O174,'JLR Machines'!$C$2:$C$20001,IF(Settings!$B$2="","&lt;&gt;",Settings!$B$2),'JLR Machines'!$D$2:$D$20001,IF(Settings!$B$3="","&lt;&gt;",Settings!$B$3)))</f>
        <v>0</v>
      </c>
      <c r="Y174" s="39">
        <f>$Q174+$R174+$S174+$T174+$U174+$V174+$W174</f>
        <v>0</v>
      </c>
      <c r="Z174" s="38">
        <f>IF($X174&lt;=0,0,ROUND((D174+E174+F174+G174+H174+I174)/3280-$X174,4))</f>
        <v>0</v>
      </c>
      <c r="AA174" s="40" t="s">
        <v>2436</v>
      </c>
      <c r="AB174" s="40" t="s">
        <v>2099</v>
      </c>
    </row>
    <row r="175" spans="1:28" x14ac:dyDescent="0.25">
      <c r="A175" s="32" t="s">
        <v>1270</v>
      </c>
      <c r="B175" s="33" t="s">
        <v>2437</v>
      </c>
      <c r="C175" s="33" t="s">
        <v>2399</v>
      </c>
      <c r="D175" s="41">
        <f>IF($X175&gt;0,IF($Y175&gt;0,MAX(0,$Q175+$X175-$Y175)*4050,$X175*4050),3036)</f>
        <v>3036</v>
      </c>
      <c r="E175" s="41">
        <f>IF($X175&gt;0,IF($Y175&gt;0,$S175*4050,0),303)</f>
        <v>303</v>
      </c>
      <c r="F175" s="41">
        <f>IF($X175&gt;0,IF($Y175&gt;0,$V175*4050,0),303)</f>
        <v>303</v>
      </c>
      <c r="G175" s="41">
        <f>IF($X175&gt;0,IF($Y175&gt;0,$R175*4050,0),606)</f>
        <v>606</v>
      </c>
      <c r="H175" s="41">
        <f>IF($X175&gt;0,IF($Y175&gt;0,($T175+$W175)*4050,0),1007)</f>
        <v>1007</v>
      </c>
      <c r="I175" s="41">
        <f>IF($X175&gt;0,IF($Y175&gt;0,$U175*4050,0),750)</f>
        <v>750</v>
      </c>
      <c r="J175" s="35">
        <v>4500</v>
      </c>
      <c r="K175" s="42">
        <v>0.9</v>
      </c>
      <c r="L175" s="36" t="str">
        <f>IF($X175&gt;0,IF($P175&lt;&gt;1,$AB175,IFERROR(INDEX('JLR Machines'!$D$2:$D$20001,MATCH($O175,'JLR Machines'!$A$2:$A$20001,0)),$AB175)),$AB175)</f>
        <v>2026-09-29</v>
      </c>
      <c r="M175" s="36" t="str">
        <f>IF($X175&gt;0,IF($Y175&gt;0,"JLR machine "&amp;$O175&amp;" at "&amp;TEXT($X175,"0.00")&amp;" per hr — build-up as supplied","JLR machine "&amp;$O175&amp;" at "&amp;TEXT($X175,"0.00")&amp;" per hr — build-up not supplied"),$AA175)</f>
        <v>China assembly benchmark. Shenzhen/Suzhou. Harness, PCBA, BIW subassembly. Jun 2026</v>
      </c>
      <c r="N175" s="33" t="s">
        <v>1380</v>
      </c>
      <c r="O175" s="37" t="str">
        <f>IFERROR(INDEX(Mapping!$C$2:$C$549,MATCH($A175,Mapping!$A$2:$A$549,0)),"")</f>
        <v/>
      </c>
      <c r="P175" s="37">
        <f>IF($O175="",0,COUNTIFS('JLR Machines'!$A$2:$A$20001,$O175,'JLR Machines'!$C$2:$C$20001,IF(Settings!$B$2="","&lt;&gt;",Settings!$B$2),'JLR Machines'!$D$2:$D$20001,IF(Settings!$B$3="","&lt;&gt;",Settings!$B$3)))</f>
        <v>0</v>
      </c>
      <c r="Q175" s="39">
        <f>IF($P175&lt;&gt;1,0,SUMIFS('JLR Machines'!$G$2:$G$20001,'JLR Machines'!$A$2:$A$20001,$O175,'JLR Machines'!$C$2:$C$20001,IF(Settings!$B$2="","&lt;&gt;",Settings!$B$2),'JLR Machines'!$D$2:$D$20001,IF(Settings!$B$3="","&lt;&gt;",Settings!$B$3)))</f>
        <v>0</v>
      </c>
      <c r="R175" s="39">
        <f>IF($P175&lt;&gt;1,0,SUMIFS('JLR Machines'!$H$2:$H$20001,'JLR Machines'!$A$2:$A$20001,$O175,'JLR Machines'!$C$2:$C$20001,IF(Settings!$B$2="","&lt;&gt;",Settings!$B$2),'JLR Machines'!$D$2:$D$20001,IF(Settings!$B$3="","&lt;&gt;",Settings!$B$3)))</f>
        <v>0</v>
      </c>
      <c r="S175" s="39">
        <f>IF($P175&lt;&gt;1,0,SUMIFS('JLR Machines'!$I$2:$I$20001,'JLR Machines'!$A$2:$A$20001,$O175,'JLR Machines'!$C$2:$C$20001,IF(Settings!$B$2="","&lt;&gt;",Settings!$B$2),'JLR Machines'!$D$2:$D$20001,IF(Settings!$B$3="","&lt;&gt;",Settings!$B$3)))</f>
        <v>0</v>
      </c>
      <c r="T175" s="39">
        <f>IF($P175&lt;&gt;1,0,SUMIFS('JLR Machines'!$J$2:$J$20001,'JLR Machines'!$A$2:$A$20001,$O175,'JLR Machines'!$C$2:$C$20001,IF(Settings!$B$2="","&lt;&gt;",Settings!$B$2),'JLR Machines'!$D$2:$D$20001,IF(Settings!$B$3="","&lt;&gt;",Settings!$B$3)))</f>
        <v>0</v>
      </c>
      <c r="U175" s="39">
        <f>IF($P175&lt;&gt;1,0,SUMIFS('JLR Machines'!$K$2:$K$20001,'JLR Machines'!$A$2:$A$20001,$O175,'JLR Machines'!$C$2:$C$20001,IF(Settings!$B$2="","&lt;&gt;",Settings!$B$2),'JLR Machines'!$D$2:$D$20001,IF(Settings!$B$3="","&lt;&gt;",Settings!$B$3)))</f>
        <v>0</v>
      </c>
      <c r="V175" s="39">
        <f>IF($P175&lt;&gt;1,0,SUMIFS('JLR Machines'!$L$2:$L$20001,'JLR Machines'!$A$2:$A$20001,$O175,'JLR Machines'!$C$2:$C$20001,IF(Settings!$B$2="","&lt;&gt;",Settings!$B$2),'JLR Machines'!$D$2:$D$20001,IF(Settings!$B$3="","&lt;&gt;",Settings!$B$3)))</f>
        <v>0</v>
      </c>
      <c r="W175" s="39">
        <f>IF($P175&lt;&gt;1,0,SUMIFS('JLR Machines'!$M$2:$M$20001,'JLR Machines'!$A$2:$A$20001,$O175,'JLR Machines'!$C$2:$C$20001,IF(Settings!$B$2="","&lt;&gt;",Settings!$B$2),'JLR Machines'!$D$2:$D$20001,IF(Settings!$B$3="","&lt;&gt;",Settings!$B$3)))</f>
        <v>0</v>
      </c>
      <c r="X175" s="39">
        <f>IF($P175&lt;&gt;1,0,SUMIFS('JLR Machines'!$N$2:$N$20001,'JLR Machines'!$A$2:$A$20001,$O175,'JLR Machines'!$C$2:$C$20001,IF(Settings!$B$2="","&lt;&gt;",Settings!$B$2),'JLR Machines'!$D$2:$D$20001,IF(Settings!$B$3="","&lt;&gt;",Settings!$B$3)))</f>
        <v>0</v>
      </c>
      <c r="Y175" s="39">
        <f>$Q175+$R175+$S175+$T175+$U175+$V175+$W175</f>
        <v>0</v>
      </c>
      <c r="Z175" s="38">
        <f>IF($X175&lt;=0,0,ROUND((D175+E175+F175+G175+H175+I175)/4050-$X175,4))</f>
        <v>0</v>
      </c>
      <c r="AA175" s="40" t="s">
        <v>2438</v>
      </c>
      <c r="AB175" s="40" t="s">
        <v>2099</v>
      </c>
    </row>
    <row r="176" spans="1:28" x14ac:dyDescent="0.25">
      <c r="A176" s="32" t="s">
        <v>1272</v>
      </c>
      <c r="B176" s="33" t="s">
        <v>2439</v>
      </c>
      <c r="C176" s="33" t="s">
        <v>2402</v>
      </c>
      <c r="D176" s="41">
        <f>IF($X176&gt;0,IF($Y176&gt;0,MAX(0,$Q176+$X176-$Y176)*4050,$X176*4050),3036)</f>
        <v>3036</v>
      </c>
      <c r="E176" s="41">
        <f>IF($X176&gt;0,IF($Y176&gt;0,$S176*4050,0),252)</f>
        <v>252</v>
      </c>
      <c r="F176" s="41">
        <f>IF($X176&gt;0,IF($Y176&gt;0,$V176*4050,0),408)</f>
        <v>408</v>
      </c>
      <c r="G176" s="41">
        <f>IF($X176&gt;0,IF($Y176&gt;0,$R176*4050,0),404)</f>
        <v>404</v>
      </c>
      <c r="H176" s="41">
        <f>IF($X176&gt;0,IF($Y176&gt;0,($T176+$W176)*4050,0),755)</f>
        <v>755</v>
      </c>
      <c r="I176" s="41">
        <f>IF($X176&gt;0,IF($Y176&gt;0,$U176*4050,0),750)</f>
        <v>750</v>
      </c>
      <c r="J176" s="35">
        <v>4500</v>
      </c>
      <c r="K176" s="42">
        <v>0.9</v>
      </c>
      <c r="L176" s="36" t="str">
        <f>IF($X176&gt;0,IF($P176&lt;&gt;1,$AB176,IFERROR(INDEX('JLR Machines'!$D$2:$D$20001,MATCH($O176,'JLR Machines'!$A$2:$A$20001,0)),$AB176)),$AB176)</f>
        <v>2026-09-29</v>
      </c>
      <c r="M176" s="36" t="str">
        <f>IF($X176&gt;0,IF($Y176&gt;0,"JLR machine "&amp;$O176&amp;" at "&amp;TEXT($X176,"0.00")&amp;" per hr — build-up as supplied","JLR machine "&amp;$O176&amp;" at "&amp;TEXT($X176,"0.00")&amp;" per hr — build-up not supplied"),$AA176)</f>
        <v>India assembly benchmark. Pune/Nashik auto corridor. Jun 2026</v>
      </c>
      <c r="N176" s="33" t="s">
        <v>1380</v>
      </c>
      <c r="O176" s="37" t="str">
        <f>IFERROR(INDEX(Mapping!$C$2:$C$549,MATCH($A176,Mapping!$A$2:$A$549,0)),"")</f>
        <v/>
      </c>
      <c r="P176" s="37">
        <f>IF($O176="",0,COUNTIFS('JLR Machines'!$A$2:$A$20001,$O176,'JLR Machines'!$C$2:$C$20001,IF(Settings!$B$2="","&lt;&gt;",Settings!$B$2),'JLR Machines'!$D$2:$D$20001,IF(Settings!$B$3="","&lt;&gt;",Settings!$B$3)))</f>
        <v>0</v>
      </c>
      <c r="Q176" s="39">
        <f>IF($P176&lt;&gt;1,0,SUMIFS('JLR Machines'!$G$2:$G$20001,'JLR Machines'!$A$2:$A$20001,$O176,'JLR Machines'!$C$2:$C$20001,IF(Settings!$B$2="","&lt;&gt;",Settings!$B$2),'JLR Machines'!$D$2:$D$20001,IF(Settings!$B$3="","&lt;&gt;",Settings!$B$3)))</f>
        <v>0</v>
      </c>
      <c r="R176" s="39">
        <f>IF($P176&lt;&gt;1,0,SUMIFS('JLR Machines'!$H$2:$H$20001,'JLR Machines'!$A$2:$A$20001,$O176,'JLR Machines'!$C$2:$C$20001,IF(Settings!$B$2="","&lt;&gt;",Settings!$B$2),'JLR Machines'!$D$2:$D$20001,IF(Settings!$B$3="","&lt;&gt;",Settings!$B$3)))</f>
        <v>0</v>
      </c>
      <c r="S176" s="39">
        <f>IF($P176&lt;&gt;1,0,SUMIFS('JLR Machines'!$I$2:$I$20001,'JLR Machines'!$A$2:$A$20001,$O176,'JLR Machines'!$C$2:$C$20001,IF(Settings!$B$2="","&lt;&gt;",Settings!$B$2),'JLR Machines'!$D$2:$D$20001,IF(Settings!$B$3="","&lt;&gt;",Settings!$B$3)))</f>
        <v>0</v>
      </c>
      <c r="T176" s="39">
        <f>IF($P176&lt;&gt;1,0,SUMIFS('JLR Machines'!$J$2:$J$20001,'JLR Machines'!$A$2:$A$20001,$O176,'JLR Machines'!$C$2:$C$20001,IF(Settings!$B$2="","&lt;&gt;",Settings!$B$2),'JLR Machines'!$D$2:$D$20001,IF(Settings!$B$3="","&lt;&gt;",Settings!$B$3)))</f>
        <v>0</v>
      </c>
      <c r="U176" s="39">
        <f>IF($P176&lt;&gt;1,0,SUMIFS('JLR Machines'!$K$2:$K$20001,'JLR Machines'!$A$2:$A$20001,$O176,'JLR Machines'!$C$2:$C$20001,IF(Settings!$B$2="","&lt;&gt;",Settings!$B$2),'JLR Machines'!$D$2:$D$20001,IF(Settings!$B$3="","&lt;&gt;",Settings!$B$3)))</f>
        <v>0</v>
      </c>
      <c r="V176" s="39">
        <f>IF($P176&lt;&gt;1,0,SUMIFS('JLR Machines'!$L$2:$L$20001,'JLR Machines'!$A$2:$A$20001,$O176,'JLR Machines'!$C$2:$C$20001,IF(Settings!$B$2="","&lt;&gt;",Settings!$B$2),'JLR Machines'!$D$2:$D$20001,IF(Settings!$B$3="","&lt;&gt;",Settings!$B$3)))</f>
        <v>0</v>
      </c>
      <c r="W176" s="39">
        <f>IF($P176&lt;&gt;1,0,SUMIFS('JLR Machines'!$M$2:$M$20001,'JLR Machines'!$A$2:$A$20001,$O176,'JLR Machines'!$C$2:$C$20001,IF(Settings!$B$2="","&lt;&gt;",Settings!$B$2),'JLR Machines'!$D$2:$D$20001,IF(Settings!$B$3="","&lt;&gt;",Settings!$B$3)))</f>
        <v>0</v>
      </c>
      <c r="X176" s="39">
        <f>IF($P176&lt;&gt;1,0,SUMIFS('JLR Machines'!$N$2:$N$20001,'JLR Machines'!$A$2:$A$20001,$O176,'JLR Machines'!$C$2:$C$20001,IF(Settings!$B$2="","&lt;&gt;",Settings!$B$2),'JLR Machines'!$D$2:$D$20001,IF(Settings!$B$3="","&lt;&gt;",Settings!$B$3)))</f>
        <v>0</v>
      </c>
      <c r="Y176" s="39">
        <f>$Q176+$R176+$S176+$T176+$U176+$V176+$W176</f>
        <v>0</v>
      </c>
      <c r="Z176" s="38">
        <f>IF($X176&lt;=0,0,ROUND((D176+E176+F176+G176+H176+I176)/4050-$X176,4))</f>
        <v>0</v>
      </c>
      <c r="AA176" s="40" t="s">
        <v>2440</v>
      </c>
      <c r="AB176" s="40" t="s">
        <v>2099</v>
      </c>
    </row>
    <row r="177" spans="1:28" x14ac:dyDescent="0.25">
      <c r="A177" s="32" t="s">
        <v>1274</v>
      </c>
      <c r="B177" s="33" t="s">
        <v>2441</v>
      </c>
      <c r="C177" s="33" t="s">
        <v>2411</v>
      </c>
      <c r="D177" s="41">
        <f>IF($X177&gt;0,IF($Y177&gt;0,MAX(0,$Q177+$X177-$Y177)*4050,$X177*4050),3036)</f>
        <v>3036</v>
      </c>
      <c r="E177" s="41">
        <f>IF($X177&gt;0,IF($Y177&gt;0,$S177*4050,0),303)</f>
        <v>303</v>
      </c>
      <c r="F177" s="41">
        <f>IF($X177&gt;0,IF($Y177&gt;0,$V177*4050,0),454)</f>
        <v>454</v>
      </c>
      <c r="G177" s="41">
        <f>IF($X177&gt;0,IF($Y177&gt;0,$R177*4050,0),808)</f>
        <v>808</v>
      </c>
      <c r="H177" s="41">
        <f>IF($X177&gt;0,IF($Y177&gt;0,($T177+$W177)*4050,0),1007)</f>
        <v>1007</v>
      </c>
      <c r="I177" s="41">
        <f>IF($X177&gt;0,IF($Y177&gt;0,$U177*4050,0),750)</f>
        <v>750</v>
      </c>
      <c r="J177" s="35">
        <v>4500</v>
      </c>
      <c r="K177" s="42">
        <v>0.9</v>
      </c>
      <c r="L177" s="36" t="str">
        <f>IF($X177&gt;0,IF($P177&lt;&gt;1,$AB177,IFERROR(INDEX('JLR Machines'!$D$2:$D$20001,MATCH($O177,'JLR Machines'!$A$2:$A$20001,0)),$AB177)),$AB177)</f>
        <v>2026-09-29</v>
      </c>
      <c r="M177" s="36" t="str">
        <f>IF($X177&gt;0,IF($Y177&gt;0,"JLR machine "&amp;$O177&amp;" at "&amp;TEXT($X177,"0.00")&amp;" per hr — build-up as supplied","JLR machine "&amp;$O177&amp;" at "&amp;TEXT($X177,"0.00")&amp;" per hr — build-up not supplied"),$AA177)</f>
        <v>Mexico assembly benchmark. Juárez/Monterrey maquiladora. Jun 2026</v>
      </c>
      <c r="N177" s="33" t="s">
        <v>1380</v>
      </c>
      <c r="O177" s="37" t="str">
        <f>IFERROR(INDEX(Mapping!$C$2:$C$549,MATCH($A177,Mapping!$A$2:$A$549,0)),"")</f>
        <v/>
      </c>
      <c r="P177" s="37">
        <f>IF($O177="",0,COUNTIFS('JLR Machines'!$A$2:$A$20001,$O177,'JLR Machines'!$C$2:$C$20001,IF(Settings!$B$2="","&lt;&gt;",Settings!$B$2),'JLR Machines'!$D$2:$D$20001,IF(Settings!$B$3="","&lt;&gt;",Settings!$B$3)))</f>
        <v>0</v>
      </c>
      <c r="Q177" s="39">
        <f>IF($P177&lt;&gt;1,0,SUMIFS('JLR Machines'!$G$2:$G$20001,'JLR Machines'!$A$2:$A$20001,$O177,'JLR Machines'!$C$2:$C$20001,IF(Settings!$B$2="","&lt;&gt;",Settings!$B$2),'JLR Machines'!$D$2:$D$20001,IF(Settings!$B$3="","&lt;&gt;",Settings!$B$3)))</f>
        <v>0</v>
      </c>
      <c r="R177" s="39">
        <f>IF($P177&lt;&gt;1,0,SUMIFS('JLR Machines'!$H$2:$H$20001,'JLR Machines'!$A$2:$A$20001,$O177,'JLR Machines'!$C$2:$C$20001,IF(Settings!$B$2="","&lt;&gt;",Settings!$B$2),'JLR Machines'!$D$2:$D$20001,IF(Settings!$B$3="","&lt;&gt;",Settings!$B$3)))</f>
        <v>0</v>
      </c>
      <c r="S177" s="39">
        <f>IF($P177&lt;&gt;1,0,SUMIFS('JLR Machines'!$I$2:$I$20001,'JLR Machines'!$A$2:$A$20001,$O177,'JLR Machines'!$C$2:$C$20001,IF(Settings!$B$2="","&lt;&gt;",Settings!$B$2),'JLR Machines'!$D$2:$D$20001,IF(Settings!$B$3="","&lt;&gt;",Settings!$B$3)))</f>
        <v>0</v>
      </c>
      <c r="T177" s="39">
        <f>IF($P177&lt;&gt;1,0,SUMIFS('JLR Machines'!$J$2:$J$20001,'JLR Machines'!$A$2:$A$20001,$O177,'JLR Machines'!$C$2:$C$20001,IF(Settings!$B$2="","&lt;&gt;",Settings!$B$2),'JLR Machines'!$D$2:$D$20001,IF(Settings!$B$3="","&lt;&gt;",Settings!$B$3)))</f>
        <v>0</v>
      </c>
      <c r="U177" s="39">
        <f>IF($P177&lt;&gt;1,0,SUMIFS('JLR Machines'!$K$2:$K$20001,'JLR Machines'!$A$2:$A$20001,$O177,'JLR Machines'!$C$2:$C$20001,IF(Settings!$B$2="","&lt;&gt;",Settings!$B$2),'JLR Machines'!$D$2:$D$20001,IF(Settings!$B$3="","&lt;&gt;",Settings!$B$3)))</f>
        <v>0</v>
      </c>
      <c r="V177" s="39">
        <f>IF($P177&lt;&gt;1,0,SUMIFS('JLR Machines'!$L$2:$L$20001,'JLR Machines'!$A$2:$A$20001,$O177,'JLR Machines'!$C$2:$C$20001,IF(Settings!$B$2="","&lt;&gt;",Settings!$B$2),'JLR Machines'!$D$2:$D$20001,IF(Settings!$B$3="","&lt;&gt;",Settings!$B$3)))</f>
        <v>0</v>
      </c>
      <c r="W177" s="39">
        <f>IF($P177&lt;&gt;1,0,SUMIFS('JLR Machines'!$M$2:$M$20001,'JLR Machines'!$A$2:$A$20001,$O177,'JLR Machines'!$C$2:$C$20001,IF(Settings!$B$2="","&lt;&gt;",Settings!$B$2),'JLR Machines'!$D$2:$D$20001,IF(Settings!$B$3="","&lt;&gt;",Settings!$B$3)))</f>
        <v>0</v>
      </c>
      <c r="X177" s="39">
        <f>IF($P177&lt;&gt;1,0,SUMIFS('JLR Machines'!$N$2:$N$20001,'JLR Machines'!$A$2:$A$20001,$O177,'JLR Machines'!$C$2:$C$20001,IF(Settings!$B$2="","&lt;&gt;",Settings!$B$2),'JLR Machines'!$D$2:$D$20001,IF(Settings!$B$3="","&lt;&gt;",Settings!$B$3)))</f>
        <v>0</v>
      </c>
      <c r="Y177" s="39">
        <f>$Q177+$R177+$S177+$T177+$U177+$V177+$W177</f>
        <v>0</v>
      </c>
      <c r="Z177" s="38">
        <f>IF($X177&lt;=0,0,ROUND((D177+E177+F177+G177+H177+I177)/4050-$X177,4))</f>
        <v>0</v>
      </c>
      <c r="AA177" s="40" t="s">
        <v>2442</v>
      </c>
      <c r="AB177" s="40" t="s">
        <v>2099</v>
      </c>
    </row>
    <row r="178" spans="1:28" x14ac:dyDescent="0.25">
      <c r="A178" s="32" t="s">
        <v>1276</v>
      </c>
      <c r="B178" s="33" t="s">
        <v>2443</v>
      </c>
      <c r="C178" s="33" t="s">
        <v>2444</v>
      </c>
      <c r="D178" s="41">
        <f>IF($X178&gt;0,IF($Y178&gt;0,MAX(0,$Q178+$X178-$Y178)*4416,$X178*4416),3036)</f>
        <v>3036</v>
      </c>
      <c r="E178" s="41">
        <f>IF($X178&gt;0,IF($Y178&gt;0,$S178*4416,0),202)</f>
        <v>202</v>
      </c>
      <c r="F178" s="41">
        <f>IF($X178&gt;0,IF($Y178&gt;0,$V178*4416,0),364)</f>
        <v>364</v>
      </c>
      <c r="G178" s="41">
        <f>IF($X178&gt;0,IF($Y178&gt;0,$R178*4416,0),303)</f>
        <v>303</v>
      </c>
      <c r="H178" s="41">
        <f>IF($X178&gt;0,IF($Y178&gt;0,($T178+$W178)*4416,0),604)</f>
        <v>604</v>
      </c>
      <c r="I178" s="41">
        <f>IF($X178&gt;0,IF($Y178&gt;0,$U178*4416,0),750)</f>
        <v>750</v>
      </c>
      <c r="J178" s="35">
        <v>4800</v>
      </c>
      <c r="K178" s="42">
        <v>0.92</v>
      </c>
      <c r="L178" s="36" t="str">
        <f>IF($X178&gt;0,IF($P178&lt;&gt;1,$AB178,IFERROR(INDEX('JLR Machines'!$D$2:$D$20001,MATCH($O178,'JLR Machines'!$A$2:$A$20001,0)),$AB178)),$AB178)</f>
        <v>2026-09-29</v>
      </c>
      <c r="M178" s="36" t="str">
        <f>IF($X178&gt;0,IF($Y178&gt;0,"JLR machine "&amp;$O178&amp;" at "&amp;TEXT($X178,"0.00")&amp;" per hr — build-up as supplied","JLR machine "&amp;$O178&amp;" at "&amp;TEXT($X178,"0.00")&amp;" per hr — build-up not supplied"),$AA178)</f>
        <v>Vietnam assembly benchmark. Ho Chi Minh City / Hanoi. Wiring harness. Jun 2026</v>
      </c>
      <c r="N178" s="33" t="s">
        <v>1380</v>
      </c>
      <c r="O178" s="37" t="str">
        <f>IFERROR(INDEX(Mapping!$C$2:$C$549,MATCH($A178,Mapping!$A$2:$A$549,0)),"")</f>
        <v/>
      </c>
      <c r="P178" s="37">
        <f>IF($O178="",0,COUNTIFS('JLR Machines'!$A$2:$A$20001,$O178,'JLR Machines'!$C$2:$C$20001,IF(Settings!$B$2="","&lt;&gt;",Settings!$B$2),'JLR Machines'!$D$2:$D$20001,IF(Settings!$B$3="","&lt;&gt;",Settings!$B$3)))</f>
        <v>0</v>
      </c>
      <c r="Q178" s="39">
        <f>IF($P178&lt;&gt;1,0,SUMIFS('JLR Machines'!$G$2:$G$20001,'JLR Machines'!$A$2:$A$20001,$O178,'JLR Machines'!$C$2:$C$20001,IF(Settings!$B$2="","&lt;&gt;",Settings!$B$2),'JLR Machines'!$D$2:$D$20001,IF(Settings!$B$3="","&lt;&gt;",Settings!$B$3)))</f>
        <v>0</v>
      </c>
      <c r="R178" s="39">
        <f>IF($P178&lt;&gt;1,0,SUMIFS('JLR Machines'!$H$2:$H$20001,'JLR Machines'!$A$2:$A$20001,$O178,'JLR Machines'!$C$2:$C$20001,IF(Settings!$B$2="","&lt;&gt;",Settings!$B$2),'JLR Machines'!$D$2:$D$20001,IF(Settings!$B$3="","&lt;&gt;",Settings!$B$3)))</f>
        <v>0</v>
      </c>
      <c r="S178" s="39">
        <f>IF($P178&lt;&gt;1,0,SUMIFS('JLR Machines'!$I$2:$I$20001,'JLR Machines'!$A$2:$A$20001,$O178,'JLR Machines'!$C$2:$C$20001,IF(Settings!$B$2="","&lt;&gt;",Settings!$B$2),'JLR Machines'!$D$2:$D$20001,IF(Settings!$B$3="","&lt;&gt;",Settings!$B$3)))</f>
        <v>0</v>
      </c>
      <c r="T178" s="39">
        <f>IF($P178&lt;&gt;1,0,SUMIFS('JLR Machines'!$J$2:$J$20001,'JLR Machines'!$A$2:$A$20001,$O178,'JLR Machines'!$C$2:$C$20001,IF(Settings!$B$2="","&lt;&gt;",Settings!$B$2),'JLR Machines'!$D$2:$D$20001,IF(Settings!$B$3="","&lt;&gt;",Settings!$B$3)))</f>
        <v>0</v>
      </c>
      <c r="U178" s="39">
        <f>IF($P178&lt;&gt;1,0,SUMIFS('JLR Machines'!$K$2:$K$20001,'JLR Machines'!$A$2:$A$20001,$O178,'JLR Machines'!$C$2:$C$20001,IF(Settings!$B$2="","&lt;&gt;",Settings!$B$2),'JLR Machines'!$D$2:$D$20001,IF(Settings!$B$3="","&lt;&gt;",Settings!$B$3)))</f>
        <v>0</v>
      </c>
      <c r="V178" s="39">
        <f>IF($P178&lt;&gt;1,0,SUMIFS('JLR Machines'!$L$2:$L$20001,'JLR Machines'!$A$2:$A$20001,$O178,'JLR Machines'!$C$2:$C$20001,IF(Settings!$B$2="","&lt;&gt;",Settings!$B$2),'JLR Machines'!$D$2:$D$20001,IF(Settings!$B$3="","&lt;&gt;",Settings!$B$3)))</f>
        <v>0</v>
      </c>
      <c r="W178" s="39">
        <f>IF($P178&lt;&gt;1,0,SUMIFS('JLR Machines'!$M$2:$M$20001,'JLR Machines'!$A$2:$A$20001,$O178,'JLR Machines'!$C$2:$C$20001,IF(Settings!$B$2="","&lt;&gt;",Settings!$B$2),'JLR Machines'!$D$2:$D$20001,IF(Settings!$B$3="","&lt;&gt;",Settings!$B$3)))</f>
        <v>0</v>
      </c>
      <c r="X178" s="39">
        <f>IF($P178&lt;&gt;1,0,SUMIFS('JLR Machines'!$N$2:$N$20001,'JLR Machines'!$A$2:$A$20001,$O178,'JLR Machines'!$C$2:$C$20001,IF(Settings!$B$2="","&lt;&gt;",Settings!$B$2),'JLR Machines'!$D$2:$D$20001,IF(Settings!$B$3="","&lt;&gt;",Settings!$B$3)))</f>
        <v>0</v>
      </c>
      <c r="Y178" s="39">
        <f>$Q178+$R178+$S178+$T178+$U178+$V178+$W178</f>
        <v>0</v>
      </c>
      <c r="Z178" s="38">
        <f>IF($X178&lt;=0,0,ROUND((D178+E178+F178+G178+H178+I178)/4416-$X178,4))</f>
        <v>0</v>
      </c>
      <c r="AA178" s="40" t="s">
        <v>2445</v>
      </c>
      <c r="AB178" s="40" t="s">
        <v>2099</v>
      </c>
    </row>
    <row r="179" spans="1:28" x14ac:dyDescent="0.25">
      <c r="A179" s="32" t="s">
        <v>1278</v>
      </c>
      <c r="B179" s="33" t="s">
        <v>2446</v>
      </c>
      <c r="C179" s="33" t="s">
        <v>2408</v>
      </c>
      <c r="D179" s="41">
        <f>IF($X179&gt;0,IF($Y179&gt;0,MAX(0,$Q179+$X179-$Y179)*4050,$X179*4050),3036)</f>
        <v>3036</v>
      </c>
      <c r="E179" s="41">
        <f>IF($X179&gt;0,IF($Y179&gt;0,$S179*4050,0),454)</f>
        <v>454</v>
      </c>
      <c r="F179" s="41">
        <f>IF($X179&gt;0,IF($Y179&gt;0,$V179*4050,0),727)</f>
        <v>727</v>
      </c>
      <c r="G179" s="41">
        <f>IF($X179&gt;0,IF($Y179&gt;0,$R179*4050,0),1060)</f>
        <v>1060</v>
      </c>
      <c r="H179" s="41">
        <f>IF($X179&gt;0,IF($Y179&gt;0,($T179+$W179)*4050,0),1360)</f>
        <v>1360</v>
      </c>
      <c r="I179" s="41">
        <f>IF($X179&gt;0,IF($Y179&gt;0,$U179*4050,0),750)</f>
        <v>750</v>
      </c>
      <c r="J179" s="35">
        <v>4500</v>
      </c>
      <c r="K179" s="42">
        <v>0.9</v>
      </c>
      <c r="L179" s="36" t="str">
        <f>IF($X179&gt;0,IF($P179&lt;&gt;1,$AB179,IFERROR(INDEX('JLR Machines'!$D$2:$D$20001,MATCH($O179,'JLR Machines'!$A$2:$A$20001,0)),$AB179)),$AB179)</f>
        <v>2026-09-29</v>
      </c>
      <c r="M179" s="36" t="str">
        <f>IF($X179&gt;0,IF($Y179&gt;0,"JLR machine "&amp;$O179&amp;" at "&amp;TEXT($X179,"0.00")&amp;" per hr — build-up as supplied","JLR machine "&amp;$O179&amp;" at "&amp;TEXT($X179,"0.00")&amp;" per hr — build-up not supplied"),$AA179)</f>
        <v>Poland assembly benchmark. Łódź/Wrocław. Harness, electronics. Jun 2026</v>
      </c>
      <c r="N179" s="33" t="s">
        <v>1380</v>
      </c>
      <c r="O179" s="37" t="str">
        <f>IFERROR(INDEX(Mapping!$C$2:$C$549,MATCH($A179,Mapping!$A$2:$A$549,0)),"")</f>
        <v/>
      </c>
      <c r="P179" s="37">
        <f>IF($O179="",0,COUNTIFS('JLR Machines'!$A$2:$A$20001,$O179,'JLR Machines'!$C$2:$C$20001,IF(Settings!$B$2="","&lt;&gt;",Settings!$B$2),'JLR Machines'!$D$2:$D$20001,IF(Settings!$B$3="","&lt;&gt;",Settings!$B$3)))</f>
        <v>0</v>
      </c>
      <c r="Q179" s="39">
        <f>IF($P179&lt;&gt;1,0,SUMIFS('JLR Machines'!$G$2:$G$20001,'JLR Machines'!$A$2:$A$20001,$O179,'JLR Machines'!$C$2:$C$20001,IF(Settings!$B$2="","&lt;&gt;",Settings!$B$2),'JLR Machines'!$D$2:$D$20001,IF(Settings!$B$3="","&lt;&gt;",Settings!$B$3)))</f>
        <v>0</v>
      </c>
      <c r="R179" s="39">
        <f>IF($P179&lt;&gt;1,0,SUMIFS('JLR Machines'!$H$2:$H$20001,'JLR Machines'!$A$2:$A$20001,$O179,'JLR Machines'!$C$2:$C$20001,IF(Settings!$B$2="","&lt;&gt;",Settings!$B$2),'JLR Machines'!$D$2:$D$20001,IF(Settings!$B$3="","&lt;&gt;",Settings!$B$3)))</f>
        <v>0</v>
      </c>
      <c r="S179" s="39">
        <f>IF($P179&lt;&gt;1,0,SUMIFS('JLR Machines'!$I$2:$I$20001,'JLR Machines'!$A$2:$A$20001,$O179,'JLR Machines'!$C$2:$C$20001,IF(Settings!$B$2="","&lt;&gt;",Settings!$B$2),'JLR Machines'!$D$2:$D$20001,IF(Settings!$B$3="","&lt;&gt;",Settings!$B$3)))</f>
        <v>0</v>
      </c>
      <c r="T179" s="39">
        <f>IF($P179&lt;&gt;1,0,SUMIFS('JLR Machines'!$J$2:$J$20001,'JLR Machines'!$A$2:$A$20001,$O179,'JLR Machines'!$C$2:$C$20001,IF(Settings!$B$2="","&lt;&gt;",Settings!$B$2),'JLR Machines'!$D$2:$D$20001,IF(Settings!$B$3="","&lt;&gt;",Settings!$B$3)))</f>
        <v>0</v>
      </c>
      <c r="U179" s="39">
        <f>IF($P179&lt;&gt;1,0,SUMIFS('JLR Machines'!$K$2:$K$20001,'JLR Machines'!$A$2:$A$20001,$O179,'JLR Machines'!$C$2:$C$20001,IF(Settings!$B$2="","&lt;&gt;",Settings!$B$2),'JLR Machines'!$D$2:$D$20001,IF(Settings!$B$3="","&lt;&gt;",Settings!$B$3)))</f>
        <v>0</v>
      </c>
      <c r="V179" s="39">
        <f>IF($P179&lt;&gt;1,0,SUMIFS('JLR Machines'!$L$2:$L$20001,'JLR Machines'!$A$2:$A$20001,$O179,'JLR Machines'!$C$2:$C$20001,IF(Settings!$B$2="","&lt;&gt;",Settings!$B$2),'JLR Machines'!$D$2:$D$20001,IF(Settings!$B$3="","&lt;&gt;",Settings!$B$3)))</f>
        <v>0</v>
      </c>
      <c r="W179" s="39">
        <f>IF($P179&lt;&gt;1,0,SUMIFS('JLR Machines'!$M$2:$M$20001,'JLR Machines'!$A$2:$A$20001,$O179,'JLR Machines'!$C$2:$C$20001,IF(Settings!$B$2="","&lt;&gt;",Settings!$B$2),'JLR Machines'!$D$2:$D$20001,IF(Settings!$B$3="","&lt;&gt;",Settings!$B$3)))</f>
        <v>0</v>
      </c>
      <c r="X179" s="39">
        <f>IF($P179&lt;&gt;1,0,SUMIFS('JLR Machines'!$N$2:$N$20001,'JLR Machines'!$A$2:$A$20001,$O179,'JLR Machines'!$C$2:$C$20001,IF(Settings!$B$2="","&lt;&gt;",Settings!$B$2),'JLR Machines'!$D$2:$D$20001,IF(Settings!$B$3="","&lt;&gt;",Settings!$B$3)))</f>
        <v>0</v>
      </c>
      <c r="Y179" s="39">
        <f>$Q179+$R179+$S179+$T179+$U179+$V179+$W179</f>
        <v>0</v>
      </c>
      <c r="Z179" s="38">
        <f>IF($X179&lt;=0,0,ROUND((D179+E179+F179+G179+H179+I179)/4050-$X179,4))</f>
        <v>0</v>
      </c>
      <c r="AA179" s="40" t="s">
        <v>2447</v>
      </c>
      <c r="AB179" s="40" t="s">
        <v>2099</v>
      </c>
    </row>
  </sheetData>
  <autoFilter ref="A1:AB1"/>
  <pageMargins left="0.4" right="0.4" top="0.5" bottom="0.5" header="0.3" footer="0.3"/>
  <pageSetup orientation="portrait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94A6"/>
    <pageSetUpPr fitToPage="1"/>
  </sheetPr>
  <dimension ref="A1:M4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 defaultColWidth="12"/>
  <cols>
    <col min="1" max="1" width="24" customWidth="1"/>
    <col min="2" max="2" width="12" customWidth="1"/>
    <col min="3" max="3" width="28" customWidth="1"/>
    <col min="4" max="4" width="21" customWidth="1"/>
    <col min="5" max="5" width="14" customWidth="1"/>
    <col min="6" max="6" width="46" customWidth="1"/>
    <col min="7" max="7" width="12" customWidth="1"/>
    <col min="8" max="9" width="13" customWidth="1"/>
    <col min="10" max="10" width="17" customWidth="1"/>
    <col min="11" max="11" width="19" customWidth="1"/>
    <col min="12" max="12" width="13" customWidth="1"/>
    <col min="13" max="13" width="44" customWidth="1"/>
  </cols>
  <sheetData>
    <row r="1" ht="30" customHeight="1" spans="1:13" x14ac:dyDescent="0.25">
      <c r="A1" s="20" t="s">
        <v>1365</v>
      </c>
      <c r="B1" s="20" t="s">
        <v>1368</v>
      </c>
      <c r="C1" s="20" t="s">
        <v>2448</v>
      </c>
      <c r="D1" s="20" t="s">
        <v>198</v>
      </c>
      <c r="E1" s="20" t="s">
        <v>1369</v>
      </c>
      <c r="F1" s="20" t="s">
        <v>1370</v>
      </c>
      <c r="G1" s="20" t="s">
        <v>1371</v>
      </c>
      <c r="H1" s="31" t="s">
        <v>263</v>
      </c>
      <c r="I1" s="31" t="s">
        <v>1372</v>
      </c>
      <c r="J1" s="31" t="s">
        <v>2449</v>
      </c>
      <c r="K1" s="31" t="s">
        <v>2450</v>
      </c>
      <c r="L1" s="31" t="s">
        <v>2451</v>
      </c>
      <c r="M1" s="31" t="s">
        <v>1375</v>
      </c>
    </row>
    <row r="2" spans="1:13" x14ac:dyDescent="0.25">
      <c r="A2" s="32" t="s">
        <v>1280</v>
      </c>
      <c r="B2" s="33" t="s">
        <v>1379</v>
      </c>
      <c r="C2" s="33" t="s">
        <v>2452</v>
      </c>
      <c r="D2" s="43">
        <f>IF($L2&gt;0,$L2,26.19)</f>
        <v>26.19</v>
      </c>
      <c r="E2" s="33" t="s">
        <v>2099</v>
      </c>
      <c r="F2" s="36" t="str">
        <f>IF($L2&gt;0,"JLR rate card — labour category "&amp;$H2,$M2)</f>
        <v>UK AMT wage survey Jun 2026, incl. NI + benefits | Refresh 2026-09: local wages +0.72% (ONS AWE manufacturing regular pay May–Jul 2026 +2.9% y/y, one quarter)</v>
      </c>
      <c r="G2" s="33" t="s">
        <v>2453</v>
      </c>
      <c r="H2" s="37" t="str">
        <f>IFERROR(INDEX(Mapping!$C$2:$C$549,MATCH($A2,Mapping!$A$2:$A$549,0)),"")</f>
        <v/>
      </c>
      <c r="I2" s="37">
        <f>IF($H2="",0,COUNTIFS('JLR Labour'!$A$2:$A$20001,$H2,'JLR Labour'!$C$2:$C$20001,IF(Settings!$B$2="","&lt;&gt;",Settings!$B$2),'JLR Labour'!$D$2:$D$20001,IF(Settings!$B$3="","&lt;&gt;",Settings!$B$3)))</f>
        <v>0</v>
      </c>
      <c r="J2" s="39">
        <f>IF($I2&lt;&gt;1,0,SUMIFS('JLR Labour'!$E$2:$E$20001,'JLR Labour'!$A$2:$A$20001,$H2,'JLR Labour'!$C$2:$C$20001,IF(Settings!$B$2="","&lt;&gt;",Settings!$B$2),'JLR Labour'!$D$2:$D$20001,IF(Settings!$B$3="","&lt;&gt;",Settings!$B$3)))</f>
        <v>0</v>
      </c>
      <c r="K2" s="39">
        <f>IF($H2="",0,IFERROR(AVERAGEIFS('JLR Machines'!$F$2:$F$20001,'JLR Machines'!$E$2:$E$20001,$H2,'JLR Machines'!$C$2:$C$20001,IF(Settings!$B$2="","&lt;&gt;",Settings!$B$2),'JLR Machines'!$D$2:$D$20001,IF(Settings!$B$3="","&lt;&gt;",Settings!$B$3)),0))</f>
        <v>0</v>
      </c>
      <c r="L2" s="39">
        <f>IF($J2&gt;0,$J2,$K2)</f>
        <v>0</v>
      </c>
      <c r="M2" s="40" t="s">
        <v>2454</v>
      </c>
    </row>
    <row r="3" spans="1:13" x14ac:dyDescent="0.25">
      <c r="A3" s="32" t="s">
        <v>1283</v>
      </c>
      <c r="B3" s="33" t="s">
        <v>1379</v>
      </c>
      <c r="C3" s="33" t="s">
        <v>2455</v>
      </c>
      <c r="D3" s="43">
        <f>IF($L3&gt;0,$L3,19.94)</f>
        <v>19.94</v>
      </c>
      <c r="E3" s="33" t="s">
        <v>2099</v>
      </c>
      <c r="F3" s="36" t="str">
        <f>IF($L3&gt;0,"JLR rate card — labour category "&amp;$H3,$M3)</f>
        <v>UK AMT wage survey Jun 2026, incl. NI + benefits | Refresh 2026-09: local wages +0.72% (ONS AWE manufacturing regular pay May–Jul 2026 +2.9% y/y, one quarter)</v>
      </c>
      <c r="G3" s="33" t="s">
        <v>2453</v>
      </c>
      <c r="H3" s="37" t="str">
        <f>IFERROR(INDEX(Mapping!$C$2:$C$549,MATCH($A3,Mapping!$A$2:$A$549,0)),"")</f>
        <v/>
      </c>
      <c r="I3" s="37">
        <f>IF($H3="",0,COUNTIFS('JLR Labour'!$A$2:$A$20001,$H3,'JLR Labour'!$C$2:$C$20001,IF(Settings!$B$2="","&lt;&gt;",Settings!$B$2),'JLR Labour'!$D$2:$D$20001,IF(Settings!$B$3="","&lt;&gt;",Settings!$B$3)))</f>
        <v>0</v>
      </c>
      <c r="J3" s="39">
        <f>IF($I3&lt;&gt;1,0,SUMIFS('JLR Labour'!$E$2:$E$20001,'JLR Labour'!$A$2:$A$20001,$H3,'JLR Labour'!$C$2:$C$20001,IF(Settings!$B$2="","&lt;&gt;",Settings!$B$2),'JLR Labour'!$D$2:$D$20001,IF(Settings!$B$3="","&lt;&gt;",Settings!$B$3)))</f>
        <v>0</v>
      </c>
      <c r="K3" s="39">
        <f>IF($H3="",0,IFERROR(AVERAGEIFS('JLR Machines'!$F$2:$F$20001,'JLR Machines'!$E$2:$E$20001,$H3,'JLR Machines'!$C$2:$C$20001,IF(Settings!$B$2="","&lt;&gt;",Settings!$B$2),'JLR Machines'!$D$2:$D$20001,IF(Settings!$B$3="","&lt;&gt;",Settings!$B$3)),0))</f>
        <v>0</v>
      </c>
      <c r="L3" s="39">
        <f>IF($J3&gt;0,$J3,$K3)</f>
        <v>0</v>
      </c>
      <c r="M3" s="40" t="s">
        <v>2454</v>
      </c>
    </row>
    <row r="4" spans="1:13" x14ac:dyDescent="0.25">
      <c r="A4" s="32" t="s">
        <v>1285</v>
      </c>
      <c r="B4" s="33" t="s">
        <v>1379</v>
      </c>
      <c r="C4" s="33" t="s">
        <v>2456</v>
      </c>
      <c r="D4" s="43">
        <f>IF($L4&gt;0,$L4,42.8)</f>
        <v>42.8</v>
      </c>
      <c r="E4" s="33" t="s">
        <v>2099</v>
      </c>
      <c r="F4" s="36" t="str">
        <f>IF($L4&gt;0,"JLR rate card — labour category "&amp;$H4,$M4)</f>
        <v>UK engineering salary benchmark Jun 2026 | Refresh 2026-09: local wages +0.72% (ONS AWE manufacturing regular pay May–Jul 2026 +2.9% y/y, one quarter)</v>
      </c>
      <c r="G4" s="33" t="s">
        <v>1380</v>
      </c>
      <c r="H4" s="37" t="str">
        <f>IFERROR(INDEX(Mapping!$C$2:$C$549,MATCH($A4,Mapping!$A$2:$A$549,0)),"")</f>
        <v/>
      </c>
      <c r="I4" s="37">
        <f>IF($H4="",0,COUNTIFS('JLR Labour'!$A$2:$A$20001,$H4,'JLR Labour'!$C$2:$C$20001,IF(Settings!$B$2="","&lt;&gt;",Settings!$B$2),'JLR Labour'!$D$2:$D$20001,IF(Settings!$B$3="","&lt;&gt;",Settings!$B$3)))</f>
        <v>0</v>
      </c>
      <c r="J4" s="39">
        <f>IF($I4&lt;&gt;1,0,SUMIFS('JLR Labour'!$E$2:$E$20001,'JLR Labour'!$A$2:$A$20001,$H4,'JLR Labour'!$C$2:$C$20001,IF(Settings!$B$2="","&lt;&gt;",Settings!$B$2),'JLR Labour'!$D$2:$D$20001,IF(Settings!$B$3="","&lt;&gt;",Settings!$B$3)))</f>
        <v>0</v>
      </c>
      <c r="K4" s="39">
        <f>IF($H4="",0,IFERROR(AVERAGEIFS('JLR Machines'!$F$2:$F$20001,'JLR Machines'!$E$2:$E$20001,$H4,'JLR Machines'!$C$2:$C$20001,IF(Settings!$B$2="","&lt;&gt;",Settings!$B$2),'JLR Machines'!$D$2:$D$20001,IF(Settings!$B$3="","&lt;&gt;",Settings!$B$3)),0))</f>
        <v>0</v>
      </c>
      <c r="L4" s="39">
        <f>IF($J4&gt;0,$J4,$K4)</f>
        <v>0</v>
      </c>
      <c r="M4" s="40" t="s">
        <v>2457</v>
      </c>
    </row>
    <row r="5" spans="1:13" x14ac:dyDescent="0.25">
      <c r="A5" s="32" t="s">
        <v>1287</v>
      </c>
      <c r="B5" s="33" t="s">
        <v>2458</v>
      </c>
      <c r="C5" s="33" t="s">
        <v>2452</v>
      </c>
      <c r="D5" s="43">
        <f>IF($L5&gt;0,$L5,5.14)</f>
        <v>5.14</v>
      </c>
      <c r="E5" s="33" t="s">
        <v>2099</v>
      </c>
      <c r="F5" s="36" t="str">
        <f>IF($L5&gt;0,"JLR rate card — labour category "&amp;$H5,$M5)</f>
        <v>India manufacturing wage benchmark Jun 2026 | Refresh 2026-09: local wages +2.30% (EY Future of Pay 2026: manufacturing/automotive increments 9.5%, one quarter); INR 125.2→127.2 per £</v>
      </c>
      <c r="G5" s="33" t="s">
        <v>1393</v>
      </c>
      <c r="H5" s="37" t="str">
        <f>IFERROR(INDEX(Mapping!$C$2:$C$549,MATCH($A5,Mapping!$A$2:$A$549,0)),"")</f>
        <v/>
      </c>
      <c r="I5" s="37">
        <f>IF($H5="",0,COUNTIFS('JLR Labour'!$A$2:$A$20001,$H5,'JLR Labour'!$C$2:$C$20001,IF(Settings!$B$2="","&lt;&gt;",Settings!$B$2),'JLR Labour'!$D$2:$D$20001,IF(Settings!$B$3="","&lt;&gt;",Settings!$B$3)))</f>
        <v>0</v>
      </c>
      <c r="J5" s="39">
        <f>IF($I5&lt;&gt;1,0,SUMIFS('JLR Labour'!$E$2:$E$20001,'JLR Labour'!$A$2:$A$20001,$H5,'JLR Labour'!$C$2:$C$20001,IF(Settings!$B$2="","&lt;&gt;",Settings!$B$2),'JLR Labour'!$D$2:$D$20001,IF(Settings!$B$3="","&lt;&gt;",Settings!$B$3)))</f>
        <v>0</v>
      </c>
      <c r="K5" s="39">
        <f>IF($H5="",0,IFERROR(AVERAGEIFS('JLR Machines'!$F$2:$F$20001,'JLR Machines'!$E$2:$E$20001,$H5,'JLR Machines'!$C$2:$C$20001,IF(Settings!$B$2="","&lt;&gt;",Settings!$B$2),'JLR Machines'!$D$2:$D$20001,IF(Settings!$B$3="","&lt;&gt;",Settings!$B$3)),0))</f>
        <v>0</v>
      </c>
      <c r="L5" s="39">
        <f>IF($J5&gt;0,$J5,$K5)</f>
        <v>0</v>
      </c>
      <c r="M5" s="40" t="s">
        <v>2459</v>
      </c>
    </row>
    <row r="6" spans="1:13" x14ac:dyDescent="0.25">
      <c r="A6" s="32" t="s">
        <v>1289</v>
      </c>
      <c r="B6" s="33" t="s">
        <v>2460</v>
      </c>
      <c r="C6" s="33" t="s">
        <v>2452</v>
      </c>
      <c r="D6" s="43">
        <f>IF($L6&gt;0,$L6,8.08)</f>
        <v>8.08</v>
      </c>
      <c r="E6" s="33" t="s">
        <v>2099</v>
      </c>
      <c r="F6" s="36" t="str">
        <f>IF($L6&gt;0,"JLR rate card — labour category "&amp;$H6,$M6)</f>
        <v>China manufacturing wage benchmark Jun 2026 | Refresh 2026-09: local wages +0.98% (2026 salary budget ~4.0% (china-briefing survey), one quarter); CNY 8.989→8.88 per £</v>
      </c>
      <c r="G6" s="33" t="s">
        <v>1393</v>
      </c>
      <c r="H6" s="37" t="str">
        <f>IFERROR(INDEX(Mapping!$C$2:$C$549,MATCH($A6,Mapping!$A$2:$A$549,0)),"")</f>
        <v/>
      </c>
      <c r="I6" s="37">
        <f>IF($H6="",0,COUNTIFS('JLR Labour'!$A$2:$A$20001,$H6,'JLR Labour'!$C$2:$C$20001,IF(Settings!$B$2="","&lt;&gt;",Settings!$B$2),'JLR Labour'!$D$2:$D$20001,IF(Settings!$B$3="","&lt;&gt;",Settings!$B$3)))</f>
        <v>0</v>
      </c>
      <c r="J6" s="39">
        <f>IF($I6&lt;&gt;1,0,SUMIFS('JLR Labour'!$E$2:$E$20001,'JLR Labour'!$A$2:$A$20001,$H6,'JLR Labour'!$C$2:$C$20001,IF(Settings!$B$2="","&lt;&gt;",Settings!$B$2),'JLR Labour'!$D$2:$D$20001,IF(Settings!$B$3="","&lt;&gt;",Settings!$B$3)))</f>
        <v>0</v>
      </c>
      <c r="K6" s="39">
        <f>IF($H6="",0,IFERROR(AVERAGEIFS('JLR Machines'!$F$2:$F$20001,'JLR Machines'!$E$2:$E$20001,$H6,'JLR Machines'!$C$2:$C$20001,IF(Settings!$B$2="","&lt;&gt;",Settings!$B$2),'JLR Machines'!$D$2:$D$20001,IF(Settings!$B$3="","&lt;&gt;",Settings!$B$3)),0))</f>
        <v>0</v>
      </c>
      <c r="L6" s="39">
        <f>IF($J6&gt;0,$J6,$K6)</f>
        <v>0</v>
      </c>
      <c r="M6" s="40" t="s">
        <v>2461</v>
      </c>
    </row>
    <row r="7" spans="1:13" x14ac:dyDescent="0.25">
      <c r="A7" s="32" t="s">
        <v>1291</v>
      </c>
      <c r="B7" s="33" t="s">
        <v>1379</v>
      </c>
      <c r="C7" s="33" t="s">
        <v>2462</v>
      </c>
      <c r="D7" s="43">
        <f>IF($L7&gt;0,$L7,18.63)</f>
        <v>18.63</v>
      </c>
      <c r="E7" s="33" t="s">
        <v>2099</v>
      </c>
      <c r="F7" s="36" t="str">
        <f>IF($L7&gt;0,"JLR rate card — labour category "&amp;$H7,$M7)</f>
        <v>UK foundry/casting operator wage survey Jun 2026, incl. NI + benefits | Refresh 2026-09: local wages +0.72% (ONS AWE manufacturing regular pay May–Jul 2026 +2.9% y/y, one quarter)</v>
      </c>
      <c r="G7" s="33" t="s">
        <v>1380</v>
      </c>
      <c r="H7" s="37" t="str">
        <f>IFERROR(INDEX(Mapping!$C$2:$C$549,MATCH($A7,Mapping!$A$2:$A$549,0)),"")</f>
        <v/>
      </c>
      <c r="I7" s="37">
        <f>IF($H7="",0,COUNTIFS('JLR Labour'!$A$2:$A$20001,$H7,'JLR Labour'!$C$2:$C$20001,IF(Settings!$B$2="","&lt;&gt;",Settings!$B$2),'JLR Labour'!$D$2:$D$20001,IF(Settings!$B$3="","&lt;&gt;",Settings!$B$3)))</f>
        <v>0</v>
      </c>
      <c r="J7" s="39">
        <f>IF($I7&lt;&gt;1,0,SUMIFS('JLR Labour'!$E$2:$E$20001,'JLR Labour'!$A$2:$A$20001,$H7,'JLR Labour'!$C$2:$C$20001,IF(Settings!$B$2="","&lt;&gt;",Settings!$B$2),'JLR Labour'!$D$2:$D$20001,IF(Settings!$B$3="","&lt;&gt;",Settings!$B$3)))</f>
        <v>0</v>
      </c>
      <c r="K7" s="39">
        <f>IF($H7="",0,IFERROR(AVERAGEIFS('JLR Machines'!$F$2:$F$20001,'JLR Machines'!$E$2:$E$20001,$H7,'JLR Machines'!$C$2:$C$20001,IF(Settings!$B$2="","&lt;&gt;",Settings!$B$2),'JLR Machines'!$D$2:$D$20001,IF(Settings!$B$3="","&lt;&gt;",Settings!$B$3)),0))</f>
        <v>0</v>
      </c>
      <c r="L7" s="39">
        <f>IF($J7&gt;0,$J7,$K7)</f>
        <v>0</v>
      </c>
      <c r="M7" s="40" t="s">
        <v>2463</v>
      </c>
    </row>
    <row r="8" spans="1:13" x14ac:dyDescent="0.25">
      <c r="A8" s="32" t="s">
        <v>1293</v>
      </c>
      <c r="B8" s="33" t="s">
        <v>1379</v>
      </c>
      <c r="C8" s="33" t="s">
        <v>2464</v>
      </c>
      <c r="D8" s="43">
        <f>IF($L8&gt;0,$L8,27.7)</f>
        <v>27.7</v>
      </c>
      <c r="E8" s="33" t="s">
        <v>2099</v>
      </c>
      <c r="F8" s="36" t="str">
        <f>IF($L8&gt;0,"JLR rate card — labour category "&amp;$H8,$M8)</f>
        <v>UK quality/inspection wage benchmark Jun 2026, incl. NI + benefits | Refresh 2026-09: local wages +0.72% (ONS AWE manufacturing regular pay May–Jul 2026 +2.9% y/y, one quarter)</v>
      </c>
      <c r="G8" s="33" t="s">
        <v>1380</v>
      </c>
      <c r="H8" s="37" t="str">
        <f>IFERROR(INDEX(Mapping!$C$2:$C$549,MATCH($A8,Mapping!$A$2:$A$549,0)),"")</f>
        <v/>
      </c>
      <c r="I8" s="37">
        <f>IF($H8="",0,COUNTIFS('JLR Labour'!$A$2:$A$20001,$H8,'JLR Labour'!$C$2:$C$20001,IF(Settings!$B$2="","&lt;&gt;",Settings!$B$2),'JLR Labour'!$D$2:$D$20001,IF(Settings!$B$3="","&lt;&gt;",Settings!$B$3)))</f>
        <v>0</v>
      </c>
      <c r="J8" s="39">
        <f>IF($I8&lt;&gt;1,0,SUMIFS('JLR Labour'!$E$2:$E$20001,'JLR Labour'!$A$2:$A$20001,$H8,'JLR Labour'!$C$2:$C$20001,IF(Settings!$B$2="","&lt;&gt;",Settings!$B$2),'JLR Labour'!$D$2:$D$20001,IF(Settings!$B$3="","&lt;&gt;",Settings!$B$3)))</f>
        <v>0</v>
      </c>
      <c r="K8" s="39">
        <f>IF($H8="",0,IFERROR(AVERAGEIFS('JLR Machines'!$F$2:$F$20001,'JLR Machines'!$E$2:$E$20001,$H8,'JLR Machines'!$C$2:$C$20001,IF(Settings!$B$2="","&lt;&gt;",Settings!$B$2),'JLR Machines'!$D$2:$D$20001,IF(Settings!$B$3="","&lt;&gt;",Settings!$B$3)),0))</f>
        <v>0</v>
      </c>
      <c r="L8" s="39">
        <f>IF($J8&gt;0,$J8,$K8)</f>
        <v>0</v>
      </c>
      <c r="M8" s="40" t="s">
        <v>2465</v>
      </c>
    </row>
    <row r="9" spans="1:13" x14ac:dyDescent="0.25">
      <c r="A9" s="32" t="s">
        <v>1295</v>
      </c>
      <c r="B9" s="33" t="s">
        <v>1379</v>
      </c>
      <c r="C9" s="33" t="s">
        <v>2466</v>
      </c>
      <c r="D9" s="43">
        <f>IF($L9&gt;0,$L9,28.81)</f>
        <v>28.81</v>
      </c>
      <c r="E9" s="33" t="s">
        <v>2099</v>
      </c>
      <c r="F9" s="36" t="str">
        <f>IF($L9&gt;0,"JLR rate card — labour category "&amp;$H9,$M9)</f>
        <v>UK process/maintenance technician benchmark Jun 2026, incl. NI + benefits | Refresh 2026-09: local wages +0.72% (ONS AWE manufacturing regular pay May–Jul 2026 +2.9% y/y, one quarter)</v>
      </c>
      <c r="G9" s="33" t="s">
        <v>1380</v>
      </c>
      <c r="H9" s="37" t="str">
        <f>IFERROR(INDEX(Mapping!$C$2:$C$549,MATCH($A9,Mapping!$A$2:$A$549,0)),"")</f>
        <v/>
      </c>
      <c r="I9" s="37">
        <f>IF($H9="",0,COUNTIFS('JLR Labour'!$A$2:$A$20001,$H9,'JLR Labour'!$C$2:$C$20001,IF(Settings!$B$2="","&lt;&gt;",Settings!$B$2),'JLR Labour'!$D$2:$D$20001,IF(Settings!$B$3="","&lt;&gt;",Settings!$B$3)))</f>
        <v>0</v>
      </c>
      <c r="J9" s="39">
        <f>IF($I9&lt;&gt;1,0,SUMIFS('JLR Labour'!$E$2:$E$20001,'JLR Labour'!$A$2:$A$20001,$H9,'JLR Labour'!$C$2:$C$20001,IF(Settings!$B$2="","&lt;&gt;",Settings!$B$2),'JLR Labour'!$D$2:$D$20001,IF(Settings!$B$3="","&lt;&gt;",Settings!$B$3)))</f>
        <v>0</v>
      </c>
      <c r="K9" s="39">
        <f>IF($H9="",0,IFERROR(AVERAGEIFS('JLR Machines'!$F$2:$F$20001,'JLR Machines'!$E$2:$E$20001,$H9,'JLR Machines'!$C$2:$C$20001,IF(Settings!$B$2="","&lt;&gt;",Settings!$B$2),'JLR Machines'!$D$2:$D$20001,IF(Settings!$B$3="","&lt;&gt;",Settings!$B$3)),0))</f>
        <v>0</v>
      </c>
      <c r="L9" s="39">
        <f>IF($J9&gt;0,$J9,$K9)</f>
        <v>0</v>
      </c>
      <c r="M9" s="40" t="s">
        <v>2467</v>
      </c>
    </row>
    <row r="10" spans="1:13" x14ac:dyDescent="0.25">
      <c r="A10" s="32" t="s">
        <v>1297</v>
      </c>
      <c r="B10" s="33" t="s">
        <v>1379</v>
      </c>
      <c r="C10" s="33" t="s">
        <v>2468</v>
      </c>
      <c r="D10" s="43">
        <f>IF($L10&gt;0,$L10,35.35)</f>
        <v>35.35</v>
      </c>
      <c r="E10" s="33" t="s">
        <v>2099</v>
      </c>
      <c r="F10" s="36" t="str">
        <f>IF($L10&gt;0,"JLR rate card — labour category "&amp;$H10,$M10)</f>
        <v>UK production supervisor benchmark Jun 2026, incl. NI + benefits | Refresh 2026-09: local wages +0.72% (ONS AWE manufacturing regular pay May–Jul 2026 +2.9% y/y, one quarter)</v>
      </c>
      <c r="G10" s="33" t="s">
        <v>1380</v>
      </c>
      <c r="H10" s="37" t="str">
        <f>IFERROR(INDEX(Mapping!$C$2:$C$549,MATCH($A10,Mapping!$A$2:$A$549,0)),"")</f>
        <v/>
      </c>
      <c r="I10" s="37">
        <f>IF($H10="",0,COUNTIFS('JLR Labour'!$A$2:$A$20001,$H10,'JLR Labour'!$C$2:$C$20001,IF(Settings!$B$2="","&lt;&gt;",Settings!$B$2),'JLR Labour'!$D$2:$D$20001,IF(Settings!$B$3="","&lt;&gt;",Settings!$B$3)))</f>
        <v>0</v>
      </c>
      <c r="J10" s="39">
        <f>IF($I10&lt;&gt;1,0,SUMIFS('JLR Labour'!$E$2:$E$20001,'JLR Labour'!$A$2:$A$20001,$H10,'JLR Labour'!$C$2:$C$20001,IF(Settings!$B$2="","&lt;&gt;",Settings!$B$2),'JLR Labour'!$D$2:$D$20001,IF(Settings!$B$3="","&lt;&gt;",Settings!$B$3)))</f>
        <v>0</v>
      </c>
      <c r="K10" s="39">
        <f>IF($H10="",0,IFERROR(AVERAGEIFS('JLR Machines'!$F$2:$F$20001,'JLR Machines'!$E$2:$E$20001,$H10,'JLR Machines'!$C$2:$C$20001,IF(Settings!$B$2="","&lt;&gt;",Settings!$B$2),'JLR Machines'!$D$2:$D$20001,IF(Settings!$B$3="","&lt;&gt;",Settings!$B$3)),0))</f>
        <v>0</v>
      </c>
      <c r="L10" s="39">
        <f>IF($J10&gt;0,$J10,$K10)</f>
        <v>0</v>
      </c>
      <c r="M10" s="40" t="s">
        <v>2469</v>
      </c>
    </row>
    <row r="11" spans="1:13" x14ac:dyDescent="0.25">
      <c r="A11" s="32" t="s">
        <v>1299</v>
      </c>
      <c r="B11" s="33" t="s">
        <v>1379</v>
      </c>
      <c r="C11" s="33" t="s">
        <v>2470</v>
      </c>
      <c r="D11" s="43">
        <f>IF($L11&gt;0,$L11,24.17)</f>
        <v>24.17</v>
      </c>
      <c r="E11" s="33" t="s">
        <v>2099</v>
      </c>
      <c r="F11" s="36" t="str">
        <f>IF($L11&gt;0,"JLR rate card — labour category "&amp;$H11,$M11)</f>
        <v>UK drop-forge operator wage benchmark Jun 2026, incl. NI + benefits + hot-work allowance | Refresh 2026-09: local wages +0.72% (ONS AWE manufacturing regular pay May–Jul 2026 +2.9% y/y, one quarter)</v>
      </c>
      <c r="G11" s="33" t="s">
        <v>1380</v>
      </c>
      <c r="H11" s="37" t="str">
        <f>IFERROR(INDEX(Mapping!$C$2:$C$549,MATCH($A11,Mapping!$A$2:$A$549,0)),"")</f>
        <v/>
      </c>
      <c r="I11" s="37">
        <f>IF($H11="",0,COUNTIFS('JLR Labour'!$A$2:$A$20001,$H11,'JLR Labour'!$C$2:$C$20001,IF(Settings!$B$2="","&lt;&gt;",Settings!$B$2),'JLR Labour'!$D$2:$D$20001,IF(Settings!$B$3="","&lt;&gt;",Settings!$B$3)))</f>
        <v>0</v>
      </c>
      <c r="J11" s="39">
        <f>IF($I11&lt;&gt;1,0,SUMIFS('JLR Labour'!$E$2:$E$20001,'JLR Labour'!$A$2:$A$20001,$H11,'JLR Labour'!$C$2:$C$20001,IF(Settings!$B$2="","&lt;&gt;",Settings!$B$2),'JLR Labour'!$D$2:$D$20001,IF(Settings!$B$3="","&lt;&gt;",Settings!$B$3)))</f>
        <v>0</v>
      </c>
      <c r="K11" s="39">
        <f>IF($H11="",0,IFERROR(AVERAGEIFS('JLR Machines'!$F$2:$F$20001,'JLR Machines'!$E$2:$E$20001,$H11,'JLR Machines'!$C$2:$C$20001,IF(Settings!$B$2="","&lt;&gt;",Settings!$B$2),'JLR Machines'!$D$2:$D$20001,IF(Settings!$B$3="","&lt;&gt;",Settings!$B$3)),0))</f>
        <v>0</v>
      </c>
      <c r="L11" s="39">
        <f>IF($J11&gt;0,$J11,$K11)</f>
        <v>0</v>
      </c>
      <c r="M11" s="40" t="s">
        <v>2471</v>
      </c>
    </row>
    <row r="12" spans="1:13" x14ac:dyDescent="0.25">
      <c r="A12" s="32" t="s">
        <v>1301</v>
      </c>
      <c r="B12" s="33" t="s">
        <v>1379</v>
      </c>
      <c r="C12" s="33" t="s">
        <v>2472</v>
      </c>
      <c r="D12" s="43">
        <f>IF($L12&gt;0,$L12,22.16)</f>
        <v>22.16</v>
      </c>
      <c r="E12" s="33" t="s">
        <v>2099</v>
      </c>
      <c r="F12" s="36" t="str">
        <f>IF($L12&gt;0,"JLR rate card — labour category "&amp;$H12,$M12)</f>
        <v>UK furnace/induction heat operator wage benchmark Jun 2026, incl. NI + benefits | Refresh 2026-09: local wages +0.72% (ONS AWE manufacturing regular pay May–Jul 2026 +2.9% y/y, one quarter)</v>
      </c>
      <c r="G12" s="33" t="s">
        <v>1380</v>
      </c>
      <c r="H12" s="37" t="str">
        <f>IFERROR(INDEX(Mapping!$C$2:$C$549,MATCH($A12,Mapping!$A$2:$A$549,0)),"")</f>
        <v/>
      </c>
      <c r="I12" s="37">
        <f>IF($H12="",0,COUNTIFS('JLR Labour'!$A$2:$A$20001,$H12,'JLR Labour'!$C$2:$C$20001,IF(Settings!$B$2="","&lt;&gt;",Settings!$B$2),'JLR Labour'!$D$2:$D$20001,IF(Settings!$B$3="","&lt;&gt;",Settings!$B$3)))</f>
        <v>0</v>
      </c>
      <c r="J12" s="39">
        <f>IF($I12&lt;&gt;1,0,SUMIFS('JLR Labour'!$E$2:$E$20001,'JLR Labour'!$A$2:$A$20001,$H12,'JLR Labour'!$C$2:$C$20001,IF(Settings!$B$2="","&lt;&gt;",Settings!$B$2),'JLR Labour'!$D$2:$D$20001,IF(Settings!$B$3="","&lt;&gt;",Settings!$B$3)))</f>
        <v>0</v>
      </c>
      <c r="K12" s="39">
        <f>IF($H12="",0,IFERROR(AVERAGEIFS('JLR Machines'!$F$2:$F$20001,'JLR Machines'!$E$2:$E$20001,$H12,'JLR Machines'!$C$2:$C$20001,IF(Settings!$B$2="","&lt;&gt;",Settings!$B$2),'JLR Machines'!$D$2:$D$20001,IF(Settings!$B$3="","&lt;&gt;",Settings!$B$3)),0))</f>
        <v>0</v>
      </c>
      <c r="L12" s="39">
        <f>IF($J12&gt;0,$J12,$K12)</f>
        <v>0</v>
      </c>
      <c r="M12" s="40" t="s">
        <v>2473</v>
      </c>
    </row>
    <row r="13" spans="1:13" x14ac:dyDescent="0.25">
      <c r="A13" s="32" t="s">
        <v>1303</v>
      </c>
      <c r="B13" s="33" t="s">
        <v>1379</v>
      </c>
      <c r="C13" s="33" t="s">
        <v>2474</v>
      </c>
      <c r="D13" s="43">
        <f>IF($L13&gt;0,$L13,20.65)</f>
        <v>20.65</v>
      </c>
      <c r="E13" s="33" t="s">
        <v>2099</v>
      </c>
      <c r="F13" s="36" t="str">
        <f>IF($L13&gt;0,"JLR rate card — labour category "&amp;$H13,$M13)</f>
        <v>UK blow-moulding machine operator wage benchmark Jun 2026, incl. NI + benefits | Refresh 2026-09: local wages +0.72% (ONS AWE manufacturing regular pay May–Jul 2026 +2.9% y/y, one quarter)</v>
      </c>
      <c r="G13" s="33" t="s">
        <v>1380</v>
      </c>
      <c r="H13" s="37" t="str">
        <f>IFERROR(INDEX(Mapping!$C$2:$C$549,MATCH($A13,Mapping!$A$2:$A$549,0)),"")</f>
        <v/>
      </c>
      <c r="I13" s="37">
        <f>IF($H13="",0,COUNTIFS('JLR Labour'!$A$2:$A$20001,$H13,'JLR Labour'!$C$2:$C$20001,IF(Settings!$B$2="","&lt;&gt;",Settings!$B$2),'JLR Labour'!$D$2:$D$20001,IF(Settings!$B$3="","&lt;&gt;",Settings!$B$3)))</f>
        <v>0</v>
      </c>
      <c r="J13" s="39">
        <f>IF($I13&lt;&gt;1,0,SUMIFS('JLR Labour'!$E$2:$E$20001,'JLR Labour'!$A$2:$A$20001,$H13,'JLR Labour'!$C$2:$C$20001,IF(Settings!$B$2="","&lt;&gt;",Settings!$B$2),'JLR Labour'!$D$2:$D$20001,IF(Settings!$B$3="","&lt;&gt;",Settings!$B$3)))</f>
        <v>0</v>
      </c>
      <c r="K13" s="39">
        <f>IF($H13="",0,IFERROR(AVERAGEIFS('JLR Machines'!$F$2:$F$20001,'JLR Machines'!$E$2:$E$20001,$H13,'JLR Machines'!$C$2:$C$20001,IF(Settings!$B$2="","&lt;&gt;",Settings!$B$2),'JLR Machines'!$D$2:$D$20001,IF(Settings!$B$3="","&lt;&gt;",Settings!$B$3)),0))</f>
        <v>0</v>
      </c>
      <c r="L13" s="39">
        <f>IF($J13&gt;0,$J13,$K13)</f>
        <v>0</v>
      </c>
      <c r="M13" s="40" t="s">
        <v>2475</v>
      </c>
    </row>
    <row r="14" spans="1:13" x14ac:dyDescent="0.25">
      <c r="A14" s="32" t="s">
        <v>1305</v>
      </c>
      <c r="B14" s="33" t="s">
        <v>1379</v>
      </c>
      <c r="C14" s="33" t="s">
        <v>2476</v>
      </c>
      <c r="D14" s="43">
        <f>IF($L14&gt;0,$L14,20.14)</f>
        <v>20.14</v>
      </c>
      <c r="E14" s="33" t="s">
        <v>2099</v>
      </c>
      <c r="F14" s="36" t="str">
        <f>IF($L14&gt;0,"JLR rate card — labour category "&amp;$H14,$M14)</f>
        <v>UK roto-moulding operator wage benchmark Jun 2026, incl. NI + benefits (hot demould/charge) | Refresh 2026-09: local wages +0.72% (ONS AWE manufacturing regular pay May–Jul 2026 +2.9% y/y, one quarter)</v>
      </c>
      <c r="G14" s="33" t="s">
        <v>1380</v>
      </c>
      <c r="H14" s="37" t="str">
        <f>IFERROR(INDEX(Mapping!$C$2:$C$549,MATCH($A14,Mapping!$A$2:$A$549,0)),"")</f>
        <v/>
      </c>
      <c r="I14" s="37">
        <f>IF($H14="",0,COUNTIFS('JLR Labour'!$A$2:$A$20001,$H14,'JLR Labour'!$C$2:$C$20001,IF(Settings!$B$2="","&lt;&gt;",Settings!$B$2),'JLR Labour'!$D$2:$D$20001,IF(Settings!$B$3="","&lt;&gt;",Settings!$B$3)))</f>
        <v>0</v>
      </c>
      <c r="J14" s="39">
        <f>IF($I14&lt;&gt;1,0,SUMIFS('JLR Labour'!$E$2:$E$20001,'JLR Labour'!$A$2:$A$20001,$H14,'JLR Labour'!$C$2:$C$20001,IF(Settings!$B$2="","&lt;&gt;",Settings!$B$2),'JLR Labour'!$D$2:$D$20001,IF(Settings!$B$3="","&lt;&gt;",Settings!$B$3)))</f>
        <v>0</v>
      </c>
      <c r="K14" s="39">
        <f>IF($H14="",0,IFERROR(AVERAGEIFS('JLR Machines'!$F$2:$F$20001,'JLR Machines'!$E$2:$E$20001,$H14,'JLR Machines'!$C$2:$C$20001,IF(Settings!$B$2="","&lt;&gt;",Settings!$B$2),'JLR Machines'!$D$2:$D$20001,IF(Settings!$B$3="","&lt;&gt;",Settings!$B$3)),0))</f>
        <v>0</v>
      </c>
      <c r="L14" s="39">
        <f>IF($J14&gt;0,$J14,$K14)</f>
        <v>0</v>
      </c>
      <c r="M14" s="40" t="s">
        <v>2477</v>
      </c>
    </row>
    <row r="15" spans="1:13" x14ac:dyDescent="0.25">
      <c r="A15" s="32" t="s">
        <v>1307</v>
      </c>
      <c r="B15" s="33" t="s">
        <v>1379</v>
      </c>
      <c r="C15" s="33" t="s">
        <v>2478</v>
      </c>
      <c r="D15" s="43">
        <f>IF($L15&gt;0,$L15,19.64)</f>
        <v>19.64</v>
      </c>
      <c r="E15" s="33" t="s">
        <v>2099</v>
      </c>
      <c r="F15" s="36" t="str">
        <f>IF($L15&gt;0,"JLR rate card — labour category "&amp;$H15,$M15)</f>
        <v>UK thermoforming machine operator wage benchmark Jun 2026, incl. NI + benefits (sheet load, form, unload) | Refresh 2026-09: local wages +0.72% (ONS AWE manufacturing regular pay May–Jul 2026 +2.9% y/y, one quarter)</v>
      </c>
      <c r="G15" s="33" t="s">
        <v>1380</v>
      </c>
      <c r="H15" s="37" t="str">
        <f>IFERROR(INDEX(Mapping!$C$2:$C$549,MATCH($A15,Mapping!$A$2:$A$549,0)),"")</f>
        <v/>
      </c>
      <c r="I15" s="37">
        <f>IF($H15="",0,COUNTIFS('JLR Labour'!$A$2:$A$20001,$H15,'JLR Labour'!$C$2:$C$20001,IF(Settings!$B$2="","&lt;&gt;",Settings!$B$2),'JLR Labour'!$D$2:$D$20001,IF(Settings!$B$3="","&lt;&gt;",Settings!$B$3)))</f>
        <v>0</v>
      </c>
      <c r="J15" s="39">
        <f>IF($I15&lt;&gt;1,0,SUMIFS('JLR Labour'!$E$2:$E$20001,'JLR Labour'!$A$2:$A$20001,$H15,'JLR Labour'!$C$2:$C$20001,IF(Settings!$B$2="","&lt;&gt;",Settings!$B$2),'JLR Labour'!$D$2:$D$20001,IF(Settings!$B$3="","&lt;&gt;",Settings!$B$3)))</f>
        <v>0</v>
      </c>
      <c r="K15" s="39">
        <f>IF($H15="",0,IFERROR(AVERAGEIFS('JLR Machines'!$F$2:$F$20001,'JLR Machines'!$E$2:$E$20001,$H15,'JLR Machines'!$C$2:$C$20001,IF(Settings!$B$2="","&lt;&gt;",Settings!$B$2),'JLR Machines'!$D$2:$D$20001,IF(Settings!$B$3="","&lt;&gt;",Settings!$B$3)),0))</f>
        <v>0</v>
      </c>
      <c r="L15" s="39">
        <f>IF($J15&gt;0,$J15,$K15)</f>
        <v>0</v>
      </c>
      <c r="M15" s="40" t="s">
        <v>2479</v>
      </c>
    </row>
    <row r="16" spans="1:13" x14ac:dyDescent="0.25">
      <c r="A16" s="32" t="s">
        <v>1309</v>
      </c>
      <c r="B16" s="33" t="s">
        <v>1379</v>
      </c>
      <c r="C16" s="33" t="s">
        <v>2480</v>
      </c>
      <c r="D16" s="43">
        <f>IF($L16&gt;0,$L16,22.66)</f>
        <v>22.66</v>
      </c>
      <c r="E16" s="33" t="s">
        <v>2099</v>
      </c>
      <c r="F16" s="36" t="str">
        <f>IF($L16&gt;0,"JLR rate card — labour category "&amp;$H16,$M16)</f>
        <v>UK CNC router / trim-cell operator wage benchmark Jun 2026, incl. NI + benefits (programmes/jigs formed parts) | Refresh 2026-09: local wages +0.72% (ONS AWE manufacturing regular pay May–Jul 2026 +2.9% y/y, one quarter)</v>
      </c>
      <c r="G16" s="33" t="s">
        <v>1380</v>
      </c>
      <c r="H16" s="37" t="str">
        <f>IFERROR(INDEX(Mapping!$C$2:$C$549,MATCH($A16,Mapping!$A$2:$A$549,0)),"")</f>
        <v/>
      </c>
      <c r="I16" s="37">
        <f>IF($H16="",0,COUNTIFS('JLR Labour'!$A$2:$A$20001,$H16,'JLR Labour'!$C$2:$C$20001,IF(Settings!$B$2="","&lt;&gt;",Settings!$B$2),'JLR Labour'!$D$2:$D$20001,IF(Settings!$B$3="","&lt;&gt;",Settings!$B$3)))</f>
        <v>0</v>
      </c>
      <c r="J16" s="39">
        <f>IF($I16&lt;&gt;1,0,SUMIFS('JLR Labour'!$E$2:$E$20001,'JLR Labour'!$A$2:$A$20001,$H16,'JLR Labour'!$C$2:$C$20001,IF(Settings!$B$2="","&lt;&gt;",Settings!$B$2),'JLR Labour'!$D$2:$D$20001,IF(Settings!$B$3="","&lt;&gt;",Settings!$B$3)))</f>
        <v>0</v>
      </c>
      <c r="K16" s="39">
        <f>IF($H16="",0,IFERROR(AVERAGEIFS('JLR Machines'!$F$2:$F$20001,'JLR Machines'!$E$2:$E$20001,$H16,'JLR Machines'!$C$2:$C$20001,IF(Settings!$B$2="","&lt;&gt;",Settings!$B$2),'JLR Machines'!$D$2:$D$20001,IF(Settings!$B$3="","&lt;&gt;",Settings!$B$3)),0))</f>
        <v>0</v>
      </c>
      <c r="L16" s="39">
        <f>IF($J16&gt;0,$J16,$K16)</f>
        <v>0</v>
      </c>
      <c r="M16" s="40" t="s">
        <v>2481</v>
      </c>
    </row>
    <row r="17" spans="1:13" x14ac:dyDescent="0.25">
      <c r="A17" s="32" t="s">
        <v>1311</v>
      </c>
      <c r="B17" s="33" t="s">
        <v>2482</v>
      </c>
      <c r="C17" s="33" t="s">
        <v>2452</v>
      </c>
      <c r="D17" s="43">
        <f>IF($L17&gt;0,$L17,40.77)</f>
        <v>40.77</v>
      </c>
      <c r="E17" s="33" t="s">
        <v>2099</v>
      </c>
      <c r="F17" s="36" t="str">
        <f>IF($L17&gt;0,"JLR rate card — labour category "&amp;$H17,$M17)</f>
        <v>Germany IG Metall wage survey Jun 2026, incl. social costs | Refresh 2026-09: local wages +1.01% (Destatis nominal wages Q2 2026 +4.1% y/y, one quarter); EUR 1.161→1.165 per £</v>
      </c>
      <c r="G17" s="33" t="s">
        <v>1380</v>
      </c>
      <c r="H17" s="37" t="str">
        <f>IFERROR(INDEX(Mapping!$C$2:$C$549,MATCH($A17,Mapping!$A$2:$A$549,0)),"")</f>
        <v/>
      </c>
      <c r="I17" s="37">
        <f>IF($H17="",0,COUNTIFS('JLR Labour'!$A$2:$A$20001,$H17,'JLR Labour'!$C$2:$C$20001,IF(Settings!$B$2="","&lt;&gt;",Settings!$B$2),'JLR Labour'!$D$2:$D$20001,IF(Settings!$B$3="","&lt;&gt;",Settings!$B$3)))</f>
        <v>0</v>
      </c>
      <c r="J17" s="39">
        <f>IF($I17&lt;&gt;1,0,SUMIFS('JLR Labour'!$E$2:$E$20001,'JLR Labour'!$A$2:$A$20001,$H17,'JLR Labour'!$C$2:$C$20001,IF(Settings!$B$2="","&lt;&gt;",Settings!$B$2),'JLR Labour'!$D$2:$D$20001,IF(Settings!$B$3="","&lt;&gt;",Settings!$B$3)))</f>
        <v>0</v>
      </c>
      <c r="K17" s="39">
        <f>IF($H17="",0,IFERROR(AVERAGEIFS('JLR Machines'!$F$2:$F$20001,'JLR Machines'!$E$2:$E$20001,$H17,'JLR Machines'!$C$2:$C$20001,IF(Settings!$B$2="","&lt;&gt;",Settings!$B$2),'JLR Machines'!$D$2:$D$20001,IF(Settings!$B$3="","&lt;&gt;",Settings!$B$3)),0))</f>
        <v>0</v>
      </c>
      <c r="L17" s="39">
        <f>IF($J17&gt;0,$J17,$K17)</f>
        <v>0</v>
      </c>
      <c r="M17" s="40" t="s">
        <v>2483</v>
      </c>
    </row>
    <row r="18" spans="1:13" x14ac:dyDescent="0.25">
      <c r="A18" s="32" t="s">
        <v>1313</v>
      </c>
      <c r="B18" s="33" t="s">
        <v>2484</v>
      </c>
      <c r="C18" s="33" t="s">
        <v>2452</v>
      </c>
      <c r="D18" s="43">
        <f>IF($L18&gt;0,$L18,11.9)</f>
        <v>11.9</v>
      </c>
      <c r="E18" s="33" t="s">
        <v>2099</v>
      </c>
      <c r="F18" s="36" t="str">
        <f>IF($L18&gt;0,"JLR rate card — labour category "&amp;$H18,$M18)</f>
        <v>Poland manufacturing wage benchmark Jun 2026, incl. social costs | Refresh 2026-09: local wages +1.44% (GUS enterprise-sector wages Aug 2026 +5.9% y/y, one quarter); PLN 4.98→5.096 per £</v>
      </c>
      <c r="G18" s="33" t="s">
        <v>1393</v>
      </c>
      <c r="H18" s="37" t="str">
        <f>IFERROR(INDEX(Mapping!$C$2:$C$549,MATCH($A18,Mapping!$A$2:$A$549,0)),"")</f>
        <v/>
      </c>
      <c r="I18" s="37">
        <f>IF($H18="",0,COUNTIFS('JLR Labour'!$A$2:$A$20001,$H18,'JLR Labour'!$C$2:$C$20001,IF(Settings!$B$2="","&lt;&gt;",Settings!$B$2),'JLR Labour'!$D$2:$D$20001,IF(Settings!$B$3="","&lt;&gt;",Settings!$B$3)))</f>
        <v>0</v>
      </c>
      <c r="J18" s="39">
        <f>IF($I18&lt;&gt;1,0,SUMIFS('JLR Labour'!$E$2:$E$20001,'JLR Labour'!$A$2:$A$20001,$H18,'JLR Labour'!$C$2:$C$20001,IF(Settings!$B$2="","&lt;&gt;",Settings!$B$2),'JLR Labour'!$D$2:$D$20001,IF(Settings!$B$3="","&lt;&gt;",Settings!$B$3)))</f>
        <v>0</v>
      </c>
      <c r="K18" s="39">
        <f>IF($H18="",0,IFERROR(AVERAGEIFS('JLR Machines'!$F$2:$F$20001,'JLR Machines'!$E$2:$E$20001,$H18,'JLR Machines'!$C$2:$C$20001,IF(Settings!$B$2="","&lt;&gt;",Settings!$B$2),'JLR Machines'!$D$2:$D$20001,IF(Settings!$B$3="","&lt;&gt;",Settings!$B$3)),0))</f>
        <v>0</v>
      </c>
      <c r="L18" s="39">
        <f>IF($J18&gt;0,$J18,$K18)</f>
        <v>0</v>
      </c>
      <c r="M18" s="40" t="s">
        <v>2485</v>
      </c>
    </row>
    <row r="19" spans="1:13" x14ac:dyDescent="0.25">
      <c r="A19" s="32" t="s">
        <v>1315</v>
      </c>
      <c r="B19" s="33" t="s">
        <v>2486</v>
      </c>
      <c r="C19" s="33" t="s">
        <v>2452</v>
      </c>
      <c r="D19" s="43">
        <f>IF($L19&gt;0,$L19,7.39)</f>
        <v>7.39</v>
      </c>
      <c r="E19" s="33" t="s">
        <v>2099</v>
      </c>
      <c r="F19" s="36" t="str">
        <f>IF($L19&gt;0,"JLR rate card — labour category "&amp;$H19,$M19)</f>
        <v>Mexico manufacturing wage benchmark Jun 2026 (IMSS included) | Refresh 2026-09: local wages +1.44% (IMSS average registered wage +5.9% y/y (Jul 2026), one quarter); MXN 23.15→23.84 per £</v>
      </c>
      <c r="G19" s="33" t="s">
        <v>1393</v>
      </c>
      <c r="H19" s="37" t="str">
        <f>IFERROR(INDEX(Mapping!$C$2:$C$549,MATCH($A19,Mapping!$A$2:$A$549,0)),"")</f>
        <v/>
      </c>
      <c r="I19" s="37">
        <f>IF($H19="",0,COUNTIFS('JLR Labour'!$A$2:$A$20001,$H19,'JLR Labour'!$C$2:$C$20001,IF(Settings!$B$2="","&lt;&gt;",Settings!$B$2),'JLR Labour'!$D$2:$D$20001,IF(Settings!$B$3="","&lt;&gt;",Settings!$B$3)))</f>
        <v>0</v>
      </c>
      <c r="J19" s="39">
        <f>IF($I19&lt;&gt;1,0,SUMIFS('JLR Labour'!$E$2:$E$20001,'JLR Labour'!$A$2:$A$20001,$H19,'JLR Labour'!$C$2:$C$20001,IF(Settings!$B$2="","&lt;&gt;",Settings!$B$2),'JLR Labour'!$D$2:$D$20001,IF(Settings!$B$3="","&lt;&gt;",Settings!$B$3)))</f>
        <v>0</v>
      </c>
      <c r="K19" s="39">
        <f>IF($H19="",0,IFERROR(AVERAGEIFS('JLR Machines'!$F$2:$F$20001,'JLR Machines'!$E$2:$E$20001,$H19,'JLR Machines'!$C$2:$C$20001,IF(Settings!$B$2="","&lt;&gt;",Settings!$B$2),'JLR Machines'!$D$2:$D$20001,IF(Settings!$B$3="","&lt;&gt;",Settings!$B$3)),0))</f>
        <v>0</v>
      </c>
      <c r="L19" s="39">
        <f>IF($J19&gt;0,$J19,$K19)</f>
        <v>0</v>
      </c>
      <c r="M19" s="40" t="s">
        <v>2487</v>
      </c>
    </row>
    <row r="20" spans="1:13" x14ac:dyDescent="0.25">
      <c r="A20" s="32" t="s">
        <v>1317</v>
      </c>
      <c r="B20" s="33" t="s">
        <v>1379</v>
      </c>
      <c r="C20" s="33" t="s">
        <v>2488</v>
      </c>
      <c r="D20" s="43">
        <f>IF($L20&gt;0,$L20,17.63)</f>
        <v>17.63</v>
      </c>
      <c r="E20" s="33" t="s">
        <v>2099</v>
      </c>
      <c r="F20" s="36" t="str">
        <f>IF($L20&gt;0,"JLR rate card — labour category "&amp;$H20,$M20)</f>
        <v>UK EMS operator wage benchmark Jun 2026, incl. NI + benefits | Refresh 2026-09: local wages +0.72% (ONS AWE manufacturing regular pay May–Jul 2026 +2.9% y/y, one quarter)</v>
      </c>
      <c r="G20" s="33" t="s">
        <v>1380</v>
      </c>
      <c r="H20" s="37" t="str">
        <f>IFERROR(INDEX(Mapping!$C$2:$C$549,MATCH($A20,Mapping!$A$2:$A$549,0)),"")</f>
        <v/>
      </c>
      <c r="I20" s="37">
        <f>IF($H20="",0,COUNTIFS('JLR Labour'!$A$2:$A$20001,$H20,'JLR Labour'!$C$2:$C$20001,IF(Settings!$B$2="","&lt;&gt;",Settings!$B$2),'JLR Labour'!$D$2:$D$20001,IF(Settings!$B$3="","&lt;&gt;",Settings!$B$3)))</f>
        <v>0</v>
      </c>
      <c r="J20" s="39">
        <f>IF($I20&lt;&gt;1,0,SUMIFS('JLR Labour'!$E$2:$E$20001,'JLR Labour'!$A$2:$A$20001,$H20,'JLR Labour'!$C$2:$C$20001,IF(Settings!$B$2="","&lt;&gt;",Settings!$B$2),'JLR Labour'!$D$2:$D$20001,IF(Settings!$B$3="","&lt;&gt;",Settings!$B$3)))</f>
        <v>0</v>
      </c>
      <c r="K20" s="39">
        <f>IF($H20="",0,IFERROR(AVERAGEIFS('JLR Machines'!$F$2:$F$20001,'JLR Machines'!$E$2:$E$20001,$H20,'JLR Machines'!$C$2:$C$20001,IF(Settings!$B$2="","&lt;&gt;",Settings!$B$2),'JLR Machines'!$D$2:$D$20001,IF(Settings!$B$3="","&lt;&gt;",Settings!$B$3)),0))</f>
        <v>0</v>
      </c>
      <c r="L20" s="39">
        <f>IF($J20&gt;0,$J20,$K20)</f>
        <v>0</v>
      </c>
      <c r="M20" s="40" t="s">
        <v>2489</v>
      </c>
    </row>
    <row r="21" spans="1:13" x14ac:dyDescent="0.25">
      <c r="A21" s="32" t="s">
        <v>1319</v>
      </c>
      <c r="B21" s="33" t="s">
        <v>2482</v>
      </c>
      <c r="C21" s="33" t="s">
        <v>2455</v>
      </c>
      <c r="D21" s="43">
        <f>IF($L21&gt;0,$L21,32.21)</f>
        <v>32.21</v>
      </c>
      <c r="E21" s="33" t="s">
        <v>2099</v>
      </c>
      <c r="F21" s="36" t="str">
        <f>IF($L21&gt;0,"JLR rate card — labour category "&amp;$H21,$M21)</f>
        <v>Germany IG Metall Lohngruppe 3 Jun 2026, incl. social costs | Refresh 2026-09: local wages +1.01% (Destatis nominal wages Q2 2026 +4.1% y/y, one quarter); EUR 1.161→1.165 per £</v>
      </c>
      <c r="G21" s="33" t="s">
        <v>1380</v>
      </c>
      <c r="H21" s="37" t="str">
        <f>IFERROR(INDEX(Mapping!$C$2:$C$549,MATCH($A21,Mapping!$A$2:$A$549,0)),"")</f>
        <v/>
      </c>
      <c r="I21" s="37">
        <f>IF($H21="",0,COUNTIFS('JLR Labour'!$A$2:$A$20001,$H21,'JLR Labour'!$C$2:$C$20001,IF(Settings!$B$2="","&lt;&gt;",Settings!$B$2),'JLR Labour'!$D$2:$D$20001,IF(Settings!$B$3="","&lt;&gt;",Settings!$B$3)))</f>
        <v>0</v>
      </c>
      <c r="J21" s="39">
        <f>IF($I21&lt;&gt;1,0,SUMIFS('JLR Labour'!$E$2:$E$20001,'JLR Labour'!$A$2:$A$20001,$H21,'JLR Labour'!$C$2:$C$20001,IF(Settings!$B$2="","&lt;&gt;",Settings!$B$2),'JLR Labour'!$D$2:$D$20001,IF(Settings!$B$3="","&lt;&gt;",Settings!$B$3)))</f>
        <v>0</v>
      </c>
      <c r="K21" s="39">
        <f>IF($H21="",0,IFERROR(AVERAGEIFS('JLR Machines'!$F$2:$F$20001,'JLR Machines'!$E$2:$E$20001,$H21,'JLR Machines'!$C$2:$C$20001,IF(Settings!$B$2="","&lt;&gt;",Settings!$B$2),'JLR Machines'!$D$2:$D$20001,IF(Settings!$B$3="","&lt;&gt;",Settings!$B$3)),0))</f>
        <v>0</v>
      </c>
      <c r="L21" s="39">
        <f>IF($J21&gt;0,$J21,$K21)</f>
        <v>0</v>
      </c>
      <c r="M21" s="40" t="s">
        <v>2490</v>
      </c>
    </row>
    <row r="22" spans="1:13" x14ac:dyDescent="0.25">
      <c r="A22" s="32" t="s">
        <v>1321</v>
      </c>
      <c r="B22" s="33" t="s">
        <v>2482</v>
      </c>
      <c r="C22" s="33" t="s">
        <v>2462</v>
      </c>
      <c r="D22" s="43">
        <f>IF($L22&gt;0,$L22,35.23)</f>
        <v>35.23</v>
      </c>
      <c r="E22" s="33" t="s">
        <v>2099</v>
      </c>
      <c r="F22" s="36" t="str">
        <f>IF($L22&gt;0,"JLR rate card — labour category "&amp;$H22,$M22)</f>
        <v>Germany foundry Tarifvertrag Jun 2026, incl. social costs | Refresh 2026-09: local wages +1.01% (Destatis nominal wages Q2 2026 +4.1% y/y, one quarter); EUR 1.161→1.165 per £</v>
      </c>
      <c r="G22" s="33" t="s">
        <v>1380</v>
      </c>
      <c r="H22" s="37" t="str">
        <f>IFERROR(INDEX(Mapping!$C$2:$C$549,MATCH($A22,Mapping!$A$2:$A$549,0)),"")</f>
        <v/>
      </c>
      <c r="I22" s="37">
        <f>IF($H22="",0,COUNTIFS('JLR Labour'!$A$2:$A$20001,$H22,'JLR Labour'!$C$2:$C$20001,IF(Settings!$B$2="","&lt;&gt;",Settings!$B$2),'JLR Labour'!$D$2:$D$20001,IF(Settings!$B$3="","&lt;&gt;",Settings!$B$3)))</f>
        <v>0</v>
      </c>
      <c r="J22" s="39">
        <f>IF($I22&lt;&gt;1,0,SUMIFS('JLR Labour'!$E$2:$E$20001,'JLR Labour'!$A$2:$A$20001,$H22,'JLR Labour'!$C$2:$C$20001,IF(Settings!$B$2="","&lt;&gt;",Settings!$B$2),'JLR Labour'!$D$2:$D$20001,IF(Settings!$B$3="","&lt;&gt;",Settings!$B$3)))</f>
        <v>0</v>
      </c>
      <c r="K22" s="39">
        <f>IF($H22="",0,IFERROR(AVERAGEIFS('JLR Machines'!$F$2:$F$20001,'JLR Machines'!$E$2:$E$20001,$H22,'JLR Machines'!$C$2:$C$20001,IF(Settings!$B$2="","&lt;&gt;",Settings!$B$2),'JLR Machines'!$D$2:$D$20001,IF(Settings!$B$3="","&lt;&gt;",Settings!$B$3)),0))</f>
        <v>0</v>
      </c>
      <c r="L22" s="39">
        <f>IF($J22&gt;0,$J22,$K22)</f>
        <v>0</v>
      </c>
      <c r="M22" s="40" t="s">
        <v>2491</v>
      </c>
    </row>
    <row r="23" spans="1:13" x14ac:dyDescent="0.25">
      <c r="A23" s="32" t="s">
        <v>1323</v>
      </c>
      <c r="B23" s="33" t="s">
        <v>2482</v>
      </c>
      <c r="C23" s="33" t="s">
        <v>2488</v>
      </c>
      <c r="D23" s="43">
        <f>IF($L23&gt;0,$L23,30.2)</f>
        <v>30.2</v>
      </c>
      <c r="E23" s="33" t="s">
        <v>2099</v>
      </c>
      <c r="F23" s="36" t="str">
        <f>IF($L23&gt;0,"JLR rate card — labour category "&amp;$H23,$M23)</f>
        <v>Germany EMS operator benchmark Jun 2026, incl. social costs | Refresh 2026-09: local wages +1.01% (Destatis nominal wages Q2 2026 +4.1% y/y, one quarter); EUR 1.161→1.165 per £</v>
      </c>
      <c r="G23" s="33" t="s">
        <v>1380</v>
      </c>
      <c r="H23" s="37" t="str">
        <f>IFERROR(INDEX(Mapping!$C$2:$C$549,MATCH($A23,Mapping!$A$2:$A$549,0)),"")</f>
        <v/>
      </c>
      <c r="I23" s="37">
        <f>IF($H23="",0,COUNTIFS('JLR Labour'!$A$2:$A$20001,$H23,'JLR Labour'!$C$2:$C$20001,IF(Settings!$B$2="","&lt;&gt;",Settings!$B$2),'JLR Labour'!$D$2:$D$20001,IF(Settings!$B$3="","&lt;&gt;",Settings!$B$3)))</f>
        <v>0</v>
      </c>
      <c r="J23" s="39">
        <f>IF($I23&lt;&gt;1,0,SUMIFS('JLR Labour'!$E$2:$E$20001,'JLR Labour'!$A$2:$A$20001,$H23,'JLR Labour'!$C$2:$C$20001,IF(Settings!$B$2="","&lt;&gt;",Settings!$B$2),'JLR Labour'!$D$2:$D$20001,IF(Settings!$B$3="","&lt;&gt;",Settings!$B$3)))</f>
        <v>0</v>
      </c>
      <c r="K23" s="39">
        <f>IF($H23="",0,IFERROR(AVERAGEIFS('JLR Machines'!$F$2:$F$20001,'JLR Machines'!$E$2:$E$20001,$H23,'JLR Machines'!$C$2:$C$20001,IF(Settings!$B$2="","&lt;&gt;",Settings!$B$2),'JLR Machines'!$D$2:$D$20001,IF(Settings!$B$3="","&lt;&gt;",Settings!$B$3)),0))</f>
        <v>0</v>
      </c>
      <c r="L23" s="39">
        <f>IF($J23&gt;0,$J23,$K23)</f>
        <v>0</v>
      </c>
      <c r="M23" s="40" t="s">
        <v>2492</v>
      </c>
    </row>
    <row r="24" spans="1:13" x14ac:dyDescent="0.25">
      <c r="A24" s="32" t="s">
        <v>1325</v>
      </c>
      <c r="B24" s="33" t="s">
        <v>2482</v>
      </c>
      <c r="C24" s="33" t="s">
        <v>2456</v>
      </c>
      <c r="D24" s="43">
        <f>IF($L24&gt;0,$L24,65.43)</f>
        <v>65.43</v>
      </c>
      <c r="E24" s="33" t="s">
        <v>2099</v>
      </c>
      <c r="F24" s="36" t="str">
        <f>IF($L24&gt;0,"JLR rate card — labour category "&amp;$H24,$M24)</f>
        <v>Germany engineering salary benchmark Jun 2026, incl. social costs | Refresh 2026-09: local wages +1.01% (Destatis nominal wages Q2 2026 +4.1% y/y, one quarter); EUR 1.161→1.165 per £</v>
      </c>
      <c r="G24" s="33" t="s">
        <v>1380</v>
      </c>
      <c r="H24" s="37" t="str">
        <f>IFERROR(INDEX(Mapping!$C$2:$C$549,MATCH($A24,Mapping!$A$2:$A$549,0)),"")</f>
        <v/>
      </c>
      <c r="I24" s="37">
        <f>IF($H24="",0,COUNTIFS('JLR Labour'!$A$2:$A$20001,$H24,'JLR Labour'!$C$2:$C$20001,IF(Settings!$B$2="","&lt;&gt;",Settings!$B$2),'JLR Labour'!$D$2:$D$20001,IF(Settings!$B$3="","&lt;&gt;",Settings!$B$3)))</f>
        <v>0</v>
      </c>
      <c r="J24" s="39">
        <f>IF($I24&lt;&gt;1,0,SUMIFS('JLR Labour'!$E$2:$E$20001,'JLR Labour'!$A$2:$A$20001,$H24,'JLR Labour'!$C$2:$C$20001,IF(Settings!$B$2="","&lt;&gt;",Settings!$B$2),'JLR Labour'!$D$2:$D$20001,IF(Settings!$B$3="","&lt;&gt;",Settings!$B$3)))</f>
        <v>0</v>
      </c>
      <c r="K24" s="39">
        <f>IF($H24="",0,IFERROR(AVERAGEIFS('JLR Machines'!$F$2:$F$20001,'JLR Machines'!$E$2:$E$20001,$H24,'JLR Machines'!$C$2:$C$20001,IF(Settings!$B$2="","&lt;&gt;",Settings!$B$2),'JLR Machines'!$D$2:$D$20001,IF(Settings!$B$3="","&lt;&gt;",Settings!$B$3)),0))</f>
        <v>0</v>
      </c>
      <c r="L24" s="39">
        <f>IF($J24&gt;0,$J24,$K24)</f>
        <v>0</v>
      </c>
      <c r="M24" s="40" t="s">
        <v>2493</v>
      </c>
    </row>
    <row r="25" spans="1:13" x14ac:dyDescent="0.25">
      <c r="A25" s="32" t="s">
        <v>1327</v>
      </c>
      <c r="B25" s="33" t="s">
        <v>2484</v>
      </c>
      <c r="C25" s="33" t="s">
        <v>2455</v>
      </c>
      <c r="D25" s="43">
        <f>IF($L25&gt;0,$L25,8.92)</f>
        <v>8.92</v>
      </c>
      <c r="E25" s="33" t="s">
        <v>2099</v>
      </c>
      <c r="F25" s="36" t="str">
        <f>IF($L25&gt;0,"JLR rate card — labour category "&amp;$H25,$M25)</f>
        <v>Poland manufacturing wage benchmark Jun 2026, incl. social costs | Refresh 2026-09: local wages +1.44% (GUS enterprise-sector wages Aug 2026 +5.9% y/y, one quarter); PLN 4.98→5.096 per £</v>
      </c>
      <c r="G25" s="33" t="s">
        <v>1393</v>
      </c>
      <c r="H25" s="37" t="str">
        <f>IFERROR(INDEX(Mapping!$C$2:$C$549,MATCH($A25,Mapping!$A$2:$A$549,0)),"")</f>
        <v/>
      </c>
      <c r="I25" s="37">
        <f>IF($H25="",0,COUNTIFS('JLR Labour'!$A$2:$A$20001,$H25,'JLR Labour'!$C$2:$C$20001,IF(Settings!$B$2="","&lt;&gt;",Settings!$B$2),'JLR Labour'!$D$2:$D$20001,IF(Settings!$B$3="","&lt;&gt;",Settings!$B$3)))</f>
        <v>0</v>
      </c>
      <c r="J25" s="39">
        <f>IF($I25&lt;&gt;1,0,SUMIFS('JLR Labour'!$E$2:$E$20001,'JLR Labour'!$A$2:$A$20001,$H25,'JLR Labour'!$C$2:$C$20001,IF(Settings!$B$2="","&lt;&gt;",Settings!$B$2),'JLR Labour'!$D$2:$D$20001,IF(Settings!$B$3="","&lt;&gt;",Settings!$B$3)))</f>
        <v>0</v>
      </c>
      <c r="K25" s="39">
        <f>IF($H25="",0,IFERROR(AVERAGEIFS('JLR Machines'!$F$2:$F$20001,'JLR Machines'!$E$2:$E$20001,$H25,'JLR Machines'!$C$2:$C$20001,IF(Settings!$B$2="","&lt;&gt;",Settings!$B$2),'JLR Machines'!$D$2:$D$20001,IF(Settings!$B$3="","&lt;&gt;",Settings!$B$3)),0))</f>
        <v>0</v>
      </c>
      <c r="L25" s="39">
        <f>IF($J25&gt;0,$J25,$K25)</f>
        <v>0</v>
      </c>
      <c r="M25" s="40" t="s">
        <v>2485</v>
      </c>
    </row>
    <row r="26" spans="1:13" x14ac:dyDescent="0.25">
      <c r="A26" s="32" t="s">
        <v>1329</v>
      </c>
      <c r="B26" s="33" t="s">
        <v>2484</v>
      </c>
      <c r="C26" s="33" t="s">
        <v>2488</v>
      </c>
      <c r="D26" s="43">
        <f>IF($L26&gt;0,$L26,10.41)</f>
        <v>10.41</v>
      </c>
      <c r="E26" s="33" t="s">
        <v>2099</v>
      </c>
      <c r="F26" s="36" t="str">
        <f>IF($L26&gt;0,"JLR rate card — labour category "&amp;$H26,$M26)</f>
        <v>Poland EMS sector benchmark Jun 2026, incl. social costs | Refresh 2026-09: local wages +1.44% (GUS enterprise-sector wages Aug 2026 +5.9% y/y, one quarter); PLN 4.98→5.096 per £</v>
      </c>
      <c r="G26" s="33" t="s">
        <v>1393</v>
      </c>
      <c r="H26" s="37" t="str">
        <f>IFERROR(INDEX(Mapping!$C$2:$C$549,MATCH($A26,Mapping!$A$2:$A$549,0)),"")</f>
        <v/>
      </c>
      <c r="I26" s="37">
        <f>IF($H26="",0,COUNTIFS('JLR Labour'!$A$2:$A$20001,$H26,'JLR Labour'!$C$2:$C$20001,IF(Settings!$B$2="","&lt;&gt;",Settings!$B$2),'JLR Labour'!$D$2:$D$20001,IF(Settings!$B$3="","&lt;&gt;",Settings!$B$3)))</f>
        <v>0</v>
      </c>
      <c r="J26" s="39">
        <f>IF($I26&lt;&gt;1,0,SUMIFS('JLR Labour'!$E$2:$E$20001,'JLR Labour'!$A$2:$A$20001,$H26,'JLR Labour'!$C$2:$C$20001,IF(Settings!$B$2="","&lt;&gt;",Settings!$B$2),'JLR Labour'!$D$2:$D$20001,IF(Settings!$B$3="","&lt;&gt;",Settings!$B$3)))</f>
        <v>0</v>
      </c>
      <c r="K26" s="39">
        <f>IF($H26="",0,IFERROR(AVERAGEIFS('JLR Machines'!$F$2:$F$20001,'JLR Machines'!$E$2:$E$20001,$H26,'JLR Machines'!$C$2:$C$20001,IF(Settings!$B$2="","&lt;&gt;",Settings!$B$2),'JLR Machines'!$D$2:$D$20001,IF(Settings!$B$3="","&lt;&gt;",Settings!$B$3)),0))</f>
        <v>0</v>
      </c>
      <c r="L26" s="39">
        <f>IF($J26&gt;0,$J26,$K26)</f>
        <v>0</v>
      </c>
      <c r="M26" s="40" t="s">
        <v>2494</v>
      </c>
    </row>
    <row r="27" spans="1:13" x14ac:dyDescent="0.25">
      <c r="A27" s="32" t="s">
        <v>1331</v>
      </c>
      <c r="B27" s="33" t="s">
        <v>2484</v>
      </c>
      <c r="C27" s="33" t="s">
        <v>2462</v>
      </c>
      <c r="D27" s="43">
        <f>IF($L27&gt;0,$L27,9.91)</f>
        <v>9.91</v>
      </c>
      <c r="E27" s="33" t="s">
        <v>2099</v>
      </c>
      <c r="F27" s="36" t="str">
        <f>IF($L27&gt;0,"JLR rate card — labour category "&amp;$H27,$M27)</f>
        <v>Poland foundry wage benchmark Jun 2026, incl. social costs | Refresh 2026-09: local wages +1.44% (GUS enterprise-sector wages Aug 2026 +5.9% y/y, one quarter); PLN 4.98→5.096 per £</v>
      </c>
      <c r="G27" s="33" t="s">
        <v>1393</v>
      </c>
      <c r="H27" s="37" t="str">
        <f>IFERROR(INDEX(Mapping!$C$2:$C$549,MATCH($A27,Mapping!$A$2:$A$549,0)),"")</f>
        <v/>
      </c>
      <c r="I27" s="37">
        <f>IF($H27="",0,COUNTIFS('JLR Labour'!$A$2:$A$20001,$H27,'JLR Labour'!$C$2:$C$20001,IF(Settings!$B$2="","&lt;&gt;",Settings!$B$2),'JLR Labour'!$D$2:$D$20001,IF(Settings!$B$3="","&lt;&gt;",Settings!$B$3)))</f>
        <v>0</v>
      </c>
      <c r="J27" s="39">
        <f>IF($I27&lt;&gt;1,0,SUMIFS('JLR Labour'!$E$2:$E$20001,'JLR Labour'!$A$2:$A$20001,$H27,'JLR Labour'!$C$2:$C$20001,IF(Settings!$B$2="","&lt;&gt;",Settings!$B$2),'JLR Labour'!$D$2:$D$20001,IF(Settings!$B$3="","&lt;&gt;",Settings!$B$3)))</f>
        <v>0</v>
      </c>
      <c r="K27" s="39">
        <f>IF($H27="",0,IFERROR(AVERAGEIFS('JLR Machines'!$F$2:$F$20001,'JLR Machines'!$E$2:$E$20001,$H27,'JLR Machines'!$C$2:$C$20001,IF(Settings!$B$2="","&lt;&gt;",Settings!$B$2),'JLR Machines'!$D$2:$D$20001,IF(Settings!$B$3="","&lt;&gt;",Settings!$B$3)),0))</f>
        <v>0</v>
      </c>
      <c r="L27" s="39">
        <f>IF($J27&gt;0,$J27,$K27)</f>
        <v>0</v>
      </c>
      <c r="M27" s="40" t="s">
        <v>2495</v>
      </c>
    </row>
    <row r="28" spans="1:13" x14ac:dyDescent="0.25">
      <c r="A28" s="32" t="s">
        <v>1333</v>
      </c>
      <c r="B28" s="33" t="s">
        <v>2460</v>
      </c>
      <c r="C28" s="33" t="s">
        <v>2455</v>
      </c>
      <c r="D28" s="43">
        <f>IF($L28&gt;0,$L28,5.62)</f>
        <v>5.62</v>
      </c>
      <c r="E28" s="33" t="s">
        <v>2099</v>
      </c>
      <c r="F28" s="36" t="str">
        <f>IF($L28&gt;0,"JLR rate card — labour category "&amp;$H28,$M28)</f>
        <v>China Pearl/Yangtze delta manufacturing wage benchmark Jun 2026 | Refresh 2026-09: local wages +0.98% (2026 salary budget ~4.0% (china-briefing survey), one quarter); CNY 8.989→8.88 per £</v>
      </c>
      <c r="G28" s="33" t="s">
        <v>1393</v>
      </c>
      <c r="H28" s="37" t="str">
        <f>IFERROR(INDEX(Mapping!$C$2:$C$549,MATCH($A28,Mapping!$A$2:$A$549,0)),"")</f>
        <v/>
      </c>
      <c r="I28" s="37">
        <f>IF($H28="",0,COUNTIFS('JLR Labour'!$A$2:$A$20001,$H28,'JLR Labour'!$C$2:$C$20001,IF(Settings!$B$2="","&lt;&gt;",Settings!$B$2),'JLR Labour'!$D$2:$D$20001,IF(Settings!$B$3="","&lt;&gt;",Settings!$B$3)))</f>
        <v>0</v>
      </c>
      <c r="J28" s="39">
        <f>IF($I28&lt;&gt;1,0,SUMIFS('JLR Labour'!$E$2:$E$20001,'JLR Labour'!$A$2:$A$20001,$H28,'JLR Labour'!$C$2:$C$20001,IF(Settings!$B$2="","&lt;&gt;",Settings!$B$2),'JLR Labour'!$D$2:$D$20001,IF(Settings!$B$3="","&lt;&gt;",Settings!$B$3)))</f>
        <v>0</v>
      </c>
      <c r="K28" s="39">
        <f>IF($H28="",0,IFERROR(AVERAGEIFS('JLR Machines'!$F$2:$F$20001,'JLR Machines'!$E$2:$E$20001,$H28,'JLR Machines'!$C$2:$C$20001,IF(Settings!$B$2="","&lt;&gt;",Settings!$B$2),'JLR Machines'!$D$2:$D$20001,IF(Settings!$B$3="","&lt;&gt;",Settings!$B$3)),0))</f>
        <v>0</v>
      </c>
      <c r="L28" s="39">
        <f>IF($J28&gt;0,$J28,$K28)</f>
        <v>0</v>
      </c>
      <c r="M28" s="40" t="s">
        <v>2496</v>
      </c>
    </row>
    <row r="29" spans="1:13" x14ac:dyDescent="0.25">
      <c r="A29" s="32" t="s">
        <v>1335</v>
      </c>
      <c r="B29" s="33" t="s">
        <v>2460</v>
      </c>
      <c r="C29" s="33" t="s">
        <v>2488</v>
      </c>
      <c r="D29" s="43">
        <f>IF($L29&gt;0,$L29,6.64)</f>
        <v>6.64</v>
      </c>
      <c r="E29" s="33" t="s">
        <v>2099</v>
      </c>
      <c r="F29" s="36" t="str">
        <f>IF($L29&gt;0,"JLR rate card — labour category "&amp;$H29,$M29)</f>
        <v>China EMS operator benchmark Jun 2026 (Shenzhen/Suzhou) | Refresh 2026-09: local wages +0.98% (2026 salary budget ~4.0% (china-briefing survey), one quarter); CNY 8.989→8.88 per £</v>
      </c>
      <c r="G29" s="33" t="s">
        <v>1393</v>
      </c>
      <c r="H29" s="37" t="str">
        <f>IFERROR(INDEX(Mapping!$C$2:$C$549,MATCH($A29,Mapping!$A$2:$A$549,0)),"")</f>
        <v/>
      </c>
      <c r="I29" s="37">
        <f>IF($H29="",0,COUNTIFS('JLR Labour'!$A$2:$A$20001,$H29,'JLR Labour'!$C$2:$C$20001,IF(Settings!$B$2="","&lt;&gt;",Settings!$B$2),'JLR Labour'!$D$2:$D$20001,IF(Settings!$B$3="","&lt;&gt;",Settings!$B$3)))</f>
        <v>0</v>
      </c>
      <c r="J29" s="39">
        <f>IF($I29&lt;&gt;1,0,SUMIFS('JLR Labour'!$E$2:$E$20001,'JLR Labour'!$A$2:$A$20001,$H29,'JLR Labour'!$C$2:$C$20001,IF(Settings!$B$2="","&lt;&gt;",Settings!$B$2),'JLR Labour'!$D$2:$D$20001,IF(Settings!$B$3="","&lt;&gt;",Settings!$B$3)))</f>
        <v>0</v>
      </c>
      <c r="K29" s="39">
        <f>IF($H29="",0,IFERROR(AVERAGEIFS('JLR Machines'!$F$2:$F$20001,'JLR Machines'!$E$2:$E$20001,$H29,'JLR Machines'!$C$2:$C$20001,IF(Settings!$B$2="","&lt;&gt;",Settings!$B$2),'JLR Machines'!$D$2:$D$20001,IF(Settings!$B$3="","&lt;&gt;",Settings!$B$3)),0))</f>
        <v>0</v>
      </c>
      <c r="L29" s="39">
        <f>IF($J29&gt;0,$J29,$K29)</f>
        <v>0</v>
      </c>
      <c r="M29" s="40" t="s">
        <v>2497</v>
      </c>
    </row>
    <row r="30" spans="1:13" x14ac:dyDescent="0.25">
      <c r="A30" s="32" t="s">
        <v>1337</v>
      </c>
      <c r="B30" s="33" t="s">
        <v>2460</v>
      </c>
      <c r="C30" s="33" t="s">
        <v>2456</v>
      </c>
      <c r="D30" s="43">
        <f>IF($L30&gt;0,$L30,18.4)</f>
        <v>18.4</v>
      </c>
      <c r="E30" s="33" t="s">
        <v>2099</v>
      </c>
      <c r="F30" s="36" t="str">
        <f>IF($L30&gt;0,"JLR rate card — labour category "&amp;$H30,$M30)</f>
        <v>China manufacturing engineer salary benchmark Jun 2026 | Refresh 2026-09: local wages +0.98% (2026 salary budget ~4.0% (china-briefing survey), one quarter); CNY 8.989→8.88 per £</v>
      </c>
      <c r="G30" s="33" t="s">
        <v>1393</v>
      </c>
      <c r="H30" s="37" t="str">
        <f>IFERROR(INDEX(Mapping!$C$2:$C$549,MATCH($A30,Mapping!$A$2:$A$549,0)),"")</f>
        <v/>
      </c>
      <c r="I30" s="37">
        <f>IF($H30="",0,COUNTIFS('JLR Labour'!$A$2:$A$20001,$H30,'JLR Labour'!$C$2:$C$20001,IF(Settings!$B$2="","&lt;&gt;",Settings!$B$2),'JLR Labour'!$D$2:$D$20001,IF(Settings!$B$3="","&lt;&gt;",Settings!$B$3)))</f>
        <v>0</v>
      </c>
      <c r="J30" s="39">
        <f>IF($I30&lt;&gt;1,0,SUMIFS('JLR Labour'!$E$2:$E$20001,'JLR Labour'!$A$2:$A$20001,$H30,'JLR Labour'!$C$2:$C$20001,IF(Settings!$B$2="","&lt;&gt;",Settings!$B$2),'JLR Labour'!$D$2:$D$20001,IF(Settings!$B$3="","&lt;&gt;",Settings!$B$3)))</f>
        <v>0</v>
      </c>
      <c r="K30" s="39">
        <f>IF($H30="",0,IFERROR(AVERAGEIFS('JLR Machines'!$F$2:$F$20001,'JLR Machines'!$E$2:$E$20001,$H30,'JLR Machines'!$C$2:$C$20001,IF(Settings!$B$2="","&lt;&gt;",Settings!$B$2),'JLR Machines'!$D$2:$D$20001,IF(Settings!$B$3="","&lt;&gt;",Settings!$B$3)),0))</f>
        <v>0</v>
      </c>
      <c r="L30" s="39">
        <f>IF($J30&gt;0,$J30,$K30)</f>
        <v>0</v>
      </c>
      <c r="M30" s="40" t="s">
        <v>2498</v>
      </c>
    </row>
    <row r="31" spans="1:13" x14ac:dyDescent="0.25">
      <c r="A31" s="32" t="s">
        <v>1339</v>
      </c>
      <c r="B31" s="33" t="s">
        <v>2458</v>
      </c>
      <c r="C31" s="33" t="s">
        <v>2455</v>
      </c>
      <c r="D31" s="43">
        <f>IF($L31&gt;0,$L31,3.52)</f>
        <v>3.52</v>
      </c>
      <c r="E31" s="33" t="s">
        <v>2099</v>
      </c>
      <c r="F31" s="36" t="str">
        <f>IF($L31&gt;0,"JLR rate card — labour category "&amp;$H31,$M31)</f>
        <v>India manufacturing wage benchmark Jun 2026 (Pune/Chennai) | Refresh 2026-09: local wages +2.30% (EY Future of Pay 2026: manufacturing/automotive increments 9.5%, one quarter); INR 125.2→127.2 per £</v>
      </c>
      <c r="G31" s="33" t="s">
        <v>1393</v>
      </c>
      <c r="H31" s="37" t="str">
        <f>IFERROR(INDEX(Mapping!$C$2:$C$549,MATCH($A31,Mapping!$A$2:$A$549,0)),"")</f>
        <v/>
      </c>
      <c r="I31" s="37">
        <f>IF($H31="",0,COUNTIFS('JLR Labour'!$A$2:$A$20001,$H31,'JLR Labour'!$C$2:$C$20001,IF(Settings!$B$2="","&lt;&gt;",Settings!$B$2),'JLR Labour'!$D$2:$D$20001,IF(Settings!$B$3="","&lt;&gt;",Settings!$B$3)))</f>
        <v>0</v>
      </c>
      <c r="J31" s="39">
        <f>IF($I31&lt;&gt;1,0,SUMIFS('JLR Labour'!$E$2:$E$20001,'JLR Labour'!$A$2:$A$20001,$H31,'JLR Labour'!$C$2:$C$20001,IF(Settings!$B$2="","&lt;&gt;",Settings!$B$2),'JLR Labour'!$D$2:$D$20001,IF(Settings!$B$3="","&lt;&gt;",Settings!$B$3)))</f>
        <v>0</v>
      </c>
      <c r="K31" s="39">
        <f>IF($H31="",0,IFERROR(AVERAGEIFS('JLR Machines'!$F$2:$F$20001,'JLR Machines'!$E$2:$E$20001,$H31,'JLR Machines'!$C$2:$C$20001,IF(Settings!$B$2="","&lt;&gt;",Settings!$B$2),'JLR Machines'!$D$2:$D$20001,IF(Settings!$B$3="","&lt;&gt;",Settings!$B$3)),0))</f>
        <v>0</v>
      </c>
      <c r="L31" s="39">
        <f>IF($J31&gt;0,$J31,$K31)</f>
        <v>0</v>
      </c>
      <c r="M31" s="40" t="s">
        <v>2499</v>
      </c>
    </row>
    <row r="32" spans="1:13" x14ac:dyDescent="0.25">
      <c r="A32" s="32" t="s">
        <v>1341</v>
      </c>
      <c r="B32" s="33" t="s">
        <v>2458</v>
      </c>
      <c r="C32" s="33" t="s">
        <v>2488</v>
      </c>
      <c r="D32" s="43">
        <f>IF($L32&gt;0,$L32,4.53)</f>
        <v>4.53</v>
      </c>
      <c r="E32" s="33" t="s">
        <v>2099</v>
      </c>
      <c r="F32" s="36" t="str">
        <f>IF($L32&gt;0,"JLR rate card — labour category "&amp;$H32,$M32)</f>
        <v>India EMS operator benchmark Jun 2026 (Bangalore/Chennai) | Refresh 2026-09: local wages +2.30% (EY Future of Pay 2026: manufacturing/automotive increments 9.5%, one quarter); INR 125.2→127.2 per £</v>
      </c>
      <c r="G32" s="33" t="s">
        <v>1393</v>
      </c>
      <c r="H32" s="37" t="str">
        <f>IFERROR(INDEX(Mapping!$C$2:$C$549,MATCH($A32,Mapping!$A$2:$A$549,0)),"")</f>
        <v/>
      </c>
      <c r="I32" s="37">
        <f>IF($H32="",0,COUNTIFS('JLR Labour'!$A$2:$A$20001,$H32,'JLR Labour'!$C$2:$C$20001,IF(Settings!$B$2="","&lt;&gt;",Settings!$B$2),'JLR Labour'!$D$2:$D$20001,IF(Settings!$B$3="","&lt;&gt;",Settings!$B$3)))</f>
        <v>0</v>
      </c>
      <c r="J32" s="39">
        <f>IF($I32&lt;&gt;1,0,SUMIFS('JLR Labour'!$E$2:$E$20001,'JLR Labour'!$A$2:$A$20001,$H32,'JLR Labour'!$C$2:$C$20001,IF(Settings!$B$2="","&lt;&gt;",Settings!$B$2),'JLR Labour'!$D$2:$D$20001,IF(Settings!$B$3="","&lt;&gt;",Settings!$B$3)))</f>
        <v>0</v>
      </c>
      <c r="K32" s="39">
        <f>IF($H32="",0,IFERROR(AVERAGEIFS('JLR Machines'!$F$2:$F$20001,'JLR Machines'!$E$2:$E$20001,$H32,'JLR Machines'!$C$2:$C$20001,IF(Settings!$B$2="","&lt;&gt;",Settings!$B$2),'JLR Machines'!$D$2:$D$20001,IF(Settings!$B$3="","&lt;&gt;",Settings!$B$3)),0))</f>
        <v>0</v>
      </c>
      <c r="L32" s="39">
        <f>IF($J32&gt;0,$J32,$K32)</f>
        <v>0</v>
      </c>
      <c r="M32" s="40" t="s">
        <v>2500</v>
      </c>
    </row>
    <row r="33" spans="1:13" x14ac:dyDescent="0.25">
      <c r="A33" s="32" t="s">
        <v>1343</v>
      </c>
      <c r="B33" s="33" t="s">
        <v>2458</v>
      </c>
      <c r="C33" s="33" t="s">
        <v>2456</v>
      </c>
      <c r="D33" s="43">
        <f>IF($L33&gt;0,$L33,12.08)</f>
        <v>12.08</v>
      </c>
      <c r="E33" s="33" t="s">
        <v>2099</v>
      </c>
      <c r="F33" s="36" t="str">
        <f>IF($L33&gt;0,"JLR rate card — labour category "&amp;$H33,$M33)</f>
        <v>India manufacturing engineer salary benchmark Jun 2026 | Refresh 2026-09: local wages +2.30% (EY Future of Pay 2026: manufacturing/automotive increments 9.5%, one quarter); INR 125.2→127.2 per £</v>
      </c>
      <c r="G33" s="33" t="s">
        <v>1393</v>
      </c>
      <c r="H33" s="37" t="str">
        <f>IFERROR(INDEX(Mapping!$C$2:$C$549,MATCH($A33,Mapping!$A$2:$A$549,0)),"")</f>
        <v/>
      </c>
      <c r="I33" s="37">
        <f>IF($H33="",0,COUNTIFS('JLR Labour'!$A$2:$A$20001,$H33,'JLR Labour'!$C$2:$C$20001,IF(Settings!$B$2="","&lt;&gt;",Settings!$B$2),'JLR Labour'!$D$2:$D$20001,IF(Settings!$B$3="","&lt;&gt;",Settings!$B$3)))</f>
        <v>0</v>
      </c>
      <c r="J33" s="39">
        <f>IF($I33&lt;&gt;1,0,SUMIFS('JLR Labour'!$E$2:$E$20001,'JLR Labour'!$A$2:$A$20001,$H33,'JLR Labour'!$C$2:$C$20001,IF(Settings!$B$2="","&lt;&gt;",Settings!$B$2),'JLR Labour'!$D$2:$D$20001,IF(Settings!$B$3="","&lt;&gt;",Settings!$B$3)))</f>
        <v>0</v>
      </c>
      <c r="K33" s="39">
        <f>IF($H33="",0,IFERROR(AVERAGEIFS('JLR Machines'!$F$2:$F$20001,'JLR Machines'!$E$2:$E$20001,$H33,'JLR Machines'!$C$2:$C$20001,IF(Settings!$B$2="","&lt;&gt;",Settings!$B$2),'JLR Machines'!$D$2:$D$20001,IF(Settings!$B$3="","&lt;&gt;",Settings!$B$3)),0))</f>
        <v>0</v>
      </c>
      <c r="L33" s="39">
        <f>IF($J33&gt;0,$J33,$K33)</f>
        <v>0</v>
      </c>
      <c r="M33" s="40" t="s">
        <v>2501</v>
      </c>
    </row>
    <row r="34" spans="1:13" x14ac:dyDescent="0.25">
      <c r="A34" s="32" t="s">
        <v>1345</v>
      </c>
      <c r="B34" s="33" t="s">
        <v>2486</v>
      </c>
      <c r="C34" s="33" t="s">
        <v>2455</v>
      </c>
      <c r="D34" s="43">
        <f>IF($L34&gt;0,$L34,5.71)</f>
        <v>5.71</v>
      </c>
      <c r="E34" s="33" t="s">
        <v>2099</v>
      </c>
      <c r="F34" s="36" t="str">
        <f>IF($L34&gt;0,"JLR rate card — labour category "&amp;$H34,$M34)</f>
        <v>Mexico manufacturing wage benchmark Jun 2026 (Monterrey/Juárez, IMSS included) | Refresh 2026-09: local wages +1.44% (IMSS average registered wage +5.9% y/y (Jul 2026), one quarter); MXN 23.15→23.84 per £</v>
      </c>
      <c r="G34" s="33" t="s">
        <v>1393</v>
      </c>
      <c r="H34" s="37" t="str">
        <f>IFERROR(INDEX(Mapping!$C$2:$C$549,MATCH($A34,Mapping!$A$2:$A$549,0)),"")</f>
        <v/>
      </c>
      <c r="I34" s="37">
        <f>IF($H34="",0,COUNTIFS('JLR Labour'!$A$2:$A$20001,$H34,'JLR Labour'!$C$2:$C$20001,IF(Settings!$B$2="","&lt;&gt;",Settings!$B$2),'JLR Labour'!$D$2:$D$20001,IF(Settings!$B$3="","&lt;&gt;",Settings!$B$3)))</f>
        <v>0</v>
      </c>
      <c r="J34" s="39">
        <f>IF($I34&lt;&gt;1,0,SUMIFS('JLR Labour'!$E$2:$E$20001,'JLR Labour'!$A$2:$A$20001,$H34,'JLR Labour'!$C$2:$C$20001,IF(Settings!$B$2="","&lt;&gt;",Settings!$B$2),'JLR Labour'!$D$2:$D$20001,IF(Settings!$B$3="","&lt;&gt;",Settings!$B$3)))</f>
        <v>0</v>
      </c>
      <c r="K34" s="39">
        <f>IF($H34="",0,IFERROR(AVERAGEIFS('JLR Machines'!$F$2:$F$20001,'JLR Machines'!$E$2:$E$20001,$H34,'JLR Machines'!$C$2:$C$20001,IF(Settings!$B$2="","&lt;&gt;",Settings!$B$2),'JLR Machines'!$D$2:$D$20001,IF(Settings!$B$3="","&lt;&gt;",Settings!$B$3)),0))</f>
        <v>0</v>
      </c>
      <c r="L34" s="39">
        <f>IF($J34&gt;0,$J34,$K34)</f>
        <v>0</v>
      </c>
      <c r="M34" s="40" t="s">
        <v>2502</v>
      </c>
    </row>
    <row r="35" spans="1:13" x14ac:dyDescent="0.25">
      <c r="A35" s="32" t="s">
        <v>1347</v>
      </c>
      <c r="B35" s="33" t="s">
        <v>2486</v>
      </c>
      <c r="C35" s="33" t="s">
        <v>2488</v>
      </c>
      <c r="D35" s="43">
        <f>IF($L35&gt;0,$L35,6.4)</f>
        <v>6.4</v>
      </c>
      <c r="E35" s="33" t="s">
        <v>2099</v>
      </c>
      <c r="F35" s="36" t="str">
        <f>IF($L35&gt;0,"JLR rate card — labour category "&amp;$H35,$M35)</f>
        <v>Mexico EMS operator benchmark Jun 2026 (Juárez/Tijuana, IMSS included) | Refresh 2026-09: local wages +1.44% (IMSS average registered wage +5.9% y/y (Jul 2026), one quarter); MXN 23.15→23.84 per £</v>
      </c>
      <c r="G35" s="33" t="s">
        <v>1393</v>
      </c>
      <c r="H35" s="37" t="str">
        <f>IFERROR(INDEX(Mapping!$C$2:$C$549,MATCH($A35,Mapping!$A$2:$A$549,0)),"")</f>
        <v/>
      </c>
      <c r="I35" s="37">
        <f>IF($H35="",0,COUNTIFS('JLR Labour'!$A$2:$A$20001,$H35,'JLR Labour'!$C$2:$C$20001,IF(Settings!$B$2="","&lt;&gt;",Settings!$B$2),'JLR Labour'!$D$2:$D$20001,IF(Settings!$B$3="","&lt;&gt;",Settings!$B$3)))</f>
        <v>0</v>
      </c>
      <c r="J35" s="39">
        <f>IF($I35&lt;&gt;1,0,SUMIFS('JLR Labour'!$E$2:$E$20001,'JLR Labour'!$A$2:$A$20001,$H35,'JLR Labour'!$C$2:$C$20001,IF(Settings!$B$2="","&lt;&gt;",Settings!$B$2),'JLR Labour'!$D$2:$D$20001,IF(Settings!$B$3="","&lt;&gt;",Settings!$B$3)))</f>
        <v>0</v>
      </c>
      <c r="K35" s="39">
        <f>IF($H35="",0,IFERROR(AVERAGEIFS('JLR Machines'!$F$2:$F$20001,'JLR Machines'!$E$2:$E$20001,$H35,'JLR Machines'!$C$2:$C$20001,IF(Settings!$B$2="","&lt;&gt;",Settings!$B$2),'JLR Machines'!$D$2:$D$20001,IF(Settings!$B$3="","&lt;&gt;",Settings!$B$3)),0))</f>
        <v>0</v>
      </c>
      <c r="L35" s="39">
        <f>IF($J35&gt;0,$J35,$K35)</f>
        <v>0</v>
      </c>
      <c r="M35" s="40" t="s">
        <v>2503</v>
      </c>
    </row>
    <row r="36" spans="1:13" x14ac:dyDescent="0.25">
      <c r="A36" s="32" t="s">
        <v>1349</v>
      </c>
      <c r="B36" s="33" t="s">
        <v>2504</v>
      </c>
      <c r="C36" s="33" t="s">
        <v>2452</v>
      </c>
      <c r="D36" s="43">
        <f>IF($L36&gt;0,$L36,8.66)</f>
        <v>8.66</v>
      </c>
      <c r="E36" s="33" t="s">
        <v>2099</v>
      </c>
      <c r="F36" s="36" t="str">
        <f>IF($L36&gt;0,"JLR rate card — labour category "&amp;$H36,$M36)</f>
        <v>Turkey manufacturing wage benchmark Jun 2026 (Bursa/İzmir, SGK included) | Refresh 2026-09: local wages +7.00% (TurkStat gross wages in manufacturing index Q1→Q2 2026 +7.0% q/q, carried into Q3); TRY 61.74→64.86 per £</v>
      </c>
      <c r="G36" s="33" t="s">
        <v>1393</v>
      </c>
      <c r="H36" s="37" t="str">
        <f>IFERROR(INDEX(Mapping!$C$2:$C$549,MATCH($A36,Mapping!$A$2:$A$549,0)),"")</f>
        <v/>
      </c>
      <c r="I36" s="37">
        <f>IF($H36="",0,COUNTIFS('JLR Labour'!$A$2:$A$20001,$H36,'JLR Labour'!$C$2:$C$20001,IF(Settings!$B$2="","&lt;&gt;",Settings!$B$2),'JLR Labour'!$D$2:$D$20001,IF(Settings!$B$3="","&lt;&gt;",Settings!$B$3)))</f>
        <v>0</v>
      </c>
      <c r="J36" s="39">
        <f>IF($I36&lt;&gt;1,0,SUMIFS('JLR Labour'!$E$2:$E$20001,'JLR Labour'!$A$2:$A$20001,$H36,'JLR Labour'!$C$2:$C$20001,IF(Settings!$B$2="","&lt;&gt;",Settings!$B$2),'JLR Labour'!$D$2:$D$20001,IF(Settings!$B$3="","&lt;&gt;",Settings!$B$3)))</f>
        <v>0</v>
      </c>
      <c r="K36" s="39">
        <f>IF($H36="",0,IFERROR(AVERAGEIFS('JLR Machines'!$F$2:$F$20001,'JLR Machines'!$E$2:$E$20001,$H36,'JLR Machines'!$C$2:$C$20001,IF(Settings!$B$2="","&lt;&gt;",Settings!$B$2),'JLR Machines'!$D$2:$D$20001,IF(Settings!$B$3="","&lt;&gt;",Settings!$B$3)),0))</f>
        <v>0</v>
      </c>
      <c r="L36" s="39">
        <f>IF($J36&gt;0,$J36,$K36)</f>
        <v>0</v>
      </c>
      <c r="M36" s="40" t="s">
        <v>2505</v>
      </c>
    </row>
    <row r="37" spans="1:13" x14ac:dyDescent="0.25">
      <c r="A37" s="32" t="s">
        <v>1351</v>
      </c>
      <c r="B37" s="33" t="s">
        <v>2504</v>
      </c>
      <c r="C37" s="33" t="s">
        <v>2455</v>
      </c>
      <c r="D37" s="43">
        <f>IF($L37&gt;0,$L37,6.11)</f>
        <v>6.11</v>
      </c>
      <c r="E37" s="33" t="s">
        <v>2099</v>
      </c>
      <c r="F37" s="36" t="str">
        <f>IF($L37&gt;0,"JLR rate card — labour category "&amp;$H37,$M37)</f>
        <v>Turkey manufacturing wage benchmark Jun 2026 (SGK included) | Refresh 2026-09: local wages +7.00% (TurkStat gross wages in manufacturing index Q1→Q2 2026 +7.0% q/q, carried into Q3); TRY 61.74→64.86 per £</v>
      </c>
      <c r="G37" s="33" t="s">
        <v>1393</v>
      </c>
      <c r="H37" s="37" t="str">
        <f>IFERROR(INDEX(Mapping!$C$2:$C$549,MATCH($A37,Mapping!$A$2:$A$549,0)),"")</f>
        <v/>
      </c>
      <c r="I37" s="37">
        <f>IF($H37="",0,COUNTIFS('JLR Labour'!$A$2:$A$20001,$H37,'JLR Labour'!$C$2:$C$20001,IF(Settings!$B$2="","&lt;&gt;",Settings!$B$2),'JLR Labour'!$D$2:$D$20001,IF(Settings!$B$3="","&lt;&gt;",Settings!$B$3)))</f>
        <v>0</v>
      </c>
      <c r="J37" s="39">
        <f>IF($I37&lt;&gt;1,0,SUMIFS('JLR Labour'!$E$2:$E$20001,'JLR Labour'!$A$2:$A$20001,$H37,'JLR Labour'!$C$2:$C$20001,IF(Settings!$B$2="","&lt;&gt;",Settings!$B$2),'JLR Labour'!$D$2:$D$20001,IF(Settings!$B$3="","&lt;&gt;",Settings!$B$3)))</f>
        <v>0</v>
      </c>
      <c r="K37" s="39">
        <f>IF($H37="",0,IFERROR(AVERAGEIFS('JLR Machines'!$F$2:$F$20001,'JLR Machines'!$E$2:$E$20001,$H37,'JLR Machines'!$C$2:$C$20001,IF(Settings!$B$2="","&lt;&gt;",Settings!$B$2),'JLR Machines'!$D$2:$D$20001,IF(Settings!$B$3="","&lt;&gt;",Settings!$B$3)),0))</f>
        <v>0</v>
      </c>
      <c r="L37" s="39">
        <f>IF($J37&gt;0,$J37,$K37)</f>
        <v>0</v>
      </c>
      <c r="M37" s="40" t="s">
        <v>2506</v>
      </c>
    </row>
    <row r="38" spans="1:13" x14ac:dyDescent="0.25">
      <c r="A38" s="32" t="s">
        <v>1353</v>
      </c>
      <c r="B38" s="33" t="s">
        <v>2507</v>
      </c>
      <c r="C38" s="33" t="s">
        <v>2452</v>
      </c>
      <c r="D38" s="43">
        <f>IF($L38&gt;0,$L38,4.12)</f>
        <v>4.12</v>
      </c>
      <c r="E38" s="33" t="s">
        <v>2099</v>
      </c>
      <c r="F38" s="36" t="str">
        <f>IF($L38&gt;0,"JLR rate card — labour category "&amp;$H38,$M38)</f>
        <v>Vietnam manufacturing wage benchmark Jun 2026 (Ho Chi Minh / Hanoi) | Refresh 2026-09: local wages +1.73% (2026 projected wage increase 7.1%, one quarter); VND 34814→34350 per £</v>
      </c>
      <c r="G38" s="33" t="s">
        <v>1393</v>
      </c>
      <c r="H38" s="37" t="str">
        <f>IFERROR(INDEX(Mapping!$C$2:$C$549,MATCH($A38,Mapping!$A$2:$A$549,0)),"")</f>
        <v/>
      </c>
      <c r="I38" s="37">
        <f>IF($H38="",0,COUNTIFS('JLR Labour'!$A$2:$A$20001,$H38,'JLR Labour'!$C$2:$C$20001,IF(Settings!$B$2="","&lt;&gt;",Settings!$B$2),'JLR Labour'!$D$2:$D$20001,IF(Settings!$B$3="","&lt;&gt;",Settings!$B$3)))</f>
        <v>0</v>
      </c>
      <c r="J38" s="39">
        <f>IF($I38&lt;&gt;1,0,SUMIFS('JLR Labour'!$E$2:$E$20001,'JLR Labour'!$A$2:$A$20001,$H38,'JLR Labour'!$C$2:$C$20001,IF(Settings!$B$2="","&lt;&gt;",Settings!$B$2),'JLR Labour'!$D$2:$D$20001,IF(Settings!$B$3="","&lt;&gt;",Settings!$B$3)))</f>
        <v>0</v>
      </c>
      <c r="K38" s="39">
        <f>IF($H38="",0,IFERROR(AVERAGEIFS('JLR Machines'!$F$2:$F$20001,'JLR Machines'!$E$2:$E$20001,$H38,'JLR Machines'!$C$2:$C$20001,IF(Settings!$B$2="","&lt;&gt;",Settings!$B$2),'JLR Machines'!$D$2:$D$20001,IF(Settings!$B$3="","&lt;&gt;",Settings!$B$3)),0))</f>
        <v>0</v>
      </c>
      <c r="L38" s="39">
        <f>IF($J38&gt;0,$J38,$K38)</f>
        <v>0</v>
      </c>
      <c r="M38" s="40" t="s">
        <v>2508</v>
      </c>
    </row>
    <row r="39" spans="1:13" x14ac:dyDescent="0.25">
      <c r="A39" s="32" t="s">
        <v>1355</v>
      </c>
      <c r="B39" s="33" t="s">
        <v>2507</v>
      </c>
      <c r="C39" s="33" t="s">
        <v>2455</v>
      </c>
      <c r="D39" s="43">
        <f>IF($L39&gt;0,$L39,2.89)</f>
        <v>2.89</v>
      </c>
      <c r="E39" s="33" t="s">
        <v>2099</v>
      </c>
      <c r="F39" s="36" t="str">
        <f>IF($L39&gt;0,"JLR rate card — labour category "&amp;$H39,$M39)</f>
        <v>Vietnam manufacturing wage benchmark Jun 2026 | Refresh 2026-09: local wages +1.73% (2026 projected wage increase 7.1%, one quarter); VND 34814→34350 per £</v>
      </c>
      <c r="G39" s="33" t="s">
        <v>1393</v>
      </c>
      <c r="H39" s="37" t="str">
        <f>IFERROR(INDEX(Mapping!$C$2:$C$549,MATCH($A39,Mapping!$A$2:$A$549,0)),"")</f>
        <v/>
      </c>
      <c r="I39" s="37">
        <f>IF($H39="",0,COUNTIFS('JLR Labour'!$A$2:$A$20001,$H39,'JLR Labour'!$C$2:$C$20001,IF(Settings!$B$2="","&lt;&gt;",Settings!$B$2),'JLR Labour'!$D$2:$D$20001,IF(Settings!$B$3="","&lt;&gt;",Settings!$B$3)))</f>
        <v>0</v>
      </c>
      <c r="J39" s="39">
        <f>IF($I39&lt;&gt;1,0,SUMIFS('JLR Labour'!$E$2:$E$20001,'JLR Labour'!$A$2:$A$20001,$H39,'JLR Labour'!$C$2:$C$20001,IF(Settings!$B$2="","&lt;&gt;",Settings!$B$2),'JLR Labour'!$D$2:$D$20001,IF(Settings!$B$3="","&lt;&gt;",Settings!$B$3)))</f>
        <v>0</v>
      </c>
      <c r="K39" s="39">
        <f>IF($H39="",0,IFERROR(AVERAGEIFS('JLR Machines'!$F$2:$F$20001,'JLR Machines'!$E$2:$E$20001,$H39,'JLR Machines'!$C$2:$C$20001,IF(Settings!$B$2="","&lt;&gt;",Settings!$B$2),'JLR Machines'!$D$2:$D$20001,IF(Settings!$B$3="","&lt;&gt;",Settings!$B$3)),0))</f>
        <v>0</v>
      </c>
      <c r="L39" s="39">
        <f>IF($J39&gt;0,$J39,$K39)</f>
        <v>0</v>
      </c>
      <c r="M39" s="40" t="s">
        <v>2509</v>
      </c>
    </row>
    <row r="40" spans="1:13" x14ac:dyDescent="0.25">
      <c r="A40" s="32" t="s">
        <v>1357</v>
      </c>
      <c r="B40" s="33" t="s">
        <v>2510</v>
      </c>
      <c r="C40" s="33" t="s">
        <v>2452</v>
      </c>
      <c r="D40" s="43">
        <f>IF($L40&gt;0,$L40,25.44)</f>
        <v>25.44</v>
      </c>
      <c r="E40" s="33" t="s">
        <v>2099</v>
      </c>
      <c r="F40" s="36" t="str">
        <f>IF($L40&gt;0,"JLR rate card — labour category "&amp;$H40,$M40)</f>
        <v>Korea manufacturing wage benchmark Jun 2026 (Ulsan/Busan, incl. health + pension) | Refresh 2026-09: local wages +1.44% (MoEL manufacturing wages H1 2026 +5.9% y/y, one quarter); KRW 2049.5→1798 per £</v>
      </c>
      <c r="G40" s="33" t="s">
        <v>1393</v>
      </c>
      <c r="H40" s="37" t="str">
        <f>IFERROR(INDEX(Mapping!$C$2:$C$549,MATCH($A40,Mapping!$A$2:$A$549,0)),"")</f>
        <v/>
      </c>
      <c r="I40" s="37">
        <f>IF($H40="",0,COUNTIFS('JLR Labour'!$A$2:$A$20001,$H40,'JLR Labour'!$C$2:$C$20001,IF(Settings!$B$2="","&lt;&gt;",Settings!$B$2),'JLR Labour'!$D$2:$D$20001,IF(Settings!$B$3="","&lt;&gt;",Settings!$B$3)))</f>
        <v>0</v>
      </c>
      <c r="J40" s="39">
        <f>IF($I40&lt;&gt;1,0,SUMIFS('JLR Labour'!$E$2:$E$20001,'JLR Labour'!$A$2:$A$20001,$H40,'JLR Labour'!$C$2:$C$20001,IF(Settings!$B$2="","&lt;&gt;",Settings!$B$2),'JLR Labour'!$D$2:$D$20001,IF(Settings!$B$3="","&lt;&gt;",Settings!$B$3)))</f>
        <v>0</v>
      </c>
      <c r="K40" s="39">
        <f>IF($H40="",0,IFERROR(AVERAGEIFS('JLR Machines'!$F$2:$F$20001,'JLR Machines'!$E$2:$E$20001,$H40,'JLR Machines'!$C$2:$C$20001,IF(Settings!$B$2="","&lt;&gt;",Settings!$B$2),'JLR Machines'!$D$2:$D$20001,IF(Settings!$B$3="","&lt;&gt;",Settings!$B$3)),0))</f>
        <v>0</v>
      </c>
      <c r="L40" s="39">
        <f>IF($J40&gt;0,$J40,$K40)</f>
        <v>0</v>
      </c>
      <c r="M40" s="40" t="s">
        <v>2511</v>
      </c>
    </row>
    <row r="41" spans="1:13" x14ac:dyDescent="0.25">
      <c r="A41" s="32" t="s">
        <v>1359</v>
      </c>
      <c r="B41" s="33" t="s">
        <v>2510</v>
      </c>
      <c r="C41" s="33" t="s">
        <v>2488</v>
      </c>
      <c r="D41" s="43">
        <f>IF($L41&gt;0,$L41,21.39)</f>
        <v>21.39</v>
      </c>
      <c r="E41" s="33" t="s">
        <v>2099</v>
      </c>
      <c r="F41" s="36" t="str">
        <f>IF($L41&gt;0,"JLR rate card — labour category "&amp;$H41,$M41)</f>
        <v>Korea EMS operator benchmark Jun 2026 (Suwon/Gumi) | Refresh 2026-09: local wages +1.44% (MoEL manufacturing wages H1 2026 +5.9% y/y, one quarter); KRW 2049.5→1798 per £</v>
      </c>
      <c r="G41" s="33" t="s">
        <v>1393</v>
      </c>
      <c r="H41" s="37" t="str">
        <f>IFERROR(INDEX(Mapping!$C$2:$C$549,MATCH($A41,Mapping!$A$2:$A$549,0)),"")</f>
        <v/>
      </c>
      <c r="I41" s="37">
        <f>IF($H41="",0,COUNTIFS('JLR Labour'!$A$2:$A$20001,$H41,'JLR Labour'!$C$2:$C$20001,IF(Settings!$B$2="","&lt;&gt;",Settings!$B$2),'JLR Labour'!$D$2:$D$20001,IF(Settings!$B$3="","&lt;&gt;",Settings!$B$3)))</f>
        <v>0</v>
      </c>
      <c r="J41" s="39">
        <f>IF($I41&lt;&gt;1,0,SUMIFS('JLR Labour'!$E$2:$E$20001,'JLR Labour'!$A$2:$A$20001,$H41,'JLR Labour'!$C$2:$C$20001,IF(Settings!$B$2="","&lt;&gt;",Settings!$B$2),'JLR Labour'!$D$2:$D$20001,IF(Settings!$B$3="","&lt;&gt;",Settings!$B$3)))</f>
        <v>0</v>
      </c>
      <c r="K41" s="39">
        <f>IF($H41="",0,IFERROR(AVERAGEIFS('JLR Machines'!$F$2:$F$20001,'JLR Machines'!$E$2:$E$20001,$H41,'JLR Machines'!$C$2:$C$20001,IF(Settings!$B$2="","&lt;&gt;",Settings!$B$2),'JLR Machines'!$D$2:$D$20001,IF(Settings!$B$3="","&lt;&gt;",Settings!$B$3)),0))</f>
        <v>0</v>
      </c>
      <c r="L41" s="39">
        <f>IF($J41&gt;0,$J41,$K41)</f>
        <v>0</v>
      </c>
      <c r="M41" s="40" t="s">
        <v>2512</v>
      </c>
    </row>
    <row r="42" spans="1:13" x14ac:dyDescent="0.25">
      <c r="A42" s="32" t="s">
        <v>1361</v>
      </c>
      <c r="B42" s="33" t="s">
        <v>2513</v>
      </c>
      <c r="C42" s="33" t="s">
        <v>2452</v>
      </c>
      <c r="D42" s="43">
        <f>IF($L42&gt;0,$L42,7.95)</f>
        <v>7.95</v>
      </c>
      <c r="E42" s="33" t="s">
        <v>2099</v>
      </c>
      <c r="F42" s="36" t="str">
        <f>IF($L42&gt;0,"JLR rate card — labour category "&amp;$H42,$M42)</f>
        <v>Romania manufacturing wage benchmark Jun 2026 (Cluj/Timișoara, CAS included) | Refresh 2026-09: local wages +0.45% (Eurostat hourly wage cost Q2 2026 +1.8% y/y, one quarter); RON 6.086→6.151 per £</v>
      </c>
      <c r="G42" s="33" t="s">
        <v>1393</v>
      </c>
      <c r="H42" s="37" t="str">
        <f>IFERROR(INDEX(Mapping!$C$2:$C$549,MATCH($A42,Mapping!$A$2:$A$549,0)),"")</f>
        <v/>
      </c>
      <c r="I42" s="37">
        <f>IF($H42="",0,COUNTIFS('JLR Labour'!$A$2:$A$20001,$H42,'JLR Labour'!$C$2:$C$20001,IF(Settings!$B$2="","&lt;&gt;",Settings!$B$2),'JLR Labour'!$D$2:$D$20001,IF(Settings!$B$3="","&lt;&gt;",Settings!$B$3)))</f>
        <v>0</v>
      </c>
      <c r="J42" s="39">
        <f>IF($I42&lt;&gt;1,0,SUMIFS('JLR Labour'!$E$2:$E$20001,'JLR Labour'!$A$2:$A$20001,$H42,'JLR Labour'!$C$2:$C$20001,IF(Settings!$B$2="","&lt;&gt;",Settings!$B$2),'JLR Labour'!$D$2:$D$20001,IF(Settings!$B$3="","&lt;&gt;",Settings!$B$3)))</f>
        <v>0</v>
      </c>
      <c r="K42" s="39">
        <f>IF($H42="",0,IFERROR(AVERAGEIFS('JLR Machines'!$F$2:$F$20001,'JLR Machines'!$E$2:$E$20001,$H42,'JLR Machines'!$C$2:$C$20001,IF(Settings!$B$2="","&lt;&gt;",Settings!$B$2),'JLR Machines'!$D$2:$D$20001,IF(Settings!$B$3="","&lt;&gt;",Settings!$B$3)),0))</f>
        <v>0</v>
      </c>
      <c r="L42" s="39">
        <f>IF($J42&gt;0,$J42,$K42)</f>
        <v>0</v>
      </c>
      <c r="M42" s="40" t="s">
        <v>2514</v>
      </c>
    </row>
    <row r="43" spans="1:13" x14ac:dyDescent="0.25">
      <c r="A43" s="32" t="s">
        <v>1363</v>
      </c>
      <c r="B43" s="33" t="s">
        <v>2513</v>
      </c>
      <c r="C43" s="33" t="s">
        <v>2455</v>
      </c>
      <c r="D43" s="43">
        <f>IF($L43&gt;0,$L43,6.46)</f>
        <v>6.46</v>
      </c>
      <c r="E43" s="33" t="s">
        <v>2099</v>
      </c>
      <c r="F43" s="36" t="str">
        <f>IF($L43&gt;0,"JLR rate card — labour category "&amp;$H43,$M43)</f>
        <v>Romania manufacturing wage benchmark Jun 2026 (CAS included) | Refresh 2026-09: local wages +0.45% (Eurostat hourly wage cost Q2 2026 +1.8% y/y, one quarter); RON 6.086→6.151 per £</v>
      </c>
      <c r="G43" s="33" t="s">
        <v>1393</v>
      </c>
      <c r="H43" s="37" t="str">
        <f>IFERROR(INDEX(Mapping!$C$2:$C$549,MATCH($A43,Mapping!$A$2:$A$549,0)),"")</f>
        <v/>
      </c>
      <c r="I43" s="37">
        <f>IF($H43="",0,COUNTIFS('JLR Labour'!$A$2:$A$20001,$H43,'JLR Labour'!$C$2:$C$20001,IF(Settings!$B$2="","&lt;&gt;",Settings!$B$2),'JLR Labour'!$D$2:$D$20001,IF(Settings!$B$3="","&lt;&gt;",Settings!$B$3)))</f>
        <v>0</v>
      </c>
      <c r="J43" s="39">
        <f>IF($I43&lt;&gt;1,0,SUMIFS('JLR Labour'!$E$2:$E$20001,'JLR Labour'!$A$2:$A$20001,$H43,'JLR Labour'!$C$2:$C$20001,IF(Settings!$B$2="","&lt;&gt;",Settings!$B$2),'JLR Labour'!$D$2:$D$20001,IF(Settings!$B$3="","&lt;&gt;",Settings!$B$3)))</f>
        <v>0</v>
      </c>
      <c r="K43" s="39">
        <f>IF($H43="",0,IFERROR(AVERAGEIFS('JLR Machines'!$F$2:$F$20001,'JLR Machines'!$E$2:$E$20001,$H43,'JLR Machines'!$C$2:$C$20001,IF(Settings!$B$2="","&lt;&gt;",Settings!$B$2),'JLR Machines'!$D$2:$D$20001,IF(Settings!$B$3="","&lt;&gt;",Settings!$B$3)),0))</f>
        <v>0</v>
      </c>
      <c r="L43" s="39">
        <f>IF($J43&gt;0,$J43,$K43)</f>
        <v>0</v>
      </c>
      <c r="M43" s="40" t="s">
        <v>2515</v>
      </c>
    </row>
  </sheetData>
  <autoFilter ref="A1:M1"/>
  <pageMargins left="0.4" right="0.4" top="0.5" bottom="0.5" header="0.3" footer="0.3"/>
  <pageSetup orientation="portrait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94A6"/>
    <pageSetUpPr fitToPage="1"/>
  </sheetPr>
  <dimension ref="A1:G1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 defaultColWidth="12"/>
  <cols>
    <col min="1" max="1" width="24" customWidth="1"/>
    <col min="2" max="2" width="12" customWidth="1"/>
    <col min="3" max="3" width="19" customWidth="1"/>
    <col min="4" max="4" width="15" customWidth="1"/>
    <col min="5" max="5" width="14" customWidth="1"/>
    <col min="6" max="6" width="40" customWidth="1"/>
    <col min="7" max="7" width="12" customWidth="1"/>
  </cols>
  <sheetData>
    <row r="1" ht="30" customHeight="1" spans="1:7" x14ac:dyDescent="0.25">
      <c r="A1" s="20" t="s">
        <v>1365</v>
      </c>
      <c r="B1" s="20" t="s">
        <v>1368</v>
      </c>
      <c r="C1" s="20" t="s">
        <v>2516</v>
      </c>
      <c r="D1" s="20" t="s">
        <v>2517</v>
      </c>
      <c r="E1" s="20" t="s">
        <v>1369</v>
      </c>
      <c r="F1" s="20" t="s">
        <v>1370</v>
      </c>
      <c r="G1" s="20" t="s">
        <v>1371</v>
      </c>
    </row>
    <row r="2" spans="1:7" x14ac:dyDescent="0.25">
      <c r="A2" s="32" t="s">
        <v>2518</v>
      </c>
      <c r="B2" s="33" t="s">
        <v>1379</v>
      </c>
      <c r="C2" s="44">
        <v>0.268</v>
      </c>
      <c r="D2" s="44">
        <v>0.067</v>
      </c>
      <c r="E2" s="33" t="s">
        <v>2099</v>
      </c>
      <c r="F2" s="33" t="s">
        <v>2519</v>
      </c>
      <c r="G2" s="33" t="s">
        <v>2453</v>
      </c>
    </row>
    <row r="3" spans="1:7" x14ac:dyDescent="0.25">
      <c r="A3" s="32" t="s">
        <v>2520</v>
      </c>
      <c r="B3" s="33" t="s">
        <v>2521</v>
      </c>
      <c r="C3" s="44">
        <v>0.184</v>
      </c>
      <c r="D3" s="44">
        <v>0.066</v>
      </c>
      <c r="E3" s="33" t="s">
        <v>2099</v>
      </c>
      <c r="F3" s="33" t="s">
        <v>2522</v>
      </c>
      <c r="G3" s="33" t="s">
        <v>1380</v>
      </c>
    </row>
    <row r="4" spans="1:7" x14ac:dyDescent="0.25">
      <c r="A4" s="32" t="s">
        <v>2523</v>
      </c>
      <c r="B4" s="33" t="s">
        <v>2482</v>
      </c>
      <c r="C4" s="44">
        <v>0.199</v>
      </c>
      <c r="D4" s="44">
        <v>0.068</v>
      </c>
      <c r="E4" s="33" t="s">
        <v>2099</v>
      </c>
      <c r="F4" s="33" t="s">
        <v>2524</v>
      </c>
      <c r="G4" s="33" t="s">
        <v>1380</v>
      </c>
    </row>
    <row r="5" spans="1:7" x14ac:dyDescent="0.25">
      <c r="A5" s="32" t="s">
        <v>2525</v>
      </c>
      <c r="B5" s="33" t="s">
        <v>2484</v>
      </c>
      <c r="C5" s="44">
        <v>0.137</v>
      </c>
      <c r="D5" s="44">
        <v>0.08</v>
      </c>
      <c r="E5" s="33" t="s">
        <v>2099</v>
      </c>
      <c r="F5" s="33" t="s">
        <v>2526</v>
      </c>
      <c r="G5" s="33" t="s">
        <v>1393</v>
      </c>
    </row>
    <row r="6" spans="1:7" x14ac:dyDescent="0.25">
      <c r="A6" s="32" t="s">
        <v>2527</v>
      </c>
      <c r="B6" s="33" t="s">
        <v>2460</v>
      </c>
      <c r="C6" s="44">
        <v>0.071</v>
      </c>
      <c r="D6" s="44">
        <v>0.03</v>
      </c>
      <c r="E6" s="33" t="s">
        <v>2099</v>
      </c>
      <c r="F6" s="33" t="s">
        <v>2528</v>
      </c>
      <c r="G6" s="33" t="s">
        <v>1393</v>
      </c>
    </row>
    <row r="7" spans="1:7" x14ac:dyDescent="0.25">
      <c r="A7" s="32" t="s">
        <v>2529</v>
      </c>
      <c r="B7" s="33" t="s">
        <v>2458</v>
      </c>
      <c r="C7" s="44">
        <v>0.069</v>
      </c>
      <c r="D7" s="44">
        <v>0.03</v>
      </c>
      <c r="E7" s="33" t="s">
        <v>2099</v>
      </c>
      <c r="F7" s="33" t="s">
        <v>2530</v>
      </c>
      <c r="G7" s="33" t="s">
        <v>1393</v>
      </c>
    </row>
    <row r="8" spans="1:7" x14ac:dyDescent="0.25">
      <c r="A8" s="32" t="s">
        <v>2531</v>
      </c>
      <c r="B8" s="33" t="s">
        <v>2486</v>
      </c>
      <c r="C8" s="44">
        <v>0.078</v>
      </c>
      <c r="D8" s="44">
        <v>0.039</v>
      </c>
      <c r="E8" s="33" t="s">
        <v>2099</v>
      </c>
      <c r="F8" s="33" t="s">
        <v>2532</v>
      </c>
      <c r="G8" s="33" t="s">
        <v>1393</v>
      </c>
    </row>
    <row r="9" spans="1:7" x14ac:dyDescent="0.25">
      <c r="A9" s="32" t="s">
        <v>2533</v>
      </c>
      <c r="B9" s="33" t="s">
        <v>2504</v>
      </c>
      <c r="C9" s="44">
        <v>0.086</v>
      </c>
      <c r="D9" s="44">
        <v>0.038</v>
      </c>
      <c r="E9" s="33" t="s">
        <v>2099</v>
      </c>
      <c r="F9" s="33" t="s">
        <v>2534</v>
      </c>
      <c r="G9" s="33" t="s">
        <v>1393</v>
      </c>
    </row>
    <row r="10" spans="1:7" x14ac:dyDescent="0.25">
      <c r="A10" s="32" t="s">
        <v>2535</v>
      </c>
      <c r="B10" s="33" t="s">
        <v>2510</v>
      </c>
      <c r="C10" s="44">
        <v>0.148</v>
      </c>
      <c r="D10" s="44">
        <v>0.068</v>
      </c>
      <c r="E10" s="33" t="s">
        <v>2099</v>
      </c>
      <c r="F10" s="33" t="s">
        <v>2536</v>
      </c>
      <c r="G10" s="33" t="s">
        <v>1393</v>
      </c>
    </row>
    <row r="11" spans="1:7" x14ac:dyDescent="0.25">
      <c r="A11" s="32" t="s">
        <v>2537</v>
      </c>
      <c r="B11" s="33" t="s">
        <v>2507</v>
      </c>
      <c r="C11" s="44">
        <v>0.061</v>
      </c>
      <c r="D11" s="44">
        <v>0.03</v>
      </c>
      <c r="E11" s="33" t="s">
        <v>2099</v>
      </c>
      <c r="F11" s="33" t="s">
        <v>2538</v>
      </c>
      <c r="G11" s="33" t="s">
        <v>1393</v>
      </c>
    </row>
    <row r="12" spans="1:7" x14ac:dyDescent="0.25">
      <c r="A12" s="32" t="s">
        <v>2539</v>
      </c>
      <c r="B12" s="33" t="s">
        <v>2513</v>
      </c>
      <c r="C12" s="44">
        <v>0.109</v>
      </c>
      <c r="D12" s="44">
        <v>0.07</v>
      </c>
      <c r="E12" s="33" t="s">
        <v>2099</v>
      </c>
      <c r="F12" s="33" t="s">
        <v>2540</v>
      </c>
      <c r="G12" s="33" t="s">
        <v>1393</v>
      </c>
    </row>
  </sheetData>
  <autoFilter ref="A1:G1"/>
  <pageMargins left="0.4" right="0.4" top="0.5" bottom="0.5" header="0.3" footer="0.3"/>
  <pageSetup orientation="portrait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94A6"/>
    <pageSetUpPr fitToPage="1"/>
  </sheetPr>
  <dimension ref="A1:F1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 defaultColWidth="12"/>
  <cols>
    <col min="1" max="1" width="18" customWidth="1"/>
    <col min="2" max="2" width="15" customWidth="1"/>
    <col min="3" max="4" width="13" customWidth="1"/>
    <col min="5" max="5" width="14" customWidth="1"/>
    <col min="6" max="6" width="40" customWidth="1"/>
  </cols>
  <sheetData>
    <row r="1" ht="30" customHeight="1" spans="1:6" x14ac:dyDescent="0.25">
      <c r="A1" s="20" t="s">
        <v>1365</v>
      </c>
      <c r="B1" s="20" t="s">
        <v>2541</v>
      </c>
      <c r="C1" s="20" t="s">
        <v>2542</v>
      </c>
      <c r="D1" s="20" t="s">
        <v>2543</v>
      </c>
      <c r="E1" s="20" t="s">
        <v>1369</v>
      </c>
      <c r="F1" s="20" t="s">
        <v>1370</v>
      </c>
    </row>
    <row r="2" spans="1:6" x14ac:dyDescent="0.25">
      <c r="A2" s="32" t="s">
        <v>2544</v>
      </c>
      <c r="B2" s="33" t="s">
        <v>2545</v>
      </c>
      <c r="C2" s="33" t="s">
        <v>2546</v>
      </c>
      <c r="D2" s="44">
        <v>1.165</v>
      </c>
      <c r="E2" s="33" t="s">
        <v>2099</v>
      </c>
      <c r="F2" s="33" t="s">
        <v>2547</v>
      </c>
    </row>
    <row r="3" spans="1:6" x14ac:dyDescent="0.25">
      <c r="A3" s="32" t="s">
        <v>2548</v>
      </c>
      <c r="B3" s="33" t="s">
        <v>2545</v>
      </c>
      <c r="C3" s="33" t="s">
        <v>2549</v>
      </c>
      <c r="D3" s="44">
        <v>1.324</v>
      </c>
      <c r="E3" s="33" t="s">
        <v>2099</v>
      </c>
      <c r="F3" s="33" t="s">
        <v>2547</v>
      </c>
    </row>
    <row r="4" spans="1:6" x14ac:dyDescent="0.25">
      <c r="A4" s="32" t="s">
        <v>2550</v>
      </c>
      <c r="B4" s="33" t="s">
        <v>2545</v>
      </c>
      <c r="C4" s="33" t="s">
        <v>2551</v>
      </c>
      <c r="D4" s="44">
        <v>127.2</v>
      </c>
      <c r="E4" s="33" t="s">
        <v>2099</v>
      </c>
      <c r="F4" s="33" t="s">
        <v>2547</v>
      </c>
    </row>
    <row r="5" spans="1:6" x14ac:dyDescent="0.25">
      <c r="A5" s="32" t="s">
        <v>2552</v>
      </c>
      <c r="B5" s="33" t="s">
        <v>2545</v>
      </c>
      <c r="C5" s="33" t="s">
        <v>2553</v>
      </c>
      <c r="D5" s="44">
        <v>8.88</v>
      </c>
      <c r="E5" s="33" t="s">
        <v>2099</v>
      </c>
      <c r="F5" s="33" t="s">
        <v>2547</v>
      </c>
    </row>
    <row r="6" spans="1:6" x14ac:dyDescent="0.25">
      <c r="A6" s="32" t="s">
        <v>2554</v>
      </c>
      <c r="B6" s="33" t="s">
        <v>2545</v>
      </c>
      <c r="C6" s="33" t="s">
        <v>2555</v>
      </c>
      <c r="D6" s="44">
        <v>23.84</v>
      </c>
      <c r="E6" s="33" t="s">
        <v>2099</v>
      </c>
      <c r="F6" s="33" t="s">
        <v>2547</v>
      </c>
    </row>
    <row r="7" spans="1:6" x14ac:dyDescent="0.25">
      <c r="A7" s="32" t="s">
        <v>2556</v>
      </c>
      <c r="B7" s="33" t="s">
        <v>2545</v>
      </c>
      <c r="C7" s="33" t="s">
        <v>2557</v>
      </c>
      <c r="D7" s="44">
        <v>44.52</v>
      </c>
      <c r="E7" s="33" t="s">
        <v>2099</v>
      </c>
      <c r="F7" s="33" t="s">
        <v>2547</v>
      </c>
    </row>
    <row r="8" spans="1:6" x14ac:dyDescent="0.25">
      <c r="A8" s="32" t="s">
        <v>2558</v>
      </c>
      <c r="B8" s="33" t="s">
        <v>2545</v>
      </c>
      <c r="C8" s="33" t="s">
        <v>2559</v>
      </c>
      <c r="D8" s="44">
        <v>34350</v>
      </c>
      <c r="E8" s="33" t="s">
        <v>2099</v>
      </c>
      <c r="F8" s="33" t="s">
        <v>2547</v>
      </c>
    </row>
    <row r="9" spans="1:6" x14ac:dyDescent="0.25">
      <c r="A9" s="32" t="s">
        <v>2560</v>
      </c>
      <c r="B9" s="33" t="s">
        <v>2545</v>
      </c>
      <c r="C9" s="33" t="s">
        <v>2561</v>
      </c>
      <c r="D9" s="44">
        <v>6.916</v>
      </c>
      <c r="E9" s="33" t="s">
        <v>2099</v>
      </c>
      <c r="F9" s="33" t="s">
        <v>2547</v>
      </c>
    </row>
    <row r="10" spans="1:6" x14ac:dyDescent="0.25">
      <c r="A10" s="32" t="s">
        <v>2562</v>
      </c>
      <c r="B10" s="33" t="s">
        <v>2545</v>
      </c>
      <c r="C10" s="33" t="s">
        <v>2563</v>
      </c>
      <c r="D10" s="44">
        <v>1798</v>
      </c>
      <c r="E10" s="33" t="s">
        <v>2099</v>
      </c>
      <c r="F10" s="33" t="s">
        <v>2547</v>
      </c>
    </row>
  </sheetData>
  <autoFilter ref="A1:F1"/>
  <pageMargins left="0.4" right="0.4" top="0.5" bottom="0.5" header="0.3" footer="0.3"/>
  <pageSetup orientation="portrait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94A6"/>
    <pageSetUpPr fitToPage="1"/>
  </sheetPr>
  <dimension ref="A1:F2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 defaultColWidth="12"/>
  <cols>
    <col min="1" max="1" width="24" customWidth="1"/>
    <col min="2" max="2" width="22" customWidth="1"/>
    <col min="3" max="3" width="17" customWidth="1"/>
    <col min="4" max="5" width="13" customWidth="1"/>
    <col min="6" max="6" width="40" customWidth="1"/>
  </cols>
  <sheetData>
    <row r="1" ht="30" customHeight="1" spans="1:6" x14ac:dyDescent="0.25">
      <c r="A1" s="20" t="s">
        <v>1365</v>
      </c>
      <c r="B1" s="20" t="s">
        <v>2564</v>
      </c>
      <c r="C1" s="20" t="s">
        <v>2565</v>
      </c>
      <c r="D1" s="20" t="s">
        <v>2566</v>
      </c>
      <c r="E1" s="20" t="s">
        <v>2567</v>
      </c>
      <c r="F1" s="20" t="s">
        <v>1370</v>
      </c>
    </row>
    <row r="2" spans="1:6" x14ac:dyDescent="0.25">
      <c r="A2" s="32" t="s">
        <v>2568</v>
      </c>
      <c r="B2" s="33" t="s">
        <v>2569</v>
      </c>
      <c r="C2" s="33" t="s">
        <v>2570</v>
      </c>
      <c r="D2" s="45">
        <v>0.12</v>
      </c>
      <c r="E2" s="45">
        <v>0.08</v>
      </c>
      <c r="F2" s="33" t="s">
        <v>2571</v>
      </c>
    </row>
    <row r="3" spans="1:6" x14ac:dyDescent="0.25">
      <c r="A3" s="32" t="s">
        <v>2572</v>
      </c>
      <c r="B3" s="33" t="s">
        <v>2569</v>
      </c>
      <c r="C3" s="33" t="s">
        <v>2573</v>
      </c>
      <c r="D3" s="45">
        <v>0.15</v>
      </c>
      <c r="E3" s="45">
        <v>0.1</v>
      </c>
      <c r="F3" s="33" t="s">
        <v>2571</v>
      </c>
    </row>
    <row r="4" spans="1:6" x14ac:dyDescent="0.25">
      <c r="A4" s="32" t="s">
        <v>2574</v>
      </c>
      <c r="B4" s="33" t="s">
        <v>2575</v>
      </c>
      <c r="C4" s="33" t="s">
        <v>2570</v>
      </c>
      <c r="D4" s="45">
        <v>0.1</v>
      </c>
      <c r="E4" s="45">
        <v>0.07</v>
      </c>
      <c r="F4" s="33" t="s">
        <v>2571</v>
      </c>
    </row>
    <row r="5" spans="1:6" x14ac:dyDescent="0.25">
      <c r="A5" s="32" t="s">
        <v>2576</v>
      </c>
      <c r="B5" s="33" t="s">
        <v>2577</v>
      </c>
      <c r="C5" s="33" t="s">
        <v>2570</v>
      </c>
      <c r="D5" s="45">
        <v>0.11</v>
      </c>
      <c r="E5" s="45">
        <v>0.08</v>
      </c>
      <c r="F5" s="33" t="s">
        <v>2571</v>
      </c>
    </row>
    <row r="6" spans="1:6" x14ac:dyDescent="0.25">
      <c r="A6" s="32" t="s">
        <v>2578</v>
      </c>
      <c r="B6" s="33" t="s">
        <v>2579</v>
      </c>
      <c r="C6" s="33" t="s">
        <v>2570</v>
      </c>
      <c r="D6" s="45">
        <v>0.1</v>
      </c>
      <c r="E6" s="45">
        <v>0.08</v>
      </c>
      <c r="F6" s="33" t="s">
        <v>2571</v>
      </c>
    </row>
    <row r="7" spans="1:6" x14ac:dyDescent="0.25">
      <c r="A7" s="32" t="s">
        <v>2580</v>
      </c>
      <c r="B7" s="33" t="s">
        <v>2581</v>
      </c>
      <c r="C7" s="33" t="s">
        <v>2570</v>
      </c>
      <c r="D7" s="45">
        <v>0.12</v>
      </c>
      <c r="E7" s="45">
        <v>0.08</v>
      </c>
      <c r="F7" s="33" t="s">
        <v>2571</v>
      </c>
    </row>
    <row r="8" spans="1:6" x14ac:dyDescent="0.25">
      <c r="A8" s="32" t="s">
        <v>2582</v>
      </c>
      <c r="B8" s="33" t="s">
        <v>2583</v>
      </c>
      <c r="C8" s="33" t="s">
        <v>2570</v>
      </c>
      <c r="D8" s="45">
        <v>0.08</v>
      </c>
      <c r="E8" s="45">
        <v>0.06</v>
      </c>
      <c r="F8" s="33" t="s">
        <v>2571</v>
      </c>
    </row>
    <row r="9" spans="1:6" x14ac:dyDescent="0.25">
      <c r="A9" s="32" t="s">
        <v>2584</v>
      </c>
      <c r="B9" s="33" t="s">
        <v>2585</v>
      </c>
      <c r="C9" s="33" t="s">
        <v>2570</v>
      </c>
      <c r="D9" s="45">
        <v>0.1</v>
      </c>
      <c r="E9" s="45">
        <v>0.07</v>
      </c>
      <c r="F9" s="33" t="s">
        <v>2571</v>
      </c>
    </row>
    <row r="10" spans="1:6" x14ac:dyDescent="0.25">
      <c r="A10" s="32" t="s">
        <v>2586</v>
      </c>
      <c r="B10" s="33" t="s">
        <v>2587</v>
      </c>
      <c r="C10" s="33" t="s">
        <v>2570</v>
      </c>
      <c r="D10" s="45">
        <v>0.08</v>
      </c>
      <c r="E10" s="45">
        <v>0.1</v>
      </c>
      <c r="F10" s="33" t="s">
        <v>2571</v>
      </c>
    </row>
    <row r="11" spans="1:6" x14ac:dyDescent="0.25">
      <c r="A11" s="32" t="s">
        <v>2588</v>
      </c>
      <c r="B11" s="33" t="s">
        <v>2589</v>
      </c>
      <c r="C11" s="33" t="s">
        <v>2570</v>
      </c>
      <c r="D11" s="45">
        <v>0.08</v>
      </c>
      <c r="E11" s="45">
        <v>0.1</v>
      </c>
      <c r="F11" s="33" t="s">
        <v>2571</v>
      </c>
    </row>
    <row r="12" spans="1:6" x14ac:dyDescent="0.25">
      <c r="A12" s="32" t="s">
        <v>2590</v>
      </c>
      <c r="B12" s="33" t="s">
        <v>2591</v>
      </c>
      <c r="C12" s="33" t="s">
        <v>2570</v>
      </c>
      <c r="D12" s="45">
        <v>0.12</v>
      </c>
      <c r="E12" s="45">
        <v>0.09</v>
      </c>
      <c r="F12" s="33" t="s">
        <v>2571</v>
      </c>
    </row>
    <row r="13" spans="1:6" x14ac:dyDescent="0.25">
      <c r="A13" s="32" t="s">
        <v>2592</v>
      </c>
      <c r="B13" s="33" t="s">
        <v>2593</v>
      </c>
      <c r="C13" s="33" t="s">
        <v>2570</v>
      </c>
      <c r="D13" s="45">
        <v>0.1</v>
      </c>
      <c r="E13" s="45">
        <v>0.08</v>
      </c>
      <c r="F13" s="33" t="s">
        <v>2571</v>
      </c>
    </row>
    <row r="14" spans="1:6" x14ac:dyDescent="0.25">
      <c r="A14" s="32" t="s">
        <v>2594</v>
      </c>
      <c r="B14" s="33" t="s">
        <v>2595</v>
      </c>
      <c r="C14" s="33" t="s">
        <v>2573</v>
      </c>
      <c r="D14" s="45">
        <v>0.12</v>
      </c>
      <c r="E14" s="45">
        <v>0.1</v>
      </c>
      <c r="F14" s="33" t="s">
        <v>2596</v>
      </c>
    </row>
    <row r="15" spans="1:6" x14ac:dyDescent="0.25">
      <c r="A15" s="32" t="s">
        <v>2597</v>
      </c>
      <c r="B15" s="33" t="s">
        <v>2595</v>
      </c>
      <c r="C15" s="33" t="s">
        <v>2570</v>
      </c>
      <c r="D15" s="45">
        <v>0.09</v>
      </c>
      <c r="E15" s="45">
        <v>0.07</v>
      </c>
      <c r="F15" s="33" t="s">
        <v>2571</v>
      </c>
    </row>
    <row r="16" spans="1:6" x14ac:dyDescent="0.25">
      <c r="A16" s="32" t="s">
        <v>2598</v>
      </c>
      <c r="B16" s="33" t="s">
        <v>2595</v>
      </c>
      <c r="C16" s="33" t="s">
        <v>2599</v>
      </c>
      <c r="D16" s="45">
        <v>0.07</v>
      </c>
      <c r="E16" s="45">
        <v>0.05</v>
      </c>
      <c r="F16" s="33" t="s">
        <v>2600</v>
      </c>
    </row>
    <row r="17" spans="1:6" x14ac:dyDescent="0.25">
      <c r="A17" s="32" t="s">
        <v>2601</v>
      </c>
      <c r="B17" s="33" t="s">
        <v>2602</v>
      </c>
      <c r="C17" s="33" t="s">
        <v>2573</v>
      </c>
      <c r="D17" s="45">
        <v>0.13</v>
      </c>
      <c r="E17" s="45">
        <v>0.1</v>
      </c>
      <c r="F17" s="33" t="s">
        <v>2603</v>
      </c>
    </row>
    <row r="18" spans="1:6" x14ac:dyDescent="0.25">
      <c r="A18" s="32" t="s">
        <v>2604</v>
      </c>
      <c r="B18" s="33" t="s">
        <v>2602</v>
      </c>
      <c r="C18" s="33" t="s">
        <v>2570</v>
      </c>
      <c r="D18" s="45">
        <v>0.1</v>
      </c>
      <c r="E18" s="45">
        <v>0.08</v>
      </c>
      <c r="F18" s="33" t="s">
        <v>2571</v>
      </c>
    </row>
    <row r="19" spans="1:6" x14ac:dyDescent="0.25">
      <c r="A19" s="32" t="s">
        <v>2605</v>
      </c>
      <c r="B19" s="33" t="s">
        <v>2602</v>
      </c>
      <c r="C19" s="33" t="s">
        <v>2599</v>
      </c>
      <c r="D19" s="45">
        <v>0.07</v>
      </c>
      <c r="E19" s="45">
        <v>0.05</v>
      </c>
      <c r="F19" s="33" t="s">
        <v>2606</v>
      </c>
    </row>
    <row r="20" spans="1:6" x14ac:dyDescent="0.25">
      <c r="A20" s="32" t="s">
        <v>2607</v>
      </c>
      <c r="B20" s="33" t="s">
        <v>2608</v>
      </c>
      <c r="C20" s="33" t="s">
        <v>2570</v>
      </c>
      <c r="D20" s="45">
        <v>0.11</v>
      </c>
      <c r="E20" s="45">
        <v>0.09</v>
      </c>
      <c r="F20" s="33" t="s">
        <v>2571</v>
      </c>
    </row>
    <row r="21" spans="1:6" x14ac:dyDescent="0.25">
      <c r="A21" s="32" t="s">
        <v>2609</v>
      </c>
      <c r="B21" s="33" t="s">
        <v>2610</v>
      </c>
      <c r="C21" s="33" t="s">
        <v>2570</v>
      </c>
      <c r="D21" s="45">
        <v>0.1</v>
      </c>
      <c r="E21" s="45">
        <v>0.08</v>
      </c>
      <c r="F21" s="33" t="s">
        <v>2571</v>
      </c>
    </row>
    <row r="22" spans="1:6" x14ac:dyDescent="0.25">
      <c r="A22" s="32" t="s">
        <v>2611</v>
      </c>
      <c r="B22" s="33" t="s">
        <v>2612</v>
      </c>
      <c r="C22" s="33" t="s">
        <v>2570</v>
      </c>
      <c r="D22" s="45">
        <v>0.11</v>
      </c>
      <c r="E22" s="45">
        <v>0.09</v>
      </c>
      <c r="F22" s="33" t="s">
        <v>2571</v>
      </c>
    </row>
    <row r="23" spans="1:6" x14ac:dyDescent="0.25">
      <c r="A23" s="32" t="s">
        <v>2613</v>
      </c>
      <c r="B23" s="33" t="s">
        <v>2614</v>
      </c>
      <c r="C23" s="33" t="s">
        <v>2570</v>
      </c>
      <c r="D23" s="45">
        <v>0.14</v>
      </c>
      <c r="E23" s="45">
        <v>0.1</v>
      </c>
      <c r="F23" s="33" t="s">
        <v>2571</v>
      </c>
    </row>
    <row r="24" spans="1:6" x14ac:dyDescent="0.25">
      <c r="A24" s="32" t="s">
        <v>2615</v>
      </c>
      <c r="B24" s="33" t="s">
        <v>2616</v>
      </c>
      <c r="C24" s="33" t="s">
        <v>2570</v>
      </c>
      <c r="D24" s="45">
        <v>0.1</v>
      </c>
      <c r="E24" s="45">
        <v>0.08</v>
      </c>
      <c r="F24" s="33" t="s">
        <v>2571</v>
      </c>
    </row>
  </sheetData>
  <autoFilter ref="A1:F1"/>
  <pageMargins left="0.4" right="0.4" top="0.5" bottom="0.5" header="0.3" footer="0.3"/>
  <pageSetup orientation="portrait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7F4B"/>
    <pageSetUpPr fitToPage="1"/>
  </sheetPr>
  <dimension ref="A1:C23"/>
  <sheetViews>
    <sheetView workbookViewId="0" showGridLines="0"/>
  </sheetViews>
  <sheetFormatPr defaultRowHeight="15" outlineLevelRow="0" outlineLevelCol="0" x14ac:dyDescent="55" defaultColWidth="12"/>
  <cols>
    <col min="1" max="1" width="66" customWidth="1"/>
    <col min="2" max="2" width="14" customWidth="1"/>
    <col min="3" max="3" width="46" customWidth="1"/>
  </cols>
  <sheetData>
    <row r="1" ht="36" customHeight="1" spans="1:3" x14ac:dyDescent="0.25">
      <c r="A1" s="1" t="s">
        <v>2617</v>
      </c>
      <c r="B1" s="1"/>
      <c r="C1" s="1"/>
    </row>
    <row r="2" ht="20" customHeight="1" spans="1:3" x14ac:dyDescent="0.25">
      <c r="A2" s="2" t="s">
        <v>2618</v>
      </c>
      <c r="B2" s="2"/>
      <c r="C2" s="2"/>
    </row>
    <row r="4" ht="20" customHeight="1" spans="1:3" x14ac:dyDescent="0.25">
      <c r="A4" s="10" t="s">
        <v>2619</v>
      </c>
      <c r="B4" s="46">
        <f>COUNTIFS(Mapping!C2:C549,"&lt;&gt;")</f>
        <v>0</v>
      </c>
      <c r="C4" s="11" t="s">
        <v>2620</v>
      </c>
    </row>
    <row r="5" ht="20" customHeight="1" spans="1:3" x14ac:dyDescent="0.25">
      <c r="A5" s="10" t="s">
        <v>2621</v>
      </c>
      <c r="B5" s="46">
        <f>COUNTIF(Mapping!D2:D549,"NOT FOUND*")</f>
        <v>0</v>
      </c>
      <c r="C5" s="11" t="s">
        <v>2622</v>
      </c>
    </row>
    <row r="6" ht="8" customHeight="1" x14ac:dyDescent="0.25"/>
    <row r="7" ht="20" customHeight="1" spans="1:3" x14ac:dyDescent="0.25">
      <c r="A7" s="10" t="s">
        <v>2623</v>
      </c>
      <c r="B7" s="46">
        <f>COUNTIF(Materials!M2:M329,"&gt;0")</f>
        <v>0</v>
      </c>
      <c r="C7" s="11"/>
    </row>
    <row r="8" ht="20" customHeight="1" spans="1:3" x14ac:dyDescent="0.25">
      <c r="A8" s="10" t="s">
        <v>2624</v>
      </c>
      <c r="B8" s="46">
        <f>COUNTIF(Machines!X2:X179,"&gt;0")</f>
        <v>0</v>
      </c>
      <c r="C8" s="11"/>
    </row>
    <row r="9" ht="20" customHeight="1" spans="1:3" x14ac:dyDescent="0.25">
      <c r="A9" s="10" t="s">
        <v>2625</v>
      </c>
      <c r="B9" s="46">
        <f>COUNTIF(Labour!L2:L43,"&gt;0")</f>
        <v>0</v>
      </c>
      <c r="C9" s="11"/>
    </row>
    <row r="10" ht="20" customHeight="1" spans="1:3" x14ac:dyDescent="0.25">
      <c r="A10" s="10" t="s">
        <v>2626</v>
      </c>
      <c r="B10" s="46">
        <f>COUNTIF(Materials!L2:L329,1)-COUNTIF(Materials!M2:M329,"&gt;0")+COUNTIF(Machines!P2:P179,1)-COUNTIF(Machines!X2:X179,"&gt;0")</f>
        <v>0</v>
      </c>
      <c r="C10" s="11" t="s">
        <v>2627</v>
      </c>
    </row>
    <row r="11" ht="8" customHeight="1" x14ac:dyDescent="0.25"/>
    <row r="12" ht="20" customHeight="1" spans="1:3" x14ac:dyDescent="0.25">
      <c r="A12" s="10" t="s">
        <v>2628</v>
      </c>
      <c r="B12" s="46">
        <f>COUNTIF(Materials!L2:L329,"&gt;1")+COUNTIF(Machines!P2:P179,"&gt;1")</f>
        <v>0</v>
      </c>
      <c r="C12" s="11" t="s">
        <v>2629</v>
      </c>
    </row>
    <row r="13" ht="20" customHeight="1" spans="1:3" x14ac:dyDescent="0.25">
      <c r="A13" s="10" t="s">
        <v>2630</v>
      </c>
      <c r="B13" s="46">
        <f>COUNTIF(Machines!Z2:Z179,"&lt;&gt;0")</f>
        <v>0</v>
      </c>
      <c r="C13" s="11" t="s">
        <v>2631</v>
      </c>
    </row>
    <row r="14" ht="20" customHeight="1" spans="1:3" x14ac:dyDescent="0.25">
      <c r="A14" s="10" t="s">
        <v>2632</v>
      </c>
      <c r="B14" s="46">
        <f>SUMPRODUCT(('JLR Machines'!$A$2:$A$20001&lt;&gt;"")*(('JLR Machines'!$G$2:$G$20001+'JLR Machines'!$H$2:$H$20001+'JLR Machines'!$I$2:$I$20001+'JLR Machines'!$J$2:$J$20001+'JLR Machines'!$K$2:$K$20001+'JLR Machines'!$L$2:$L$20001+'JLR Machines'!$M$2:$M$20001)&gt;0)*(ABS(('JLR Machines'!$G$2:$G$20001+'JLR Machines'!$H$2:$H$20001+'JLR Machines'!$I$2:$I$20001+'JLR Machines'!$J$2:$J$20001+'JLR Machines'!$K$2:$K$20001+'JLR Machines'!$L$2:$L$20001+'JLR Machines'!$M$2:$M$20001)-'JLR Machines'!$N$2:$N$20001)&gt;0.02))</f>
        <v>0</v>
      </c>
      <c r="C14" s="11" t="s">
        <v>2633</v>
      </c>
    </row>
    <row r="15" ht="20" customHeight="1" spans="1:3" x14ac:dyDescent="0.25">
      <c r="A15" s="10" t="s">
        <v>2634</v>
      </c>
      <c r="B15" s="46">
        <f>MAX(0,COUNTA('JLR Machines'!$A:$A)-1-20000)+MAX(0,COUNTA('JLR Materials'!$A:$A)-1-20000)+MAX(0,COUNTA('JLR Labour'!$A:$A)-1-20000)</f>
        <v>0</v>
      </c>
      <c r="C15" s="11" t="s">
        <v>2635</v>
      </c>
    </row>
    <row r="16" ht="8" customHeight="1" x14ac:dyDescent="0.25"/>
    <row r="17" ht="24" customHeight="1" spans="1:3" x14ac:dyDescent="0.25">
      <c r="A17" s="3" t="s">
        <v>2636</v>
      </c>
      <c r="B17" s="3"/>
      <c r="C17" s="3"/>
    </row>
    <row r="18" ht="20" customHeight="1" spans="1:3" x14ac:dyDescent="0.25">
      <c r="A18" s="10" t="s">
        <v>228</v>
      </c>
      <c r="B18" s="46" t="str">
        <f>IF(Settings!$B$2="","(any)",Settings!$B$2)</f>
        <v>(any)</v>
      </c>
      <c r="C18" s="11" t="s">
        <v>229</v>
      </c>
    </row>
    <row r="19" ht="20" customHeight="1" spans="1:3" x14ac:dyDescent="0.25">
      <c r="A19" s="10" t="s">
        <v>231</v>
      </c>
      <c r="B19" s="46" t="str">
        <f>IF(Settings!$B$3="","(any)",Settings!$B$3)</f>
        <v>(any)</v>
      </c>
      <c r="C19" s="11" t="s">
        <v>229</v>
      </c>
    </row>
    <row r="20" ht="20" customHeight="1" spans="1:3" x14ac:dyDescent="0.25">
      <c r="A20" s="10" t="s">
        <v>233</v>
      </c>
      <c r="B20" s="46" t="str">
        <f>IF(Settings!$B$4="","(any)",Settings!$B$4)</f>
        <v>(any)</v>
      </c>
      <c r="C20" s="11" t="s">
        <v>229</v>
      </c>
    </row>
    <row r="21" ht="20" customHeight="1" spans="1:3" x14ac:dyDescent="0.25">
      <c r="A21" s="10" t="s">
        <v>2637</v>
      </c>
      <c r="B21" s="46" t="str">
        <f>Settings!$B$5</f>
        <v>percent</v>
      </c>
      <c r="C21" s="11" t="s">
        <v>2638</v>
      </c>
    </row>
    <row r="22" ht="8" customHeight="1" x14ac:dyDescent="0.25"/>
    <row r="23" spans="1:3" x14ac:dyDescent="0.25">
      <c r="A23" s="2" t="s">
        <v>2639</v>
      </c>
      <c r="B23" s="2"/>
      <c r="C23" s="2"/>
    </row>
  </sheetData>
  <mergeCells count="4">
    <mergeCell ref="A1:C1"/>
    <mergeCell ref="A2:C2"/>
    <mergeCell ref="A17:C17"/>
    <mergeCell ref="A23:C23"/>
  </mergeCells>
  <conditionalFormatting sqref="B5">
    <cfRule type="cellIs" dxfId="1" priority="1" operator="equal">
      <formula>0</formula>
    </cfRule>
    <cfRule type="cellIs" dxfId="2" priority="2" operator="notEqual">
      <formula>0</formula>
    </cfRule>
  </conditionalFormatting>
  <conditionalFormatting sqref="B10">
    <cfRule type="cellIs" dxfId="3" priority="1" operator="equal">
      <formula>0</formula>
    </cfRule>
    <cfRule type="cellIs" dxfId="4" priority="2" operator="notEqual">
      <formula>0</formula>
    </cfRule>
  </conditionalFormatting>
  <conditionalFormatting sqref="B12">
    <cfRule type="cellIs" dxfId="5" priority="1" operator="equal">
      <formula>0</formula>
    </cfRule>
    <cfRule type="cellIs" dxfId="6" priority="2" operator="notEqual">
      <formula>0</formula>
    </cfRule>
  </conditionalFormatting>
  <conditionalFormatting sqref="B13">
    <cfRule type="cellIs" dxfId="7" priority="1" operator="equal">
      <formula>0</formula>
    </cfRule>
    <cfRule type="cellIs" dxfId="8" priority="2" operator="notEqual">
      <formula>0</formula>
    </cfRule>
  </conditionalFormatting>
  <conditionalFormatting sqref="B14">
    <cfRule type="cellIs" dxfId="9" priority="1" operator="equal">
      <formula>0</formula>
    </cfRule>
    <cfRule type="cellIs" dxfId="10" priority="2" operator="notEqual">
      <formula>0</formula>
    </cfRule>
  </conditionalFormatting>
  <conditionalFormatting sqref="B15">
    <cfRule type="cellIs" dxfId="11" priority="1" operator="equal">
      <formula>0</formula>
    </cfRule>
    <cfRule type="cellIs" dxfId="12" priority="2" operator="notEqual">
      <formula>0</formula>
    </cfRule>
  </conditionalFormatting>
  <pageMargins left="0.4" right="0.4" top="0.5" bottom="0.5" header="0.3" footer="0.3"/>
  <pageSetup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Start here</vt:lpstr>
      <vt:lpstr>How it converts</vt:lpstr>
      <vt:lpstr>Settings</vt:lpstr>
      <vt:lpstr>JLR Machines</vt:lpstr>
      <vt:lpstr>JLR Materials</vt:lpstr>
      <vt:lpstr>JLR Labour</vt:lpstr>
      <vt:lpstr>Mapping</vt:lpstr>
      <vt:lpstr>Materials</vt:lpstr>
      <vt:lpstr>Machines</vt:lpstr>
      <vt:lpstr>Labour</vt:lpstr>
      <vt:lpstr>Energy</vt:lpstr>
      <vt:lpstr>FX</vt:lpstr>
      <vt:lpstr>Overhead</vt:lpstr>
      <vt:lpstr>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CostVision</dc:creator>
  <dc:title/>
  <dc:subject/>
  <dc:description/>
  <cp:keywords/>
  <cp:category/>
  <cp:lastModifiedBy>Unknown</cp:lastModifiedBy>
  <dcterms:created xsi:type="dcterms:W3CDTF">2026-09-29T19:07:45Z</dcterms:created>
  <dcterms:modified xsi:type="dcterms:W3CDTF">2026-09-29T19:07:45Z</dcterms:modified>
</cp:coreProperties>
</file>