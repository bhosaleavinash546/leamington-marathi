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/>
  <sheets>
    <sheet name="Read me" sheetId="1" r:id="rId1"/>
    <sheet name="JLRrates" sheetId="2" r:id="rId2"/>
    <sheet name="Mapping" sheetId="3" r:id="rId3"/>
    <sheet name="Builtin" sheetId="4" r:id="rId4"/>
    <sheet name="Materials" sheetId="5" r:id="rId5"/>
    <sheet name="Machines" sheetId="6" r:id="rId6"/>
    <sheet name="Labour" sheetId="7" r:id="rId7"/>
    <sheet name="Energy" sheetId="8" r:id="rId8"/>
    <sheet name="FX" sheetId="9" r:id="rId9"/>
    <sheet name="Overhead" sheetId="10" r:id="rId10"/>
    <sheet name="Check" sheetId="11" r:id="rId11"/>
  </sheet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1">
    <numFmt numFmtId="56" formatCode="&quot;上午/下午 &quot;hh&quot;時&quot;mm&quot;分&quot;ss&quot;秒 &quot;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theme" Target="theme/theme1.xml"/><Relationship Id="rId13" Type="http://schemas.openxmlformats.org/officeDocument/2006/relationships/styles" Target="styles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32"/>
  <sheetViews>
    <sheetView workbookViewId="0"/>
  </sheetViews>
  <cols>
    <col min="1" max="1" width="4.83203125" customWidth="1"/>
    <col min="2" max="2" width="100.83203125" customWidth="1"/>
  </cols>
  <sheetData>
    <row r="1">
      <c r="A1" t="str">
        <v>CostVision — JLR rate card converter</v>
      </c>
    </row>
    <row r="3">
      <c r="A3" t="str">
        <v>What this is for</v>
      </c>
    </row>
    <row r="4">
      <c r="A4" t="str">
        <v>Put JLR rates into the tool without retyping them and without renaming anything.</v>
      </c>
    </row>
    <row r="5">
      <c r="A5" t="str">
        <v>The ids stay exactly as the tool expects. Only the numbers change.</v>
      </c>
    </row>
    <row r="7">
      <c r="A7" t="str">
        <v>What to do</v>
      </c>
    </row>
    <row r="8">
      <c r="A8" t="str">
        <v>1.</v>
      </c>
      <c r="B8" t="str">
        <v>Open the JLRrates tab. Paste your rate card into it — one row per rate.</v>
      </c>
    </row>
    <row r="9">
      <c r="A9" t="str">
        <v/>
      </c>
      <c r="B9" t="str">
        <v xml:space="preserve">   category = material, machine, labour, energy, fx or overhead</v>
      </c>
    </row>
    <row r="10">
      <c r="A10" t="str">
        <v/>
      </c>
      <c r="B10" t="str">
        <v xml:space="preserve">   your label = whatever you call it. value = the number.</v>
      </c>
    </row>
    <row r="11">
      <c r="A11" t="str">
        <v>2.</v>
      </c>
      <c r="B11" t="str">
        <v>Open the Mapping tab. It already lists every rate the tool uses and what it is.</v>
      </c>
    </row>
    <row r="12">
      <c r="A12" t="str">
        <v/>
      </c>
      <c r="B12" t="str">
        <v xml:space="preserve">   Type YOUR label in column C next to the ones you have. Leave the rest blank.</v>
      </c>
    </row>
    <row r="13">
      <c r="A13" t="str">
        <v>3.</v>
      </c>
      <c r="B13" t="str">
        <v>Press F9 to recalculate (or just save — Excel does it on save).</v>
      </c>
    </row>
    <row r="14">
      <c r="A14" t="str">
        <v>4.</v>
      </c>
      <c r="B14" t="str">
        <v>Check the Check tab. It tells you how many rates were picked up and flags</v>
      </c>
    </row>
    <row r="15">
      <c r="A15" t="str">
        <v/>
      </c>
      <c r="B15" t="str">
        <v xml:space="preserve">   any label that could not be found on the rate card.</v>
      </c>
    </row>
    <row r="16">
      <c r="A16" t="str">
        <v>5.</v>
      </c>
      <c r="B16" t="str">
        <v>Save the file, then upload it in the tool: Edit Rates → Upload company rates.</v>
      </c>
    </row>
    <row r="18">
      <c r="A18" t="str">
        <v>Things worth knowing</v>
      </c>
    </row>
    <row r="19">
      <c r="A19" t="str">
        <v>•</v>
      </c>
      <c r="B19" t="str">
        <v>Anything you do not map keeps the value the tool ships with. A partial rate</v>
      </c>
    </row>
    <row r="20">
      <c r="A20" t="str">
        <v/>
      </c>
      <c r="B20" t="str">
        <v>card is fine — map the materials you actually buy.</v>
      </c>
    </row>
    <row r="21">
      <c r="A21" t="str">
        <v>•</v>
      </c>
      <c r="B21" t="str">
        <v>No macros. It is ordinary formulas, so it opens anywhere and needs no</v>
      </c>
    </row>
    <row r="22">
      <c r="A22" t="str">
        <v/>
      </c>
      <c r="B22" t="str">
        <v>permission to run.</v>
      </c>
    </row>
    <row r="23">
      <c r="A23" t="str">
        <v>•</v>
      </c>
      <c r="B23" t="str">
        <v>Do not rename anything in column A of the Materials, Machines or Labour tabs.</v>
      </c>
    </row>
    <row r="24">
      <c r="A24" t="str">
        <v/>
      </c>
      <c r="B24" t="str">
        <v>Those ids are what the costing formulas ask for. Rename one and every costing</v>
      </c>
    </row>
    <row r="25">
      <c r="A25" t="str">
        <v/>
      </c>
      <c r="B25" t="str">
        <v>using it will stop with "not found in rate library".</v>
      </c>
    </row>
    <row r="26">
      <c r="A26" t="str">
        <v>•</v>
      </c>
      <c r="B26" t="str">
        <v>Machines: if you only have a £/hr, put it in and the sheet works backwards to</v>
      </c>
    </row>
    <row r="27">
      <c r="A27" t="str">
        <v/>
      </c>
      <c r="B27" t="str">
        <v>the annual figures so the rate comes out exactly right. The source note then</v>
      </c>
    </row>
    <row r="28">
      <c r="A28" t="str">
        <v/>
      </c>
      <c r="B28" t="str">
        <v>says the build-up was not supplied, so nobody mistakes the placeholder for a</v>
      </c>
    </row>
    <row r="29">
      <c r="A29" t="str">
        <v/>
      </c>
      <c r="B29" t="str">
        <v>real depreciation number. If you have the full build-up, type it into the</v>
      </c>
    </row>
    <row r="30">
      <c r="A30" t="str">
        <v/>
      </c>
      <c r="B30" t="str">
        <v>seven columns on the Machines tab and it is used as it stands.</v>
      </c>
    </row>
    <row r="32">
      <c r="A32" t="str">
        <v>Built from the tool's library version 2.1.0. Generated 2026-09-11.</v>
      </c>
    </row>
  </sheetData>
  <ignoredErrors>
    <ignoredError numberStoredAsText="1" sqref="A1:B3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E4"/>
  <sheetViews>
    <sheetView workbookViewId="0"/>
  </sheetViews>
  <cols>
    <col min="1" max="1" width="14.83203125" customWidth="1"/>
    <col min="2" max="2" width="44.83203125" customWidth="1"/>
    <col min="3" max="3" width="14.83203125" customWidth="1"/>
    <col min="4" max="4" width="34.83203125" customWidth="1"/>
    <col min="5" max="5" width="40.83203125" customWidth="1"/>
  </cols>
  <sheetData>
    <row r="1">
      <c r="A1" t="str">
        <v>category</v>
      </c>
      <c r="B1" t="str">
        <v>your label</v>
      </c>
      <c r="C1" t="str">
        <v>value</v>
      </c>
      <c r="D1" t="str">
        <v>second value (materials: scrap £/kg)</v>
      </c>
      <c r="E1" t="str">
        <v>note</v>
      </c>
    </row>
    <row r="2">
      <c r="A2" t="str">
        <v># material</v>
      </c>
      <c r="B2" t="str">
        <v># Steel 1045 bar</v>
      </c>
      <c r="C2">
        <v>1.9</v>
      </c>
      <c r="D2">
        <v>0.22</v>
      </c>
      <c r="E2" t="str">
        <v># delete these example rows</v>
      </c>
    </row>
    <row r="3">
      <c r="A3" t="str">
        <v># machine</v>
      </c>
      <c r="B3" t="str">
        <v># CNC machining centre 3-axis</v>
      </c>
      <c r="C3">
        <v>62</v>
      </c>
      <c r="D3" t="str">
        <v/>
      </c>
      <c r="E3" t="str">
        <v># £/hr, or leave blank and fill the build-up</v>
      </c>
    </row>
    <row r="4">
      <c r="A4" t="str">
        <v># labour</v>
      </c>
      <c r="B4" t="str">
        <v># Skilled machinist</v>
      </c>
      <c r="C4">
        <v>44.5</v>
      </c>
      <c r="D4" t="str">
        <v/>
      </c>
      <c r="E4" t="str">
        <v># fully loaded £/hr</v>
      </c>
    </row>
  </sheetData>
  <ignoredErrors>
    <ignoredError numberStoredAsText="1" sqref="A1:E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D592"/>
  <sheetViews>
    <sheetView workbookViewId="0"/>
  </sheetViews>
  <cols>
    <col min="1" max="1" width="24.83203125" customWidth="1"/>
    <col min="2" max="2" width="46.83203125" customWidth="1"/>
    <col min="3" max="3" width="34.83203125" customWidth="1"/>
    <col min="4" max="4" width="12.83203125" customWidth="1"/>
  </cols>
  <sheetData>
    <row r="1">
      <c r="A1" t="str">
        <v>tool id</v>
      </c>
      <c r="B1" t="str">
        <v>what it is (do not edit)</v>
      </c>
      <c r="C1" t="str">
        <v>your label for it</v>
      </c>
      <c r="D1" t="str">
        <v>category</v>
      </c>
    </row>
    <row r="2">
      <c r="A2" t="str">
        <v>mat-al6061</v>
      </c>
      <c r="B2" t="str">
        <v>6061-T6 — Aluminium</v>
      </c>
      <c r="C2" t="str">
        <v/>
      </c>
      <c r="D2" t="str">
        <v>material</v>
      </c>
    </row>
    <row r="3">
      <c r="A3" t="str">
        <v>mat-steel1045</v>
      </c>
      <c r="B3" t="str">
        <v>1045 / C45 / 080M46 (Medium-Carbon Steel) — Carbon Steel</v>
      </c>
      <c r="C3" t="str">
        <v/>
      </c>
      <c r="D3" t="str">
        <v>material</v>
      </c>
    </row>
    <row r="4">
      <c r="A4" t="str">
        <v>mat-ss316l</v>
      </c>
      <c r="B4" t="str">
        <v>316L — Stainless Steel</v>
      </c>
      <c r="C4" t="str">
        <v/>
      </c>
      <c r="D4" t="str">
        <v>material</v>
      </c>
    </row>
    <row r="5">
      <c r="A5" t="str">
        <v>mat-steel4140</v>
      </c>
      <c r="B5" t="str">
        <v>4140 / 42CrMo4 / EN19 (Chromoly Alloy Steel) — Alloy Steel</v>
      </c>
      <c r="C5" t="str">
        <v/>
      </c>
      <c r="D5" t="str">
        <v>material</v>
      </c>
    </row>
    <row r="6">
      <c r="A6" t="str">
        <v>mat-ti6al4v</v>
      </c>
      <c r="B6" t="str">
        <v>Ti-6Al-4V — Titanium</v>
      </c>
      <c r="C6" t="str">
        <v/>
      </c>
      <c r="D6" t="str">
        <v>material</v>
      </c>
    </row>
    <row r="7">
      <c r="A7" t="str">
        <v>mat-virtual</v>
      </c>
      <c r="B7" t="str">
        <v>Virtual / Pass-through — Virtual</v>
      </c>
      <c r="C7" t="str">
        <v/>
      </c>
      <c r="D7" t="str">
        <v>material</v>
      </c>
    </row>
    <row r="8">
      <c r="A8" t="str">
        <v>mat-en8</v>
      </c>
      <c r="B8" t="str">
        <v>EN8 / 080M40 (Medium Carbon) — Carbon Steel</v>
      </c>
      <c r="C8" t="str">
        <v/>
      </c>
      <c r="D8" t="str">
        <v>material</v>
      </c>
    </row>
    <row r="9">
      <c r="A9" t="str">
        <v>mat-ss304-bar</v>
      </c>
      <c r="B9" t="str">
        <v>304 Stainless Bar — Stainless Steel</v>
      </c>
      <c r="C9" t="str">
        <v/>
      </c>
      <c r="D9" t="str">
        <v>material</v>
      </c>
    </row>
    <row r="10">
      <c r="A10" t="str">
        <v>mat-ss303</v>
      </c>
      <c r="B10" t="str">
        <v>303 Free-Machining Stainless Bar — Stainless Steel</v>
      </c>
      <c r="C10" t="str">
        <v/>
      </c>
      <c r="D10" t="str">
        <v>material</v>
      </c>
    </row>
    <row r="11">
      <c r="A11" t="str">
        <v>mat-al6082-bar</v>
      </c>
      <c r="B11" t="str">
        <v>6082-T6 Aluminium Bar — Aluminium</v>
      </c>
      <c r="C11" t="str">
        <v/>
      </c>
      <c r="D11" t="str">
        <v>material</v>
      </c>
    </row>
    <row r="12">
      <c r="A12" t="str">
        <v>mat-al2011</v>
      </c>
      <c r="B12" t="str">
        <v>2011-T3 Free-Machining Al Bar — Aluminium</v>
      </c>
      <c r="C12" t="str">
        <v/>
      </c>
      <c r="D12" t="str">
        <v>material</v>
      </c>
    </row>
    <row r="13">
      <c r="A13" t="str">
        <v>mat-brass-cz121</v>
      </c>
      <c r="B13" t="str">
        <v>CZ121 / CW614N Free-Machining Brass — Copper Alloy</v>
      </c>
      <c r="C13" t="str">
        <v/>
      </c>
      <c r="D13" t="str">
        <v>material</v>
      </c>
    </row>
    <row r="14">
      <c r="A14" t="str">
        <v>mat-bronze-pb1</v>
      </c>
      <c r="B14" t="str">
        <v>PB1 Phosphor Bronze Bar — Copper Alloy</v>
      </c>
      <c r="C14" t="str">
        <v/>
      </c>
      <c r="D14" t="str">
        <v>material</v>
      </c>
    </row>
    <row r="15">
      <c r="A15" t="str">
        <v>mat-pom-c</v>
      </c>
      <c r="B15" t="str">
        <v>POM-C (Acetal / Delrin Stock) — Engineering Plastic (Stock)</v>
      </c>
      <c r="C15" t="str">
        <v/>
      </c>
      <c r="D15" t="str">
        <v>material</v>
      </c>
    </row>
    <row r="16">
      <c r="A16" t="str">
        <v>mat-pa6-cast</v>
      </c>
      <c r="B16" t="str">
        <v>Nylon 6 (Cast PA6 Stock) — Engineering Plastic (Stock)</v>
      </c>
      <c r="C16" t="str">
        <v/>
      </c>
      <c r="D16" t="str">
        <v>material</v>
      </c>
    </row>
    <row r="17">
      <c r="A17" t="str">
        <v>mat-ptfe</v>
      </c>
      <c r="B17" t="str">
        <v>PTFE (Virgin Stock) — Engineering Plastic (Stock)</v>
      </c>
      <c r="C17" t="str">
        <v/>
      </c>
      <c r="D17" t="str">
        <v>material</v>
      </c>
    </row>
    <row r="18">
      <c r="A18" t="str">
        <v>mat-peek-stock</v>
      </c>
      <c r="B18" t="str">
        <v>PEEK (Unfilled Stock) — Engineering Plastic (Stock)</v>
      </c>
      <c r="C18" t="str">
        <v/>
      </c>
      <c r="D18" t="str">
        <v>material</v>
      </c>
    </row>
    <row r="19">
      <c r="A19" t="str">
        <v>mat-acrylic-cast</v>
      </c>
      <c r="B19" t="str">
        <v>Cast Acrylic (PMMA Stock) — Engineering Plastic (Stock)</v>
      </c>
      <c r="C19" t="str">
        <v/>
      </c>
      <c r="D19" t="str">
        <v>material</v>
      </c>
    </row>
    <row r="20">
      <c r="A20" t="str">
        <v>mat-uhmwpe</v>
      </c>
      <c r="B20" t="str">
        <v>UHMW-PE (Stock) — Engineering Plastic (Stock)</v>
      </c>
      <c r="C20" t="str">
        <v/>
      </c>
      <c r="D20" t="str">
        <v>material</v>
      </c>
    </row>
    <row r="21">
      <c r="A21" t="str">
        <v>mat-dc01</v>
      </c>
      <c r="B21" t="str">
        <v>DC01 — Mild Steel Sheet</v>
      </c>
      <c r="C21" t="str">
        <v/>
      </c>
      <c r="D21" t="str">
        <v>material</v>
      </c>
    </row>
    <row r="22">
      <c r="A22" t="str">
        <v>mat-dc01-gi</v>
      </c>
      <c r="B22" t="str">
        <v>DC01 GI (Hot-dip Galvanised) — Galvanised Steel Sheet</v>
      </c>
      <c r="C22" t="str">
        <v/>
      </c>
      <c r="D22" t="str">
        <v>material</v>
      </c>
    </row>
    <row r="23">
      <c r="A23" t="str">
        <v>mat-dc03-ga</v>
      </c>
      <c r="B23" t="str">
        <v>DC03 GA (Galvannealed) — Galvanised Steel Sheet</v>
      </c>
      <c r="C23" t="str">
        <v/>
      </c>
      <c r="D23" t="str">
        <v>material</v>
      </c>
    </row>
    <row r="24">
      <c r="A24" t="str">
        <v>mat-dp600</v>
      </c>
      <c r="B24" t="str">
        <v>DP600 — AHSS Sheet</v>
      </c>
      <c r="C24" t="str">
        <v/>
      </c>
      <c r="D24" t="str">
        <v>material</v>
      </c>
    </row>
    <row r="25">
      <c r="A25" t="str">
        <v>mat-hsla340</v>
      </c>
      <c r="B25" t="str">
        <v>HSLA 340 — High Strength Steel Sheet</v>
      </c>
      <c r="C25" t="str">
        <v/>
      </c>
      <c r="D25" t="str">
        <v>material</v>
      </c>
    </row>
    <row r="26">
      <c r="A26" t="str">
        <v>mat-22mnb5</v>
      </c>
      <c r="B26" t="str">
        <v>22MnB5 (Hot Press Forming / Boron Steel) — Ultra-High Strength Steel</v>
      </c>
      <c r="C26" t="str">
        <v/>
      </c>
      <c r="D26" t="str">
        <v>material</v>
      </c>
    </row>
    <row r="27">
      <c r="A27" t="str">
        <v>mat-aa5182</v>
      </c>
      <c r="B27" t="str">
        <v>AA5182 — Aluminium Sheet</v>
      </c>
      <c r="C27" t="str">
        <v/>
      </c>
      <c r="D27" t="str">
        <v>material</v>
      </c>
    </row>
    <row r="28">
      <c r="A28" t="str">
        <v>mat-ss304-sheet</v>
      </c>
      <c r="B28" t="str">
        <v>304L Stainless Sheet — Stainless Steel Sheet</v>
      </c>
      <c r="C28" t="str">
        <v/>
      </c>
      <c r="D28" t="str">
        <v>material</v>
      </c>
    </row>
    <row r="29">
      <c r="A29" t="str">
        <v>mat-aa5052</v>
      </c>
      <c r="B29" t="str">
        <v>AA5052-H32 Sheet — Aluminium Sheet</v>
      </c>
      <c r="C29" t="str">
        <v/>
      </c>
      <c r="D29" t="str">
        <v>material</v>
      </c>
    </row>
    <row r="30">
      <c r="A30" t="str">
        <v>mat-aa5083</v>
      </c>
      <c r="B30" t="str">
        <v>AA5083-H111 Sheet — Aluminium Sheet</v>
      </c>
      <c r="C30" t="str">
        <v/>
      </c>
      <c r="D30" t="str">
        <v>material</v>
      </c>
    </row>
    <row r="31">
      <c r="A31" t="str">
        <v>mat-aa6082-sheet</v>
      </c>
      <c r="B31" t="str">
        <v>AA6082-T6 Sheet — Aluminium Sheet</v>
      </c>
      <c r="C31" t="str">
        <v/>
      </c>
      <c r="D31" t="str">
        <v>material</v>
      </c>
    </row>
    <row r="32">
      <c r="A32" t="str">
        <v>mat-aisi430</v>
      </c>
      <c r="B32" t="str">
        <v>AISI 430 Ferritic SS Sheet — Stainless Steel Sheet</v>
      </c>
      <c r="C32" t="str">
        <v/>
      </c>
      <c r="D32" t="str">
        <v>material</v>
      </c>
    </row>
    <row r="33">
      <c r="A33" t="str">
        <v>mat-ss316-sheet</v>
      </c>
      <c r="B33" t="str">
        <v>AISI 316L Stainless Sheet — Stainless Steel Sheet</v>
      </c>
      <c r="C33" t="str">
        <v/>
      </c>
      <c r="D33" t="str">
        <v>material</v>
      </c>
    </row>
    <row r="34">
      <c r="A34" t="str">
        <v>mat-dc01-ze</v>
      </c>
      <c r="B34" t="str">
        <v>DC01+ZE (Electrogalvanised) — Electrogalvanised Steel Sheet</v>
      </c>
      <c r="C34" t="str">
        <v/>
      </c>
      <c r="D34" t="str">
        <v>material</v>
      </c>
    </row>
    <row r="35">
      <c r="A35" t="str">
        <v>mat-hsla420</v>
      </c>
      <c r="B35" t="str">
        <v>HSLA 420 Sheet — High Strength Steel Sheet</v>
      </c>
      <c r="C35" t="str">
        <v/>
      </c>
      <c r="D35" t="str">
        <v>material</v>
      </c>
    </row>
    <row r="36">
      <c r="A36" t="str">
        <v>mat-hrpo</v>
      </c>
      <c r="B36" t="str">
        <v>HRPO (Hot Rolled Pickled &amp; Oiled) — Mild Steel Sheet</v>
      </c>
      <c r="C36" t="str">
        <v/>
      </c>
      <c r="D36" t="str">
        <v>material</v>
      </c>
    </row>
    <row r="37">
      <c r="A37" t="str">
        <v>mat-aa5754-sheet</v>
      </c>
      <c r="B37" t="str">
        <v>AA5754-H22 Sheet — Aluminium Sheet</v>
      </c>
      <c r="C37" t="str">
        <v/>
      </c>
      <c r="D37" t="str">
        <v>material</v>
      </c>
    </row>
    <row r="38">
      <c r="A38" t="str">
        <v>mat-aa6061-sheet</v>
      </c>
      <c r="B38" t="str">
        <v>AA6061-T6 Sheet/Plate — Aluminium Sheet</v>
      </c>
      <c r="C38" t="str">
        <v/>
      </c>
      <c r="D38" t="str">
        <v>material</v>
      </c>
    </row>
    <row r="39">
      <c r="A39" t="str">
        <v>mat-aa6063-sheet</v>
      </c>
      <c r="B39" t="str">
        <v>AA6063-T5 Sheet — Aluminium Sheet</v>
      </c>
      <c r="C39" t="str">
        <v/>
      </c>
      <c r="D39" t="str">
        <v>material</v>
      </c>
    </row>
    <row r="40">
      <c r="A40" t="str">
        <v>mat-aa3003-sheet</v>
      </c>
      <c r="B40" t="str">
        <v>AA3003-H14 Sheet — Aluminium Sheet</v>
      </c>
      <c r="C40" t="str">
        <v/>
      </c>
      <c r="D40" t="str">
        <v>material</v>
      </c>
    </row>
    <row r="41">
      <c r="A41" t="str">
        <v>mat-c110-copper</v>
      </c>
      <c r="B41" t="str">
        <v>C110 ETP Copper Sheet — Copper &amp; Brass Sheet</v>
      </c>
      <c r="C41" t="str">
        <v/>
      </c>
      <c r="D41" t="str">
        <v>material</v>
      </c>
    </row>
    <row r="42">
      <c r="A42" t="str">
        <v>mat-cz108-brass</v>
      </c>
      <c r="B42" t="str">
        <v>CZ108 Brass Sheet (70/30) — Copper &amp; Brass Sheet</v>
      </c>
      <c r="C42" t="str">
        <v/>
      </c>
      <c r="D42" t="str">
        <v>material</v>
      </c>
    </row>
    <row r="43">
      <c r="A43" t="str">
        <v>mat-dp780</v>
      </c>
      <c r="B43" t="str">
        <v>DP780 — AHSS Sheet</v>
      </c>
      <c r="C43" t="str">
        <v/>
      </c>
      <c r="D43" t="str">
        <v>material</v>
      </c>
    </row>
    <row r="44">
      <c r="A44" t="str">
        <v>mat-dp980</v>
      </c>
      <c r="B44" t="str">
        <v>DP980 — AHSS Sheet</v>
      </c>
      <c r="C44" t="str">
        <v/>
      </c>
      <c r="D44" t="str">
        <v>material</v>
      </c>
    </row>
    <row r="45">
      <c r="A45" t="str">
        <v>mat-dp1000</v>
      </c>
      <c r="B45" t="str">
        <v>DP1000 — AHSS Sheet</v>
      </c>
      <c r="C45" t="str">
        <v/>
      </c>
      <c r="D45" t="str">
        <v>material</v>
      </c>
    </row>
    <row r="46">
      <c r="A46" t="str">
        <v>mat-trip780</v>
      </c>
      <c r="B46" t="str">
        <v>TRIP780 — AHSS Sheet</v>
      </c>
      <c r="C46" t="str">
        <v/>
      </c>
      <c r="D46" t="str">
        <v>material</v>
      </c>
    </row>
    <row r="47">
      <c r="A47" t="str">
        <v>mat-cp800</v>
      </c>
      <c r="B47" t="str">
        <v>CP800 (Complex Phase) — AHSS Sheet</v>
      </c>
      <c r="C47" t="str">
        <v/>
      </c>
      <c r="D47" t="str">
        <v>material</v>
      </c>
    </row>
    <row r="48">
      <c r="A48" t="str">
        <v>mat-ms1200</v>
      </c>
      <c r="B48" t="str">
        <v>MS1200 (Martensitic) — Ultra-High Strength Steel</v>
      </c>
      <c r="C48" t="str">
        <v/>
      </c>
      <c r="D48" t="str">
        <v>material</v>
      </c>
    </row>
    <row r="49">
      <c r="A49" t="str">
        <v>mat-ms1500</v>
      </c>
      <c r="B49" t="str">
        <v>MS1500 (Martensitic) — Ultra-High Strength Steel</v>
      </c>
      <c r="C49" t="str">
        <v/>
      </c>
      <c r="D49" t="str">
        <v>material</v>
      </c>
    </row>
    <row r="50">
      <c r="A50" t="str">
        <v>mat-usibor1500</v>
      </c>
      <c r="B50" t="str">
        <v>Usibor 1500 (AlSi-coated 22MnB5) — Press-Hardening Steel</v>
      </c>
      <c r="C50" t="str">
        <v/>
      </c>
      <c r="D50" t="str">
        <v>material</v>
      </c>
    </row>
    <row r="51">
      <c r="A51" t="str">
        <v>mat-usibor2000</v>
      </c>
      <c r="B51" t="str">
        <v>Usibor 2000 — Press-Hardening Steel</v>
      </c>
      <c r="C51" t="str">
        <v/>
      </c>
      <c r="D51" t="str">
        <v>material</v>
      </c>
    </row>
    <row r="52">
      <c r="A52" t="str">
        <v>mat-ms1300</v>
      </c>
      <c r="B52" t="str">
        <v>MS1300 (Martensitic) — Ultra-High Strength Steel</v>
      </c>
      <c r="C52" t="str">
        <v/>
      </c>
      <c r="D52" t="str">
        <v>material</v>
      </c>
    </row>
    <row r="53">
      <c r="A53" t="str">
        <v>mat-qp980</v>
      </c>
      <c r="B53" t="str">
        <v>QP980 (Quench &amp; Partition) — AHSS Sheet (3rd Gen)</v>
      </c>
      <c r="C53" t="str">
        <v/>
      </c>
      <c r="D53" t="str">
        <v>material</v>
      </c>
    </row>
    <row r="54">
      <c r="A54" t="str">
        <v>mat-medmn1180</v>
      </c>
      <c r="B54" t="str">
        <v>Medium-Mn 1180 — AHSS Sheet (3rd Gen)</v>
      </c>
      <c r="C54" t="str">
        <v/>
      </c>
      <c r="D54" t="str">
        <v>material</v>
      </c>
    </row>
    <row r="55">
      <c r="A55" t="str">
        <v>mat-hsla550</v>
      </c>
      <c r="B55" t="str">
        <v>HSLA 550 — High Strength Steel Sheet</v>
      </c>
      <c r="C55" t="str">
        <v/>
      </c>
      <c r="D55" t="str">
        <v>material</v>
      </c>
    </row>
    <row r="56">
      <c r="A56" t="str">
        <v>mat-bh260</v>
      </c>
      <c r="B56" t="str">
        <v>BH260 (Bake-Hardening) — Bake-Hardening Steel Sheet</v>
      </c>
      <c r="C56" t="str">
        <v/>
      </c>
      <c r="D56" t="str">
        <v>material</v>
      </c>
    </row>
    <row r="57">
      <c r="A57" t="str">
        <v>mat-if-dx56</v>
      </c>
      <c r="B57" t="str">
        <v>DX56D IF (Interstitial-Free) — IF Steel Sheet</v>
      </c>
      <c r="C57" t="str">
        <v/>
      </c>
      <c r="D57" t="str">
        <v>material</v>
      </c>
    </row>
    <row r="58">
      <c r="A58" t="str">
        <v>mat-if-hs260</v>
      </c>
      <c r="B58" t="str">
        <v>IF-HS 260 (High-Strength IF) — IF Steel Sheet</v>
      </c>
      <c r="C58" t="str">
        <v/>
      </c>
      <c r="D58" t="str">
        <v>material</v>
      </c>
    </row>
    <row r="59">
      <c r="A59" t="str">
        <v>mat-dc04</v>
      </c>
      <c r="B59" t="str">
        <v>DC04 (CR4 Deep-Drawing) — Mild Steel Sheet</v>
      </c>
      <c r="C59" t="str">
        <v/>
      </c>
      <c r="D59" t="str">
        <v>material</v>
      </c>
    </row>
    <row r="60">
      <c r="A60" t="str">
        <v>mat-dc05</v>
      </c>
      <c r="B60" t="str">
        <v>DC05 (Extra-Deep-Drawing) — Mild Steel Sheet</v>
      </c>
      <c r="C60" t="str">
        <v/>
      </c>
      <c r="D60" t="str">
        <v>material</v>
      </c>
    </row>
    <row r="61">
      <c r="A61" t="str">
        <v>mat-dc06</v>
      </c>
      <c r="B61" t="str">
        <v>DC06 (Super-Deep-Drawing IF) — Mild Steel Sheet</v>
      </c>
      <c r="C61" t="str">
        <v/>
      </c>
      <c r="D61" t="str">
        <v>material</v>
      </c>
    </row>
    <row r="62">
      <c r="A62" t="str">
        <v>mat-nogo-m270-35a</v>
      </c>
      <c r="B62" t="str">
        <v>M270-35A Non-Oriented Electrical (0.35mm) — Electrical Steel Sheet</v>
      </c>
      <c r="C62" t="str">
        <v/>
      </c>
      <c r="D62" t="str">
        <v>material</v>
      </c>
    </row>
    <row r="63">
      <c r="A63" t="str">
        <v>mat-nogo-m400-50a</v>
      </c>
      <c r="B63" t="str">
        <v>M400-50A Non-Oriented Electrical (0.50mm) — Electrical Steel Sheet</v>
      </c>
      <c r="C63" t="str">
        <v/>
      </c>
      <c r="D63" t="str">
        <v>material</v>
      </c>
    </row>
    <row r="64">
      <c r="A64" t="str">
        <v>mat-go-m105-30p</v>
      </c>
      <c r="B64" t="str">
        <v>M105-30P Grain-Oriented Electrical (0.30mm) — Electrical Steel Sheet</v>
      </c>
      <c r="C64" t="str">
        <v/>
      </c>
      <c r="D64" t="str">
        <v>material</v>
      </c>
    </row>
    <row r="65">
      <c r="A65" t="str">
        <v>mat-m235-35a</v>
      </c>
      <c r="B65" t="str">
        <v>M235-35A NO Electrical (0.35mm, premium low-loss) — Electrical Steel Sheet</v>
      </c>
      <c r="C65" t="str">
        <v/>
      </c>
      <c r="D65" t="str">
        <v>material</v>
      </c>
    </row>
    <row r="66">
      <c r="A66" t="str">
        <v>mat-m330-35a</v>
      </c>
      <c r="B66" t="str">
        <v>M330-35A NO Electrical (0.35mm) — Electrical Steel Sheet</v>
      </c>
      <c r="C66" t="str">
        <v/>
      </c>
      <c r="D66" t="str">
        <v>material</v>
      </c>
    </row>
    <row r="67">
      <c r="A67" t="str">
        <v>mat-m250-50a</v>
      </c>
      <c r="B67" t="str">
        <v>M250-50A NO Electrical (0.50mm, low-loss) — Electrical Steel Sheet</v>
      </c>
      <c r="C67" t="str">
        <v/>
      </c>
      <c r="D67" t="str">
        <v>material</v>
      </c>
    </row>
    <row r="68">
      <c r="A68" t="str">
        <v>mat-m470-50a</v>
      </c>
      <c r="B68" t="str">
        <v>M470-50A NO Electrical (0.50mm) — Electrical Steel Sheet</v>
      </c>
      <c r="C68" t="str">
        <v/>
      </c>
      <c r="D68" t="str">
        <v>material</v>
      </c>
    </row>
    <row r="69">
      <c r="A69" t="str">
        <v>mat-m600-50a</v>
      </c>
      <c r="B69" t="str">
        <v>M600-50A NO Electrical (0.50mm, economy) — Electrical Steel Sheet</v>
      </c>
      <c r="C69" t="str">
        <v/>
      </c>
      <c r="D69" t="str">
        <v>material</v>
      </c>
    </row>
    <row r="70">
      <c r="A70" t="str">
        <v>mat-m700-65a</v>
      </c>
      <c r="B70" t="str">
        <v>M700-65A NO Electrical (0.65mm, mains) — Electrical Steel Sheet</v>
      </c>
      <c r="C70" t="str">
        <v/>
      </c>
      <c r="D70" t="str">
        <v>material</v>
      </c>
    </row>
    <row r="71">
      <c r="A71" t="str">
        <v>mat-no27-27a</v>
      </c>
      <c r="B71" t="str">
        <v>NO27 (0.27mm EV Traction) — Electrical Steel Sheet</v>
      </c>
      <c r="C71" t="str">
        <v/>
      </c>
      <c r="D71" t="str">
        <v>material</v>
      </c>
    </row>
    <row r="72">
      <c r="A72" t="str">
        <v>mat-no25-25a</v>
      </c>
      <c r="B72" t="str">
        <v>NO25 (0.25mm EV Traction) — Electrical Steel Sheet</v>
      </c>
      <c r="C72" t="str">
        <v/>
      </c>
      <c r="D72" t="str">
        <v>material</v>
      </c>
    </row>
    <row r="73">
      <c r="A73" t="str">
        <v>mat-no20-20a</v>
      </c>
      <c r="B73" t="str">
        <v>NO20 (0.20mm High-Speed EV/aero) — Electrical Steel Sheet</v>
      </c>
      <c r="C73" t="str">
        <v/>
      </c>
      <c r="D73" t="str">
        <v>material</v>
      </c>
    </row>
    <row r="74">
      <c r="A74" t="str">
        <v>mat-cgo-m120-27</v>
      </c>
      <c r="B74" t="str">
        <v>M120-27S CGO (0.27mm Grain-Oriented) — Electrical Steel Sheet</v>
      </c>
      <c r="C74" t="str">
        <v/>
      </c>
      <c r="D74" t="str">
        <v>material</v>
      </c>
    </row>
    <row r="75">
      <c r="A75" t="str">
        <v>mat-hgo-m090-23</v>
      </c>
      <c r="B75" t="str">
        <v>M090-23P HGO Domain-Refined (0.23mm) — Electrical Steel Sheet</v>
      </c>
      <c r="C75" t="str">
        <v/>
      </c>
      <c r="D75" t="str">
        <v>material</v>
      </c>
    </row>
    <row r="76">
      <c r="A76" t="str">
        <v>mat-cofe-hiperco50</v>
      </c>
      <c r="B76" t="str">
        <v>Cobalt-Iron (Hiperco 50 / Vacodur 49) — Electrical Steel Sheet</v>
      </c>
      <c r="C76" t="str">
        <v/>
      </c>
      <c r="D76" t="str">
        <v>material</v>
      </c>
    </row>
    <row r="77">
      <c r="A77" t="str">
        <v>mat-nife-permalloy80</v>
      </c>
      <c r="B77" t="str">
        <v>Nickel-Iron Permalloy (80% Ni) — Electrical Steel Sheet</v>
      </c>
      <c r="C77" t="str">
        <v/>
      </c>
      <c r="D77" t="str">
        <v>material</v>
      </c>
    </row>
    <row r="78">
      <c r="A78" t="str">
        <v>mat-amorphous-2605sa1</v>
      </c>
      <c r="B78" t="str">
        <v>Amorphous Ribbon (Metglas 2605SA1) — Electrical Steel Sheet</v>
      </c>
      <c r="C78" t="str">
        <v/>
      </c>
      <c r="D78" t="str">
        <v>material</v>
      </c>
    </row>
    <row r="79">
      <c r="A79" t="str">
        <v>mat-no-semiproc-50</v>
      </c>
      <c r="B79" t="str">
        <v>Semi-Processed NO Electrical (0.50mm) — Electrical Steel Sheet</v>
      </c>
      <c r="C79" t="str">
        <v/>
      </c>
      <c r="D79" t="str">
        <v>material</v>
      </c>
    </row>
    <row r="80">
      <c r="A80" t="str">
        <v>mat-hsno-rotor-700</v>
      </c>
      <c r="B80" t="str">
        <v>High-Strength NO Electrical (~700 MPa, 0.30mm rotor) — Electrical Steel Sheet</v>
      </c>
      <c r="C80" t="str">
        <v/>
      </c>
      <c r="D80" t="str">
        <v>material</v>
      </c>
    </row>
    <row r="81">
      <c r="A81" t="str">
        <v>mat-hsno-rotor-960</v>
      </c>
      <c r="B81" t="str">
        <v>Ultra-High-Strength NO Electrical (~960 MPa, 0.20–0.27mm rotor) — Electrical Steel Sheet</v>
      </c>
      <c r="C81" t="str">
        <v/>
      </c>
      <c r="D81" t="str">
        <v>material</v>
      </c>
    </row>
    <row r="82">
      <c r="A82" t="str">
        <v>mat-no15-15a</v>
      </c>
      <c r="B82" t="str">
        <v>NO15 Ultra-Thin NO Electrical (0.15mm) — Electrical Steel Sheet</v>
      </c>
      <c r="C82" t="str">
        <v/>
      </c>
      <c r="D82" t="str">
        <v>material</v>
      </c>
    </row>
    <row r="83">
      <c r="A83" t="str">
        <v>mat-no10-10a</v>
      </c>
      <c r="B83" t="str">
        <v>NO10 Ultra-Thin NO Electrical (0.10mm) — Electrical Steel Sheet</v>
      </c>
      <c r="C83" t="str">
        <v/>
      </c>
      <c r="D83" t="str">
        <v>material</v>
      </c>
    </row>
    <row r="84">
      <c r="A84" t="str">
        <v>mat-si65-jnex-10</v>
      </c>
      <c r="B84" t="str">
        <v>6.5% Si High-Frequency Electrical (JNEX/Super-Core class, 0.10mm) — Electrical Steel Sheet</v>
      </c>
      <c r="C84" t="str">
        <v/>
      </c>
      <c r="D84" t="str">
        <v>material</v>
      </c>
    </row>
    <row r="85">
      <c r="A85" t="str">
        <v>mat-uhsno-1100</v>
      </c>
      <c r="B85" t="str">
        <v>Ultra-High-Strength NO Electrical (~1100 MPa, 30k-rpm rotor) — Electrical Steel Sheet</v>
      </c>
      <c r="C85" t="str">
        <v/>
      </c>
      <c r="D85" t="str">
        <v>material</v>
      </c>
    </row>
    <row r="86">
      <c r="A86" t="str">
        <v>mat-cofe-thin-010</v>
      </c>
      <c r="B86" t="str">
        <v>Cobalt-Iron Thin-Gauge (0.10mm, Vacoflux/Hiperco) — Electrical Steel Sheet</v>
      </c>
      <c r="C86" t="str">
        <v/>
      </c>
      <c r="D86" t="str">
        <v>material</v>
      </c>
    </row>
    <row r="87">
      <c r="A87" t="str">
        <v>mat-cu-hairpin</v>
      </c>
      <c r="B87" t="str">
        <v>Rectangular Enamelled Hairpin Copper (winding) — Winding Copper (Hairpin)</v>
      </c>
      <c r="C87" t="str">
        <v/>
      </c>
      <c r="D87" t="str">
        <v>material</v>
      </c>
    </row>
    <row r="88">
      <c r="A88" t="str">
        <v>mat-al-hairpin</v>
      </c>
      <c r="B88" t="str">
        <v>Rectangular Enamelled Hairpin Aluminium (winding) — Winding Aluminium (Hairpin)</v>
      </c>
      <c r="C88" t="str">
        <v/>
      </c>
      <c r="D88" t="str">
        <v>material</v>
      </c>
    </row>
    <row r="89">
      <c r="A89" t="str">
        <v>mat-al-busbar</v>
      </c>
      <c r="B89" t="str">
        <v>Aluminium Busbar (EV / battery) — Aluminium Sheet</v>
      </c>
      <c r="C89" t="str">
        <v/>
      </c>
      <c r="D89" t="str">
        <v>material</v>
      </c>
    </row>
    <row r="90">
      <c r="A90" t="str">
        <v>mat-c67s-spring</v>
      </c>
      <c r="B90" t="str">
        <v>C67S / 1.1231 (CR Spring Strip) — Spring Steel Strip</v>
      </c>
      <c r="C90" t="str">
        <v/>
      </c>
      <c r="D90" t="str">
        <v>material</v>
      </c>
    </row>
    <row r="91">
      <c r="A91" t="str">
        <v>mat-ss301-spring</v>
      </c>
      <c r="B91" t="str">
        <v>301 Spring-Temper Stainless Strip — Spring Steel Strip</v>
      </c>
      <c r="C91" t="str">
        <v/>
      </c>
      <c r="D91" t="str">
        <v>material</v>
      </c>
    </row>
    <row r="92">
      <c r="A92" t="str">
        <v>mat-znni-eg</v>
      </c>
      <c r="B92" t="str">
        <v>Zn-Ni Electrogalvanised — Coated Steel Sheet</v>
      </c>
      <c r="C92" t="str">
        <v/>
      </c>
      <c r="D92" t="str">
        <v>material</v>
      </c>
    </row>
    <row r="93">
      <c r="A93" t="str">
        <v>mat-zm-coated</v>
      </c>
      <c r="B93" t="str">
        <v>ZM (Zn-Mg-Al) Coated — Coated Steel Sheet</v>
      </c>
      <c r="C93" t="str">
        <v/>
      </c>
      <c r="D93" t="str">
        <v>material</v>
      </c>
    </row>
    <row r="94">
      <c r="A94" t="str">
        <v>mat-tinplate-etp</v>
      </c>
      <c r="B94" t="str">
        <v>Tinplate (ETP) — Coated Steel Sheet</v>
      </c>
      <c r="C94" t="str">
        <v/>
      </c>
      <c r="D94" t="str">
        <v>material</v>
      </c>
    </row>
    <row r="95">
      <c r="A95" t="str">
        <v>mat-aa6016-t4</v>
      </c>
      <c r="B95" t="str">
        <v>AA6016-T4 Sheet (Auto Skin) — Aluminium Sheet</v>
      </c>
      <c r="C95" t="str">
        <v/>
      </c>
      <c r="D95" t="str">
        <v>material</v>
      </c>
    </row>
    <row r="96">
      <c r="A96" t="str">
        <v>mat-aa6111-t4</v>
      </c>
      <c r="B96" t="str">
        <v>AA6111-T4 Sheet (Auto Skin) — Aluminium Sheet</v>
      </c>
      <c r="C96" t="str">
        <v/>
      </c>
      <c r="D96" t="str">
        <v>material</v>
      </c>
    </row>
    <row r="97">
      <c r="A97" t="str">
        <v>mat-aa7075-t6</v>
      </c>
      <c r="B97" t="str">
        <v>AA7075-T6 Sheet/Plate — Aluminium Sheet</v>
      </c>
      <c r="C97" t="str">
        <v/>
      </c>
      <c r="D97" t="str">
        <v>material</v>
      </c>
    </row>
    <row r="98">
      <c r="A98" t="str">
        <v>mat-greensteel-dc01</v>
      </c>
      <c r="B98" t="str">
        <v>Low-CO₂ "Green" Steel (H₂-DRI, DC01 equiv.) — Low-Carbon Steel Sheet</v>
      </c>
      <c r="C98" t="str">
        <v/>
      </c>
      <c r="D98" t="str">
        <v>material</v>
      </c>
    </row>
    <row r="99">
      <c r="A99" t="str">
        <v>mat-al-recycled-5xxx</v>
      </c>
      <c r="B99" t="str">
        <v>Recycled-Content Al 5xxx (Secondary) — Aluminium Sheet</v>
      </c>
      <c r="C99" t="str">
        <v/>
      </c>
      <c r="D99" t="str">
        <v>material</v>
      </c>
    </row>
    <row r="100">
      <c r="A100" t="str">
        <v>mat-pp</v>
      </c>
      <c r="B100" t="str">
        <v>PP Copolymer — Thermoplastic</v>
      </c>
      <c r="C100" t="str">
        <v/>
      </c>
      <c r="D100" t="str">
        <v>material</v>
      </c>
    </row>
    <row r="101">
      <c r="A101" t="str">
        <v>mat-abs</v>
      </c>
      <c r="B101" t="str">
        <v>ABS — Thermoplastic</v>
      </c>
      <c r="C101" t="str">
        <v/>
      </c>
      <c r="D101" t="str">
        <v>material</v>
      </c>
    </row>
    <row r="102">
      <c r="A102" t="str">
        <v>mat-pa66gf30</v>
      </c>
      <c r="B102" t="str">
        <v>PA66 GF30 — Thermoplastic</v>
      </c>
      <c r="C102" t="str">
        <v/>
      </c>
      <c r="D102" t="str">
        <v>material</v>
      </c>
    </row>
    <row r="103">
      <c r="A103" t="str">
        <v>mat-pc</v>
      </c>
      <c r="B103" t="str">
        <v>PC (Lexan) — Thermoplastic</v>
      </c>
      <c r="C103" t="str">
        <v/>
      </c>
      <c r="D103" t="str">
        <v>material</v>
      </c>
    </row>
    <row r="104">
      <c r="A104" t="str">
        <v>mat-hdpe</v>
      </c>
      <c r="B104" t="str">
        <v>HDPE — Thermoplastic</v>
      </c>
      <c r="C104" t="str">
        <v/>
      </c>
      <c r="D104" t="str">
        <v>material</v>
      </c>
    </row>
    <row r="105">
      <c r="A105" t="str">
        <v>mat-pom</v>
      </c>
      <c r="B105" t="str">
        <v>POM / Acetal (Delrin) — Thermoplastic</v>
      </c>
      <c r="C105" t="str">
        <v/>
      </c>
      <c r="D105" t="str">
        <v>material</v>
      </c>
    </row>
    <row r="106">
      <c r="A106" t="str">
        <v>mat-pbt-gf30</v>
      </c>
      <c r="B106" t="str">
        <v>PBT GF30 — Thermoplastic</v>
      </c>
      <c r="C106" t="str">
        <v/>
      </c>
      <c r="D106" t="str">
        <v>material</v>
      </c>
    </row>
    <row r="107">
      <c r="A107" t="str">
        <v>mat-tpu-shore85</v>
      </c>
      <c r="B107" t="str">
        <v>TPU Shore 85A — Thermoplastic Elastomer</v>
      </c>
      <c r="C107" t="str">
        <v/>
      </c>
      <c r="D107" t="str">
        <v>material</v>
      </c>
    </row>
    <row r="108">
      <c r="A108" t="str">
        <v>mat-ldpe</v>
      </c>
      <c r="B108" t="str">
        <v>LDPE (2426H) — Thermoplastic</v>
      </c>
      <c r="C108" t="str">
        <v/>
      </c>
      <c r="D108" t="str">
        <v>material</v>
      </c>
    </row>
    <row r="109">
      <c r="A109" t="str">
        <v>mat-lldpe</v>
      </c>
      <c r="B109" t="str">
        <v>LLDPE C6 — Thermoplastic</v>
      </c>
      <c r="C109" t="str">
        <v/>
      </c>
      <c r="D109" t="str">
        <v>material</v>
      </c>
    </row>
    <row r="110">
      <c r="A110" t="str">
        <v>mat-pp-homo</v>
      </c>
      <c r="B110" t="str">
        <v>PP Homopolymer (MFI 12) — Thermoplastic</v>
      </c>
      <c r="C110" t="str">
        <v/>
      </c>
      <c r="D110" t="str">
        <v>material</v>
      </c>
    </row>
    <row r="111">
      <c r="A111" t="str">
        <v>mat-pp-impact</v>
      </c>
      <c r="B111" t="str">
        <v>PP Impact Copolymer (PP-B) — Thermoplastic</v>
      </c>
      <c r="C111" t="str">
        <v/>
      </c>
      <c r="D111" t="str">
        <v>material</v>
      </c>
    </row>
    <row r="112">
      <c r="A112" t="str">
        <v>mat-pp-gf30</v>
      </c>
      <c r="B112" t="str">
        <v>PP GF30 (Short Glass) — Thermoplastic</v>
      </c>
      <c r="C112" t="str">
        <v/>
      </c>
      <c r="D112" t="str">
        <v>material</v>
      </c>
    </row>
    <row r="113">
      <c r="A113" t="str">
        <v>mat-pet-bg</v>
      </c>
      <c r="B113" t="str">
        <v>PET Bottle Grade (1101) — Thermoplastic</v>
      </c>
      <c r="C113" t="str">
        <v/>
      </c>
      <c r="D113" t="str">
        <v>material</v>
      </c>
    </row>
    <row r="114">
      <c r="A114" t="str">
        <v>mat-pet-gf30</v>
      </c>
      <c r="B114" t="str">
        <v>PET GF30 (Engineering) — Thermoplastic</v>
      </c>
      <c r="C114" t="str">
        <v/>
      </c>
      <c r="D114" t="str">
        <v>material</v>
      </c>
    </row>
    <row r="115">
      <c r="A115" t="str">
        <v>mat-upvc</v>
      </c>
      <c r="B115" t="str">
        <v>Rigid PVC (uPVC pipe grade) — Thermoplastic</v>
      </c>
      <c r="C115" t="str">
        <v/>
      </c>
      <c r="D115" t="str">
        <v>material</v>
      </c>
    </row>
    <row r="116">
      <c r="A116" t="str">
        <v>mat-fpvc</v>
      </c>
      <c r="B116" t="str">
        <v>Flexible PVC (fPVC plasticised) — Thermoplastic</v>
      </c>
      <c r="C116" t="str">
        <v/>
      </c>
      <c r="D116" t="str">
        <v>material</v>
      </c>
    </row>
    <row r="117">
      <c r="A117" t="str">
        <v>mat-gpps</v>
      </c>
      <c r="B117" t="str">
        <v>GPPS (Crystal PS) — Thermoplastic</v>
      </c>
      <c r="C117" t="str">
        <v/>
      </c>
      <c r="D117" t="str">
        <v>material</v>
      </c>
    </row>
    <row r="118">
      <c r="A118" t="str">
        <v>mat-hips</v>
      </c>
      <c r="B118" t="str">
        <v>HIPS (High Impact PS) — Thermoplastic</v>
      </c>
      <c r="C118" t="str">
        <v/>
      </c>
      <c r="D118" t="str">
        <v>material</v>
      </c>
    </row>
    <row r="119">
      <c r="A119" t="str">
        <v>mat-pc-abs</v>
      </c>
      <c r="B119" t="str">
        <v>PC/ABS Blend (automotive grade) — Thermoplastic</v>
      </c>
      <c r="C119" t="str">
        <v/>
      </c>
      <c r="D119" t="str">
        <v>material</v>
      </c>
    </row>
    <row r="120">
      <c r="A120" t="str">
        <v>mat-pa6</v>
      </c>
      <c r="B120" t="str">
        <v>PA6 Unfilled — Thermoplastic</v>
      </c>
      <c r="C120" t="str">
        <v/>
      </c>
      <c r="D120" t="str">
        <v>material</v>
      </c>
    </row>
    <row r="121">
      <c r="A121" t="str">
        <v>mat-pa6-gf30</v>
      </c>
      <c r="B121" t="str">
        <v>PA6 GF30 — Thermoplastic</v>
      </c>
      <c r="C121" t="str">
        <v/>
      </c>
      <c r="D121" t="str">
        <v>material</v>
      </c>
    </row>
    <row r="122">
      <c r="A122" t="str">
        <v>mat-pa66</v>
      </c>
      <c r="B122" t="str">
        <v>PA66 Unfilled — Thermoplastic</v>
      </c>
      <c r="C122" t="str">
        <v/>
      </c>
      <c r="D122" t="str">
        <v>material</v>
      </c>
    </row>
    <row r="123">
      <c r="A123" t="str">
        <v>mat-peek</v>
      </c>
      <c r="B123" t="str">
        <v>PEEK Unfilled — High-Performance Thermoplastic</v>
      </c>
      <c r="C123" t="str">
        <v/>
      </c>
      <c r="D123" t="str">
        <v>material</v>
      </c>
    </row>
    <row r="124">
      <c r="A124" t="str">
        <v>mat-peek-gf30</v>
      </c>
      <c r="B124" t="str">
        <v>PEEK GF30 — High-Performance Thermoplastic</v>
      </c>
      <c r="C124" t="str">
        <v/>
      </c>
      <c r="D124" t="str">
        <v>material</v>
      </c>
    </row>
    <row r="125">
      <c r="A125" t="str">
        <v>mat-asa</v>
      </c>
      <c r="B125" t="str">
        <v>ASA (Weatherable) — Thermoplastic</v>
      </c>
      <c r="C125" t="str">
        <v/>
      </c>
      <c r="D125" t="str">
        <v>material</v>
      </c>
    </row>
    <row r="126">
      <c r="A126" t="str">
        <v>mat-san</v>
      </c>
      <c r="B126" t="str">
        <v>SAN (Styrene-Acrylonitrile) — Thermoplastic</v>
      </c>
      <c r="C126" t="str">
        <v/>
      </c>
      <c r="D126" t="str">
        <v>material</v>
      </c>
    </row>
    <row r="127">
      <c r="A127" t="str">
        <v>mat-pp-t20</v>
      </c>
      <c r="B127" t="str">
        <v>PP-T20 (20% Talc-filled) — Thermoplastic</v>
      </c>
      <c r="C127" t="str">
        <v/>
      </c>
      <c r="D127" t="str">
        <v>material</v>
      </c>
    </row>
    <row r="128">
      <c r="A128" t="str">
        <v>mat-pp-t30</v>
      </c>
      <c r="B128" t="str">
        <v>PP-T30 (30% Mineral/Talc-filled) — Thermoplastic</v>
      </c>
      <c r="C128" t="str">
        <v/>
      </c>
      <c r="D128" t="str">
        <v>material</v>
      </c>
    </row>
    <row r="129">
      <c r="A129" t="str">
        <v>mat-pp-lgf30</v>
      </c>
      <c r="B129" t="str">
        <v>PP-LGF30 (Long-Glass PP) — Thermoplastic</v>
      </c>
      <c r="C129" t="str">
        <v/>
      </c>
      <c r="D129" t="str">
        <v>material</v>
      </c>
    </row>
    <row r="130">
      <c r="A130" t="str">
        <v>mat-tpo</v>
      </c>
      <c r="B130" t="str">
        <v>TPO (Thermoplastic Olefin) — Thermoplastic</v>
      </c>
      <c r="C130" t="str">
        <v/>
      </c>
      <c r="D130" t="str">
        <v>material</v>
      </c>
    </row>
    <row r="131">
      <c r="A131" t="str">
        <v>mat-tpv</v>
      </c>
      <c r="B131" t="str">
        <v>TPV (Santoprene-type) — Thermoplastic Elastomer</v>
      </c>
      <c r="C131" t="str">
        <v/>
      </c>
      <c r="D131" t="str">
        <v>material</v>
      </c>
    </row>
    <row r="132">
      <c r="A132" t="str">
        <v>mat-pmma</v>
      </c>
      <c r="B132" t="str">
        <v>PMMA (Acrylic) — Thermoplastic</v>
      </c>
      <c r="C132" t="str">
        <v/>
      </c>
      <c r="D132" t="str">
        <v>material</v>
      </c>
    </row>
    <row r="133">
      <c r="A133" t="str">
        <v>mat-pps-gf40</v>
      </c>
      <c r="B133" t="str">
        <v>PPS GF40 — High-Performance Thermoplastic</v>
      </c>
      <c r="C133" t="str">
        <v/>
      </c>
      <c r="D133" t="str">
        <v>material</v>
      </c>
    </row>
    <row r="134">
      <c r="A134" t="str">
        <v>mat-ppa-gf35</v>
      </c>
      <c r="B134" t="str">
        <v>PPA GF35 (High-Temp Polyamide) — High-Performance Thermoplastic</v>
      </c>
      <c r="C134" t="str">
        <v/>
      </c>
      <c r="D134" t="str">
        <v>material</v>
      </c>
    </row>
    <row r="135">
      <c r="A135" t="str">
        <v>mat-pei</v>
      </c>
      <c r="B135" t="str">
        <v>PEI (Ultem, Unfilled) — High-Performance Thermoplastic</v>
      </c>
      <c r="C135" t="str">
        <v/>
      </c>
      <c r="D135" t="str">
        <v>material</v>
      </c>
    </row>
    <row r="136">
      <c r="A136" t="str">
        <v>mat-pei-gf30</v>
      </c>
      <c r="B136" t="str">
        <v>PEI GF30 — High-Performance Thermoplastic</v>
      </c>
      <c r="C136" t="str">
        <v/>
      </c>
      <c r="D136" t="str">
        <v>material</v>
      </c>
    </row>
    <row r="137">
      <c r="A137" t="str">
        <v>mat-lcp-gf30</v>
      </c>
      <c r="B137" t="str">
        <v>LCP GF30 (Liquid-Crystal Polymer) — High-Performance Thermoplastic</v>
      </c>
      <c r="C137" t="str">
        <v/>
      </c>
      <c r="D137" t="str">
        <v>material</v>
      </c>
    </row>
    <row r="138">
      <c r="A138" t="str">
        <v>mat-pa66-gf35</v>
      </c>
      <c r="B138" t="str">
        <v>PA66 GF35 — Thermoplastic</v>
      </c>
      <c r="C138" t="str">
        <v/>
      </c>
      <c r="D138" t="str">
        <v>material</v>
      </c>
    </row>
    <row r="139">
      <c r="A139" t="str">
        <v>mat-pa66-gf50</v>
      </c>
      <c r="B139" t="str">
        <v>PA66 GF50 — Thermoplastic</v>
      </c>
      <c r="C139" t="str">
        <v/>
      </c>
      <c r="D139" t="str">
        <v>material</v>
      </c>
    </row>
    <row r="140">
      <c r="A140" t="str">
        <v>mat-pa66-min</v>
      </c>
      <c r="B140" t="str">
        <v>PA66 Mineral-filled (Low-Warp) — Thermoplastic</v>
      </c>
      <c r="C140" t="str">
        <v/>
      </c>
      <c r="D140" t="str">
        <v>material</v>
      </c>
    </row>
    <row r="141">
      <c r="A141" t="str">
        <v>mat-pa12</v>
      </c>
      <c r="B141" t="str">
        <v>PA12 (Nylon 12) — Thermoplastic</v>
      </c>
      <c r="C141" t="str">
        <v/>
      </c>
      <c r="D141" t="str">
        <v>material</v>
      </c>
    </row>
    <row r="142">
      <c r="A142" t="str">
        <v>mat-pc-pbt</v>
      </c>
      <c r="B142" t="str">
        <v>PC/PBT Blend — Thermoplastic</v>
      </c>
      <c r="C142" t="str">
        <v/>
      </c>
      <c r="D142" t="str">
        <v>material</v>
      </c>
    </row>
    <row r="143">
      <c r="A143" t="str">
        <v>mat-mppe</v>
      </c>
      <c r="B143" t="str">
        <v>mPPE / PPO (Noryl-type) — Thermoplastic</v>
      </c>
      <c r="C143" t="str">
        <v/>
      </c>
      <c r="D143" t="str">
        <v>material</v>
      </c>
    </row>
    <row r="144">
      <c r="A144" t="str">
        <v>mat-pc-fr</v>
      </c>
      <c r="B144" t="str">
        <v>PC FR (UL94 V0) — Thermoplastic</v>
      </c>
      <c r="C144" t="str">
        <v/>
      </c>
      <c r="D144" t="str">
        <v>material</v>
      </c>
    </row>
    <row r="145">
      <c r="A145" t="str">
        <v>mat-pa66-gf25-fr</v>
      </c>
      <c r="B145" t="str">
        <v>PA66 GF25 FR (UL94 V0) — Thermoplastic</v>
      </c>
      <c r="C145" t="str">
        <v/>
      </c>
      <c r="D145" t="str">
        <v>material</v>
      </c>
    </row>
    <row r="146">
      <c r="A146" t="str">
        <v>mat-pcr-pp</v>
      </c>
      <c r="B146" t="str">
        <v>PCR PP (Post-Consumer Recycled) — Thermoplastic</v>
      </c>
      <c r="C146" t="str">
        <v/>
      </c>
      <c r="D146" t="str">
        <v>material</v>
      </c>
    </row>
    <row r="147">
      <c r="A147" t="str">
        <v>mat-bio-pa610</v>
      </c>
      <c r="B147" t="str">
        <v>Bio-PA610 (Castor-based) — High-Performance Thermoplastic</v>
      </c>
      <c r="C147" t="str">
        <v/>
      </c>
      <c r="D147" t="str">
        <v>material</v>
      </c>
    </row>
    <row r="148">
      <c r="A148" t="str">
        <v>mat-pc-glazing</v>
      </c>
      <c r="B148" t="str">
        <v>PC Glazing Grade (Automotive) — Thermoplastic</v>
      </c>
      <c r="C148" t="str">
        <v/>
      </c>
      <c r="D148" t="str">
        <v>material</v>
      </c>
    </row>
    <row r="149">
      <c r="A149" t="str">
        <v>mat-adc12</v>
      </c>
      <c r="B149" t="str">
        <v>ADC12 / A383 — Die Cast Aluminium</v>
      </c>
      <c r="C149" t="str">
        <v/>
      </c>
      <c r="D149" t="str">
        <v>material</v>
      </c>
    </row>
    <row r="150">
      <c r="A150" t="str">
        <v>mat-a380</v>
      </c>
      <c r="B150" t="str">
        <v>A380 / EN AC-46000 (Al-Si Die-Cast Alloy) — Die Cast Aluminium</v>
      </c>
      <c r="C150" t="str">
        <v/>
      </c>
      <c r="D150" t="str">
        <v>material</v>
      </c>
    </row>
    <row r="151">
      <c r="A151" t="str">
        <v>mat-gjl250</v>
      </c>
      <c r="B151" t="str">
        <v>EN-GJL-250 — Grey Cast Iron</v>
      </c>
      <c r="C151" t="str">
        <v/>
      </c>
      <c r="D151" t="str">
        <v>material</v>
      </c>
    </row>
    <row r="152">
      <c r="A152" t="str">
        <v>mat-lm25</v>
      </c>
      <c r="B152" t="str">
        <v>LM25 / A356 — Gravity/Sand Aluminium</v>
      </c>
      <c r="C152" t="str">
        <v/>
      </c>
      <c r="D152" t="str">
        <v>material</v>
      </c>
    </row>
    <row r="153">
      <c r="A153" t="str">
        <v>mat-gjl350</v>
      </c>
      <c r="B153" t="str">
        <v>EN-GJL-350 — Grey Cast Iron</v>
      </c>
      <c r="C153" t="str">
        <v/>
      </c>
      <c r="D153" t="str">
        <v>material</v>
      </c>
    </row>
    <row r="154">
      <c r="A154" t="str">
        <v>mat-bronze-c905</v>
      </c>
      <c r="B154" t="str">
        <v>C905 Phosphor Bronze — Copper Alloy</v>
      </c>
      <c r="C154" t="str">
        <v/>
      </c>
      <c r="D154" t="str">
        <v>material</v>
      </c>
    </row>
    <row r="155">
      <c r="A155" t="str">
        <v>mat-mag-az91</v>
      </c>
      <c r="B155" t="str">
        <v>AZ91D Magnesium Die Cast — Magnesium Alloy</v>
      </c>
      <c r="C155" t="str">
        <v/>
      </c>
      <c r="D155" t="str">
        <v>material</v>
      </c>
    </row>
    <row r="156">
      <c r="A156" t="str">
        <v>mat-ss304-cast</v>
      </c>
      <c r="B156" t="str">
        <v>CF8 / 304 Cast Stainless — Cast Stainless Steel</v>
      </c>
      <c r="C156" t="str">
        <v/>
      </c>
      <c r="D156" t="str">
        <v>material</v>
      </c>
    </row>
    <row r="157">
      <c r="A157" t="str">
        <v>mat-adc12-secondary</v>
      </c>
      <c r="B157" t="str">
        <v>ADC12 Secondary (recycled) — Die Cast Aluminium</v>
      </c>
      <c r="C157" t="str">
        <v/>
      </c>
      <c r="D157" t="str">
        <v>material</v>
      </c>
    </row>
    <row r="158">
      <c r="A158" t="str">
        <v>mat-alsi10mg</v>
      </c>
      <c r="B158" t="str">
        <v>AlSi10Mg (A360/Scalmalloy) — Die Cast Aluminium</v>
      </c>
      <c r="C158" t="str">
        <v/>
      </c>
      <c r="D158" t="str">
        <v>material</v>
      </c>
    </row>
    <row r="159">
      <c r="A159" t="str">
        <v>mat-a365</v>
      </c>
      <c r="B159" t="str">
        <v>A365 / AlSi7Mg — Die Cast Aluminium</v>
      </c>
      <c r="C159" t="str">
        <v/>
      </c>
      <c r="D159" t="str">
        <v>material</v>
      </c>
    </row>
    <row r="160">
      <c r="A160" t="str">
        <v>mat-zamak3</v>
      </c>
      <c r="B160" t="str">
        <v>Zamak 3 (Zinc Die Cast) — Zinc Die Cast</v>
      </c>
      <c r="C160" t="str">
        <v/>
      </c>
      <c r="D160" t="str">
        <v>material</v>
      </c>
    </row>
    <row r="161">
      <c r="A161" t="str">
        <v>mat-zamak5</v>
      </c>
      <c r="B161" t="str">
        <v>Zamak 5 (Zinc Die Cast, Hi-Strength) — Zinc Die Cast</v>
      </c>
      <c r="C161" t="str">
        <v/>
      </c>
      <c r="D161" t="str">
        <v>material</v>
      </c>
    </row>
    <row r="162">
      <c r="A162" t="str">
        <v>mat-gjs400</v>
      </c>
      <c r="B162" t="str">
        <v>EN-GJS-400-15 (Ductile Iron) — Ductile Cast Iron</v>
      </c>
      <c r="C162" t="str">
        <v/>
      </c>
      <c r="D162" t="str">
        <v>material</v>
      </c>
    </row>
    <row r="163">
      <c r="A163" t="str">
        <v>mat-gjs600</v>
      </c>
      <c r="B163" t="str">
        <v>EN-GJS-600-3 (Ductile Iron Hi-Strength) — Ductile Cast Iron</v>
      </c>
      <c r="C163" t="str">
        <v/>
      </c>
      <c r="D163" t="str">
        <v>material</v>
      </c>
    </row>
    <row r="164">
      <c r="A164" t="str">
        <v>mat-aural5</v>
      </c>
      <c r="B164" t="str">
        <v>Aural-5 (AlSi9MnMg, Rheinfelden) — Structural HPDC Aluminium</v>
      </c>
      <c r="C164" t="str">
        <v/>
      </c>
      <c r="D164" t="str">
        <v>material</v>
      </c>
    </row>
    <row r="165">
      <c r="A165" t="str">
        <v>mat-silafont36</v>
      </c>
      <c r="B165" t="str">
        <v>Silafont-36 (AlSi10MnMg) — Structural HPDC Aluminium</v>
      </c>
      <c r="C165" t="str">
        <v/>
      </c>
      <c r="D165" t="str">
        <v>material</v>
      </c>
    </row>
    <row r="166">
      <c r="A166" t="str">
        <v>mat-castasil37</v>
      </c>
      <c r="B166" t="str">
        <v>Castasil-37 (AlSi9MnMoZr) — Structural HPDC Aluminium</v>
      </c>
      <c r="C166" t="str">
        <v/>
      </c>
      <c r="D166" t="str">
        <v>material</v>
      </c>
    </row>
    <row r="167">
      <c r="A167" t="str">
        <v>mat-magsimal59</v>
      </c>
      <c r="B167" t="str">
        <v>Magsimal-59 (AlMg5Si2Mn) — Structural HPDC Aluminium</v>
      </c>
      <c r="C167" t="str">
        <v/>
      </c>
      <c r="D167" t="str">
        <v>material</v>
      </c>
    </row>
    <row r="168">
      <c r="A168" t="str">
        <v>mat-al-hpdc-lowco2</v>
      </c>
      <c r="B168" t="str">
        <v>Low-CO₂ Recycled HPDC (AlSi10MnMg) — Structural HPDC Aluminium</v>
      </c>
      <c r="C168" t="str">
        <v/>
      </c>
      <c r="D168" t="str">
        <v>material</v>
      </c>
    </row>
    <row r="169">
      <c r="A169" t="str">
        <v>mat-htf-gigacast</v>
      </c>
      <c r="B169" t="str">
        <v>Heat-Treat-Free Giga-Casting Alloy (Xiaomi Titan / Tesla-class) — Structural HPDC Aluminium</v>
      </c>
      <c r="C169" t="str">
        <v/>
      </c>
      <c r="D169" t="str">
        <v>material</v>
      </c>
    </row>
    <row r="170">
      <c r="A170" t="str">
        <v>mat-a413</v>
      </c>
      <c r="B170" t="str">
        <v>A413 / AlSi12 (Eutectic Die Cast) — Die Cast Aluminium</v>
      </c>
      <c r="C170" t="str">
        <v/>
      </c>
      <c r="D170" t="str">
        <v>material</v>
      </c>
    </row>
    <row r="171">
      <c r="A171" t="str">
        <v>mat-a319</v>
      </c>
      <c r="B171" t="str">
        <v>A319 / AlSi6Cu4 — Die Cast Aluminium</v>
      </c>
      <c r="C171" t="str">
        <v/>
      </c>
      <c r="D171" t="str">
        <v>material</v>
      </c>
    </row>
    <row r="172">
      <c r="A172" t="str">
        <v>mat-a390</v>
      </c>
      <c r="B172" t="str">
        <v>A390 / AlSi17Cu (Hypereutectic) — Die Cast Aluminium</v>
      </c>
      <c r="C172" t="str">
        <v/>
      </c>
      <c r="D172" t="str">
        <v>material</v>
      </c>
    </row>
    <row r="173">
      <c r="A173" t="str">
        <v>mat-a357</v>
      </c>
      <c r="B173" t="str">
        <v>A357 / AlSi7Mg0.6 (Premium T6) — Gravity/Sand Aluminium</v>
      </c>
      <c r="C173" t="str">
        <v/>
      </c>
      <c r="D173" t="str">
        <v>material</v>
      </c>
    </row>
    <row r="174">
      <c r="A174" t="str">
        <v>mat-gjl200</v>
      </c>
      <c r="B174" t="str">
        <v>EN-GJL-200 (Grey Iron) — Grey Cast Iron</v>
      </c>
      <c r="C174" t="str">
        <v/>
      </c>
      <c r="D174" t="str">
        <v>material</v>
      </c>
    </row>
    <row r="175">
      <c r="A175" t="str">
        <v>mat-gjl300</v>
      </c>
      <c r="B175" t="str">
        <v>EN-GJL-300 (Grey Iron Hi-Strength) — Grey Cast Iron</v>
      </c>
      <c r="C175" t="str">
        <v/>
      </c>
      <c r="D175" t="str">
        <v>material</v>
      </c>
    </row>
    <row r="176">
      <c r="A176" t="str">
        <v>mat-gjs500</v>
      </c>
      <c r="B176" t="str">
        <v>EN-GJS-500-7 (Ductile Iron) — Ductile Cast Iron</v>
      </c>
      <c r="C176" t="str">
        <v/>
      </c>
      <c r="D176" t="str">
        <v>material</v>
      </c>
    </row>
    <row r="177">
      <c r="A177" t="str">
        <v>mat-gjs700</v>
      </c>
      <c r="B177" t="str">
        <v>EN-GJS-700-2 (Ductile Iron Hi-Strength) — Ductile Cast Iron</v>
      </c>
      <c r="C177" t="str">
        <v/>
      </c>
      <c r="D177" t="str">
        <v>material</v>
      </c>
    </row>
    <row r="178">
      <c r="A178" t="str">
        <v>mat-gjv450</v>
      </c>
      <c r="B178" t="str">
        <v>EN-GJV-450 (Compacted Graphite Iron) — Compacted Graphite Iron</v>
      </c>
      <c r="C178" t="str">
        <v/>
      </c>
      <c r="D178" t="str">
        <v>material</v>
      </c>
    </row>
    <row r="179">
      <c r="A179" t="str">
        <v>mat-simo</v>
      </c>
      <c r="B179" t="str">
        <v>EN-GJS-SiMo (Heat-Resistant Ductile) — Ductile Cast Iron</v>
      </c>
      <c r="C179" t="str">
        <v/>
      </c>
      <c r="D179" t="str">
        <v>material</v>
      </c>
    </row>
    <row r="180">
      <c r="A180" t="str">
        <v>mat-adi</v>
      </c>
      <c r="B180" t="str">
        <v>EN-GJS-800 ADI (Austempered Ductile Iron) — Ductile Cast Iron</v>
      </c>
      <c r="C180" t="str">
        <v/>
      </c>
      <c r="D180" t="str">
        <v>material</v>
      </c>
    </row>
    <row r="181">
      <c r="A181" t="str">
        <v>mat-mag-am60</v>
      </c>
      <c r="B181" t="str">
        <v>AM60B Magnesium Die Cast — Magnesium Alloy</v>
      </c>
      <c r="C181" t="str">
        <v/>
      </c>
      <c r="D181" t="str">
        <v>material</v>
      </c>
    </row>
    <row r="182">
      <c r="A182" t="str">
        <v>mat-mag-am50</v>
      </c>
      <c r="B182" t="str">
        <v>AM50A Magnesium Die Cast — Magnesium Alloy</v>
      </c>
      <c r="C182" t="str">
        <v/>
      </c>
      <c r="D182" t="str">
        <v>material</v>
      </c>
    </row>
    <row r="183">
      <c r="A183" t="str">
        <v>mat-mag-ae44</v>
      </c>
      <c r="B183" t="str">
        <v>AE44 Magnesium (Creep-Resistant) — Magnesium Alloy</v>
      </c>
      <c r="C183" t="str">
        <v/>
      </c>
      <c r="D183" t="str">
        <v>material</v>
      </c>
    </row>
    <row r="184">
      <c r="A184" t="str">
        <v>mat-za8</v>
      </c>
      <c r="B184" t="str">
        <v>ZA-8 (Zinc-Aluminium Die Cast) — Zinc Die Cast</v>
      </c>
      <c r="C184" t="str">
        <v/>
      </c>
      <c r="D184" t="str">
        <v>material</v>
      </c>
    </row>
    <row r="185">
      <c r="A185" t="str">
        <v>mat-za27</v>
      </c>
      <c r="B185" t="str">
        <v>ZA-27 (High-Strength Zinc-Aluminium) — Zinc Die Cast</v>
      </c>
      <c r="C185" t="str">
        <v/>
      </c>
      <c r="D185" t="str">
        <v>material</v>
      </c>
    </row>
    <row r="186">
      <c r="A186" t="str">
        <v>mat-gs-c25</v>
      </c>
      <c r="B186" t="str">
        <v>GS-C25 (Cast Carbon Steel) — Cast Carbon Steel</v>
      </c>
      <c r="C186" t="str">
        <v/>
      </c>
      <c r="D186" t="str">
        <v>material</v>
      </c>
    </row>
    <row r="187">
      <c r="A187" t="str">
        <v>mat-17-4ph-cast</v>
      </c>
      <c r="B187" t="str">
        <v>17-4PH (Investment Cast Stainless) — Cast Stainless Steel</v>
      </c>
      <c r="C187" t="str">
        <v/>
      </c>
      <c r="D187" t="str">
        <v>material</v>
      </c>
    </row>
    <row r="188">
      <c r="A188" t="str">
        <v>mat-inconel718-cast</v>
      </c>
      <c r="B188" t="str">
        <v>Inconel 718 (Investment Cast Superalloy) — Nickel Superalloy Casting</v>
      </c>
      <c r="C188" t="str">
        <v/>
      </c>
      <c r="D188" t="str">
        <v>material</v>
      </c>
    </row>
    <row r="189">
      <c r="A189" t="str">
        <v>mat-steel1020</v>
      </c>
      <c r="B189" t="str">
        <v>1020 / S20C — Carbon Steel Billet</v>
      </c>
      <c r="C189" t="str">
        <v/>
      </c>
      <c r="D189" t="str">
        <v>material</v>
      </c>
    </row>
    <row r="190">
      <c r="A190" t="str">
        <v>mat-steel4340</v>
      </c>
      <c r="B190" t="str">
        <v>4340 / 40NiCrMo22 / EN24 (Ni-Cr-Mo Alloy Steel) — Alloy Steel Billet</v>
      </c>
      <c r="C190" t="str">
        <v/>
      </c>
      <c r="D190" t="str">
        <v>material</v>
      </c>
    </row>
    <row r="191">
      <c r="A191" t="str">
        <v>mat-steel1141</v>
      </c>
      <c r="B191" t="str">
        <v>1141 / 1144 (Free-Machining) — Carbon Steel Billet</v>
      </c>
      <c r="C191" t="str">
        <v/>
      </c>
      <c r="D191" t="str">
        <v>material</v>
      </c>
    </row>
    <row r="192">
      <c r="A192" t="str">
        <v>mat-steel-38mnvs6</v>
      </c>
      <c r="B192" t="str">
        <v>38MnVS6 (Microalloyed) — Microalloyed Steel Billet</v>
      </c>
      <c r="C192" t="str">
        <v/>
      </c>
      <c r="D192" t="str">
        <v>material</v>
      </c>
    </row>
    <row r="193">
      <c r="A193" t="str">
        <v>mat-steel4130</v>
      </c>
      <c r="B193" t="str">
        <v>4130 / 25CrMo4 — Alloy Steel Billet</v>
      </c>
      <c r="C193" t="str">
        <v/>
      </c>
      <c r="D193" t="str">
        <v>material</v>
      </c>
    </row>
    <row r="194">
      <c r="A194" t="str">
        <v>mat-steel8620</v>
      </c>
      <c r="B194" t="str">
        <v>8620 (Case-Hardening) — Alloy Steel Billet</v>
      </c>
      <c r="C194" t="str">
        <v/>
      </c>
      <c r="D194" t="str">
        <v>material</v>
      </c>
    </row>
    <row r="195">
      <c r="A195" t="str">
        <v>mat-steel-20mncr5</v>
      </c>
      <c r="B195" t="str">
        <v>20MnCr5 (Gear Steel) — Alloy Steel Billet</v>
      </c>
      <c r="C195" t="str">
        <v/>
      </c>
      <c r="D195" t="str">
        <v>material</v>
      </c>
    </row>
    <row r="196">
      <c r="A196" t="str">
        <v>mat-steel-52100</v>
      </c>
      <c r="B196" t="str">
        <v>52100 / 100Cr6 (Bearing Steel) — Alloy Steel Billet</v>
      </c>
      <c r="C196" t="str">
        <v/>
      </c>
      <c r="D196" t="str">
        <v>material</v>
      </c>
    </row>
    <row r="197">
      <c r="A197" t="str">
        <v>mat-steel-300m</v>
      </c>
      <c r="B197" t="str">
        <v>300M (UHS Aerospace) — Alloy Steel Billet</v>
      </c>
      <c r="C197" t="str">
        <v/>
      </c>
      <c r="D197" t="str">
        <v>material</v>
      </c>
    </row>
    <row r="198">
      <c r="A198" t="str">
        <v>mat-ss410-bar</v>
      </c>
      <c r="B198" t="str">
        <v>410 (Martensitic Stainless Bar) — Stainless Steel Billet</v>
      </c>
      <c r="C198" t="str">
        <v/>
      </c>
      <c r="D198" t="str">
        <v>material</v>
      </c>
    </row>
    <row r="199">
      <c r="A199" t="str">
        <v>mat-ss304l-bar</v>
      </c>
      <c r="B199" t="str">
        <v>304L (Austenitic Stainless Bar) — Stainless Steel Billet</v>
      </c>
      <c r="C199" t="str">
        <v/>
      </c>
      <c r="D199" t="str">
        <v>material</v>
      </c>
    </row>
    <row r="200">
      <c r="A200" t="str">
        <v>mat-ss316l-bar</v>
      </c>
      <c r="B200" t="str">
        <v>316L (Austenitic Stainless Bar) — Stainless Steel Billet</v>
      </c>
      <c r="C200" t="str">
        <v/>
      </c>
      <c r="D200" t="str">
        <v>material</v>
      </c>
    </row>
    <row r="201">
      <c r="A201" t="str">
        <v>mat-ss17-4ph-bar</v>
      </c>
      <c r="B201" t="str">
        <v>17-4PH (PH Stainless Bar) — Stainless Steel Billet</v>
      </c>
      <c r="C201" t="str">
        <v/>
      </c>
      <c r="D201" t="str">
        <v>material</v>
      </c>
    </row>
    <row r="202">
      <c r="A202" t="str">
        <v>mat-ss15-5ph-bar</v>
      </c>
      <c r="B202" t="str">
        <v>15-5PH (PH Stainless Bar) — Stainless Steel Billet</v>
      </c>
      <c r="C202" t="str">
        <v/>
      </c>
      <c r="D202" t="str">
        <v>material</v>
      </c>
    </row>
    <row r="203">
      <c r="A203" t="str">
        <v>mat-al6061-forge</v>
      </c>
      <c r="B203" t="str">
        <v>6061 (Al Forging Stock) — Aluminium Forging Billet</v>
      </c>
      <c r="C203" t="str">
        <v/>
      </c>
      <c r="D203" t="str">
        <v>material</v>
      </c>
    </row>
    <row r="204">
      <c r="A204" t="str">
        <v>mat-al6082-forge</v>
      </c>
      <c r="B204" t="str">
        <v>6082 (Al Forging Stock) — Aluminium Forging Billet</v>
      </c>
      <c r="C204" t="str">
        <v/>
      </c>
      <c r="D204" t="str">
        <v>material</v>
      </c>
    </row>
    <row r="205">
      <c r="A205" t="str">
        <v>mat-al7075-forge</v>
      </c>
      <c r="B205" t="str">
        <v>7075 (Al Forging Stock) — Aluminium Forging Billet</v>
      </c>
      <c r="C205" t="str">
        <v/>
      </c>
      <c r="D205" t="str">
        <v>material</v>
      </c>
    </row>
    <row r="206">
      <c r="A206" t="str">
        <v>mat-al2618-forge</v>
      </c>
      <c r="B206" t="str">
        <v>2618 (Al-Cu Piston/Aero) — Aluminium Forging Billet</v>
      </c>
      <c r="C206" t="str">
        <v/>
      </c>
      <c r="D206" t="str">
        <v>material</v>
      </c>
    </row>
    <row r="207">
      <c r="A207" t="str">
        <v>mat-ti-cp-gr2</v>
      </c>
      <c r="B207" t="str">
        <v>CP Titanium Grade 2 (Forging Bar) — Titanium Forging Billet</v>
      </c>
      <c r="C207" t="str">
        <v/>
      </c>
      <c r="D207" t="str">
        <v>material</v>
      </c>
    </row>
    <row r="208">
      <c r="A208" t="str">
        <v>mat-ti-6al4v-forge</v>
      </c>
      <c r="B208" t="str">
        <v>Ti-6Al-4V Grade 5 (Forging Bar) — Titanium Forging Billet</v>
      </c>
      <c r="C208" t="str">
        <v/>
      </c>
      <c r="D208" t="str">
        <v>material</v>
      </c>
    </row>
    <row r="209">
      <c r="A209" t="str">
        <v>mat-inconel718-forge</v>
      </c>
      <c r="B209" t="str">
        <v>Inconel 718 (Forging Bar) — Nickel Superalloy Billet</v>
      </c>
      <c r="C209" t="str">
        <v/>
      </c>
      <c r="D209" t="str">
        <v>material</v>
      </c>
    </row>
    <row r="210">
      <c r="A210" t="str">
        <v>mat-waspaloy-forge</v>
      </c>
      <c r="B210" t="str">
        <v>Waspaloy (Forging Bar) — Nickel Superalloy Billet</v>
      </c>
      <c r="C210" t="str">
        <v/>
      </c>
      <c r="D210" t="str">
        <v>material</v>
      </c>
    </row>
    <row r="211">
      <c r="A211" t="str">
        <v>mat-inconel625-forge</v>
      </c>
      <c r="B211" t="str">
        <v>Inconel 625 (Forging Bar) — Nickel Superalloy Billet</v>
      </c>
      <c r="C211" t="str">
        <v/>
      </c>
      <c r="D211" t="str">
        <v>material</v>
      </c>
    </row>
    <row r="212">
      <c r="A212" t="str">
        <v>mat-hastelloy-c276-forge</v>
      </c>
      <c r="B212" t="str">
        <v>Hastelloy C-276 (Forging Bar) — Nickel Superalloy Billet</v>
      </c>
      <c r="C212" t="str">
        <v/>
      </c>
      <c r="D212" t="str">
        <v>material</v>
      </c>
    </row>
    <row r="213">
      <c r="A213" t="str">
        <v>mat-monel400-forge</v>
      </c>
      <c r="B213" t="str">
        <v>Monel 400 (Forging Bar) — Nickel Alloy Billet</v>
      </c>
      <c r="C213" t="str">
        <v/>
      </c>
      <c r="D213" t="str">
        <v>material</v>
      </c>
    </row>
    <row r="214">
      <c r="A214" t="str">
        <v>mat-ti-6242-forge</v>
      </c>
      <c r="B214" t="str">
        <v>Ti-6Al-2Sn-4Zr-2Mo (Forging Bar) — Titanium Forging Billet</v>
      </c>
      <c r="C214" t="str">
        <v/>
      </c>
      <c r="D214" t="str">
        <v>material</v>
      </c>
    </row>
    <row r="215">
      <c r="A215" t="str">
        <v>mat-al7050-forge</v>
      </c>
      <c r="B215" t="str">
        <v>7050 (Al-Zn Aero Forging Stock) — Aluminium Forging Billet</v>
      </c>
      <c r="C215" t="str">
        <v/>
      </c>
      <c r="D215" t="str">
        <v>material</v>
      </c>
    </row>
    <row r="216">
      <c r="A216" t="str">
        <v>mat-mg-az31-forge</v>
      </c>
      <c r="B216" t="str">
        <v>AZ31B (Mg Forging Bar) — Magnesium Forging Billet</v>
      </c>
      <c r="C216" t="str">
        <v/>
      </c>
      <c r="D216" t="str">
        <v>material</v>
      </c>
    </row>
    <row r="217">
      <c r="A217" t="str">
        <v>mat-brass-cz122-forge</v>
      </c>
      <c r="B217" t="str">
        <v>CZ122 / CW617N (Forging Brass) — Copper Alloy Billet</v>
      </c>
      <c r="C217" t="str">
        <v/>
      </c>
      <c r="D217" t="str">
        <v>material</v>
      </c>
    </row>
    <row r="218">
      <c r="A218" t="str">
        <v>mat-paint-ecoat</v>
      </c>
      <c r="B218" t="str">
        <v>E-coat (Cathodic) — Paint</v>
      </c>
      <c r="C218" t="str">
        <v/>
      </c>
      <c r="D218" t="str">
        <v>material</v>
      </c>
    </row>
    <row r="219">
      <c r="A219" t="str">
        <v>mat-paint-primer</v>
      </c>
      <c r="B219" t="str">
        <v>2K Primer — Paint</v>
      </c>
      <c r="C219" t="str">
        <v/>
      </c>
      <c r="D219" t="str">
        <v>material</v>
      </c>
    </row>
    <row r="220">
      <c r="A220" t="str">
        <v>mat-paint-basecoat</v>
      </c>
      <c r="B220" t="str">
        <v>Waterborne Basecoat — Paint</v>
      </c>
      <c r="C220" t="str">
        <v/>
      </c>
      <c r="D220" t="str">
        <v>material</v>
      </c>
    </row>
    <row r="221">
      <c r="A221" t="str">
        <v>mat-paint-clearcoat</v>
      </c>
      <c r="B221" t="str">
        <v>2K Clearcoat — Paint</v>
      </c>
      <c r="C221" t="str">
        <v/>
      </c>
      <c r="D221" t="str">
        <v>material</v>
      </c>
    </row>
    <row r="222">
      <c r="A222" t="str">
        <v>mat-paint-powder</v>
      </c>
      <c r="B222" t="str">
        <v>Powder Coat (Polyester) — Paint</v>
      </c>
      <c r="C222" t="str">
        <v/>
      </c>
      <c r="D222" t="str">
        <v>material</v>
      </c>
    </row>
    <row r="223">
      <c r="A223" t="str">
        <v>mat-paint-1k-primer</v>
      </c>
      <c r="B223" t="str">
        <v>1K Etch Primer — Paint</v>
      </c>
      <c r="C223" t="str">
        <v/>
      </c>
      <c r="D223" t="str">
        <v>material</v>
      </c>
    </row>
    <row r="224">
      <c r="A224" t="str">
        <v>mat-paint-sb-basecoat</v>
      </c>
      <c r="B224" t="str">
        <v>Solventborne Basecoat — Paint</v>
      </c>
      <c r="C224" t="str">
        <v/>
      </c>
      <c r="D224" t="str">
        <v>material</v>
      </c>
    </row>
    <row r="225">
      <c r="A225" t="str">
        <v>mat-paint-uv-clear</v>
      </c>
      <c r="B225" t="str">
        <v>UV-Cure Clearcoat — Paint</v>
      </c>
      <c r="C225" t="str">
        <v/>
      </c>
      <c r="D225" t="str">
        <v>material</v>
      </c>
    </row>
    <row r="226">
      <c r="A226" t="str">
        <v>mat-paint-pvc-underbody</v>
      </c>
      <c r="B226" t="str">
        <v>PVC Underbody / Anti-Chip Sealer — Paint</v>
      </c>
      <c r="C226" t="str">
        <v/>
      </c>
      <c r="D226" t="str">
        <v>material</v>
      </c>
    </row>
    <row r="227">
      <c r="A227" t="str">
        <v>mat-pp-bm</v>
      </c>
      <c r="B227" t="str">
        <v>PP Blow Grade (MFI 1.0, random co-polymer) — Blow Moulding</v>
      </c>
      <c r="C227" t="str">
        <v/>
      </c>
      <c r="D227" t="str">
        <v>material</v>
      </c>
    </row>
    <row r="228">
      <c r="A228" t="str">
        <v>mat-petg-bm</v>
      </c>
      <c r="B228" t="str">
        <v>PETG Clear Blow Grade — Blow Moulding</v>
      </c>
      <c r="C228" t="str">
        <v/>
      </c>
      <c r="D228" t="str">
        <v>material</v>
      </c>
    </row>
    <row r="229">
      <c r="A229" t="str">
        <v>mat-pvc-bm</v>
      </c>
      <c r="B229" t="str">
        <v>PVC Rigid Blow Grade (uPVC bottle grade) — Blow Moulding</v>
      </c>
      <c r="C229" t="str">
        <v/>
      </c>
      <c r="D229" t="str">
        <v>material</v>
      </c>
    </row>
    <row r="230">
      <c r="A230" t="str">
        <v>mat-tpe-bm</v>
      </c>
      <c r="B230" t="str">
        <v>TPE Blow Grade 40 Shore A — Blow Moulding</v>
      </c>
      <c r="C230" t="str">
        <v/>
      </c>
      <c r="D230" t="str">
        <v>material</v>
      </c>
    </row>
    <row r="231">
      <c r="A231" t="str">
        <v>mat-eva-bm</v>
      </c>
      <c r="B231" t="str">
        <v>EVA Blow Grade (14% VA) — Blow Moulding</v>
      </c>
      <c r="C231" t="str">
        <v/>
      </c>
      <c r="D231" t="str">
        <v>material</v>
      </c>
    </row>
    <row r="232">
      <c r="A232" t="str">
        <v>mat-hdpe-bm</v>
      </c>
      <c r="B232" t="str">
        <v>HDPE Blow Grade (jerry can / drum) — Blow Moulding</v>
      </c>
      <c r="C232" t="str">
        <v/>
      </c>
      <c r="D232" t="str">
        <v>material</v>
      </c>
    </row>
    <row r="233">
      <c r="A233" t="str">
        <v>mat-hdpe-fuel-coex</v>
      </c>
      <c r="B233" t="str">
        <v>HDPE Coex Fuel-Tank Grade (6-layer/EVOH) — Blow Moulding</v>
      </c>
      <c r="C233" t="str">
        <v/>
      </c>
      <c r="D233" t="str">
        <v>material</v>
      </c>
    </row>
    <row r="234">
      <c r="A234" t="str">
        <v>mat-pa6-bm</v>
      </c>
      <c r="B234" t="str">
        <v>PA6 Blow Grade (charge-air / ducts) — Blow Moulding</v>
      </c>
      <c r="C234" t="str">
        <v/>
      </c>
      <c r="D234" t="str">
        <v>material</v>
      </c>
    </row>
    <row r="235">
      <c r="A235" t="str">
        <v>mat-pc-bm</v>
      </c>
      <c r="B235" t="str">
        <v>PC Blow Grade (clear/impact) — Blow Moulding</v>
      </c>
      <c r="C235" t="str">
        <v/>
      </c>
      <c r="D235" t="str">
        <v>material</v>
      </c>
    </row>
    <row r="236">
      <c r="A236" t="str">
        <v>mat-ldpe-bm</v>
      </c>
      <c r="B236" t="str">
        <v>LDPE Blow Grade — Blow Moulding</v>
      </c>
      <c r="C236" t="str">
        <v/>
      </c>
      <c r="D236" t="str">
        <v>material</v>
      </c>
    </row>
    <row r="237">
      <c r="A237" t="str">
        <v>mat-lldpe-bm</v>
      </c>
      <c r="B237" t="str">
        <v>LLDPE Blow Grade — Blow Moulding</v>
      </c>
      <c r="C237" t="str">
        <v/>
      </c>
      <c r="D237" t="str">
        <v>material</v>
      </c>
    </row>
    <row r="238">
      <c r="A238" t="str">
        <v>mat-pet-preform</v>
      </c>
      <c r="B238" t="str">
        <v>PET Stretch-Blow Bottle Grade — Blow Moulding</v>
      </c>
      <c r="C238" t="str">
        <v/>
      </c>
      <c r="D238" t="str">
        <v>material</v>
      </c>
    </row>
    <row r="239">
      <c r="A239" t="str">
        <v>mat-tritan-bm</v>
      </c>
      <c r="B239" t="str">
        <v>Tritan Copolyester (BPA-free clear) — Blow Moulding</v>
      </c>
      <c r="C239" t="str">
        <v/>
      </c>
      <c r="D239" t="str">
        <v>material</v>
      </c>
    </row>
    <row r="240">
      <c r="A240" t="str">
        <v>mat-biope-bm</v>
      </c>
      <c r="B240" t="str">
        <v>Bio-PE Blow Grade (sugarcane HDPE) — Blow Moulding</v>
      </c>
      <c r="C240" t="str">
        <v/>
      </c>
      <c r="D240" t="str">
        <v>material</v>
      </c>
    </row>
    <row r="241">
      <c r="A241" t="str">
        <v>mat-rhdpe-bm</v>
      </c>
      <c r="B241" t="str">
        <v>Recycled HDPE Blow Grade (PCR) — Blow Moulding</v>
      </c>
      <c r="C241" t="str">
        <v/>
      </c>
      <c r="D241" t="str">
        <v>material</v>
      </c>
    </row>
    <row r="242">
      <c r="A242" t="str">
        <v>mat-rpp-bm</v>
      </c>
      <c r="B242" t="str">
        <v>Recycled PP Blow Grade (PCR) — Blow Moulding</v>
      </c>
      <c r="C242" t="str">
        <v/>
      </c>
      <c r="D242" t="str">
        <v>material</v>
      </c>
    </row>
    <row r="243">
      <c r="A243" t="str">
        <v>mat-pe100-pipe</v>
      </c>
      <c r="B243" t="str">
        <v>PE100 Pipe Grade (black, PE4710) — Extrusion</v>
      </c>
      <c r="C243" t="str">
        <v/>
      </c>
      <c r="D243" t="str">
        <v>material</v>
      </c>
    </row>
    <row r="244">
      <c r="A244" t="str">
        <v>mat-pe80-pipe</v>
      </c>
      <c r="B244" t="str">
        <v>PE80 Pipe Grade — Extrusion</v>
      </c>
      <c r="C244" t="str">
        <v/>
      </c>
      <c r="D244" t="str">
        <v>material</v>
      </c>
    </row>
    <row r="245">
      <c r="A245" t="str">
        <v>mat-upvc-pipe</v>
      </c>
      <c r="B245" t="str">
        <v>uPVC Pipe Compound (K67, dry-blend) — Extrusion</v>
      </c>
      <c r="C245" t="str">
        <v/>
      </c>
      <c r="D245" t="str">
        <v>material</v>
      </c>
    </row>
    <row r="246">
      <c r="A246" t="str">
        <v>mat-pvc-cable</v>
      </c>
      <c r="B246" t="str">
        <v>PVC Cable Compound (flexible, insulation) — Extrusion</v>
      </c>
      <c r="C246" t="str">
        <v/>
      </c>
      <c r="D246" t="str">
        <v>material</v>
      </c>
    </row>
    <row r="247">
      <c r="A247" t="str">
        <v>mat-xlpe-cable</v>
      </c>
      <c r="B247" t="str">
        <v>XLPE Cable Insulation Compound — Extrusion</v>
      </c>
      <c r="C247" t="str">
        <v/>
      </c>
      <c r="D247" t="str">
        <v>material</v>
      </c>
    </row>
    <row r="248">
      <c r="A248" t="str">
        <v>mat-gpps-ext</v>
      </c>
      <c r="B248" t="str">
        <v>GPPS Extrusion Sheet Grade — Extrusion</v>
      </c>
      <c r="C248" t="str">
        <v/>
      </c>
      <c r="D248" t="str">
        <v>material</v>
      </c>
    </row>
    <row r="249">
      <c r="A249" t="str">
        <v>mat-abs-ext-sheet</v>
      </c>
      <c r="B249" t="str">
        <v>ABS Extrusion Sheet Grade — Extrusion</v>
      </c>
      <c r="C249" t="str">
        <v/>
      </c>
      <c r="D249" t="str">
        <v>material</v>
      </c>
    </row>
    <row r="250">
      <c r="A250" t="str">
        <v>mat-pmma-ext-sheet</v>
      </c>
      <c r="B250" t="str">
        <v>PMMA Extrusion Sheet (acrylic) — Extrusion</v>
      </c>
      <c r="C250" t="str">
        <v/>
      </c>
      <c r="D250" t="str">
        <v>material</v>
      </c>
    </row>
    <row r="251">
      <c r="A251" t="str">
        <v>mat-pc-ext-sheet</v>
      </c>
      <c r="B251" t="str">
        <v>PC Extrusion/Solid Sheet Grade — Extrusion</v>
      </c>
      <c r="C251" t="str">
        <v/>
      </c>
      <c r="D251" t="str">
        <v>material</v>
      </c>
    </row>
    <row r="252">
      <c r="A252" t="str">
        <v>mat-pvc-medical-tube</v>
      </c>
      <c r="B252" t="str">
        <v>Medical PVC Tubing Compound (DEHP-free) — Extrusion</v>
      </c>
      <c r="C252" t="str">
        <v/>
      </c>
      <c r="D252" t="str">
        <v>material</v>
      </c>
    </row>
    <row r="253">
      <c r="A253" t="str">
        <v>mat-tpu-medical-tube</v>
      </c>
      <c r="B253" t="str">
        <v>Medical TPU Tubing (85A) — Extrusion</v>
      </c>
      <c r="C253" t="str">
        <v/>
      </c>
      <c r="D253" t="str">
        <v>material</v>
      </c>
    </row>
    <row r="254">
      <c r="A254" t="str">
        <v>mat-tpe-profile</v>
      </c>
      <c r="B254" t="str">
        <v>TPE-S Extrusion Profile (60 Shore A) — Extrusion</v>
      </c>
      <c r="C254" t="str">
        <v/>
      </c>
      <c r="D254" t="str">
        <v>material</v>
      </c>
    </row>
    <row r="255">
      <c r="A255" t="str">
        <v>mat-pvc-foam</v>
      </c>
      <c r="B255" t="str">
        <v>Rigid PVC Foam (Celuka) Profile — Extrusion</v>
      </c>
      <c r="C255" t="str">
        <v/>
      </c>
      <c r="D255" t="str">
        <v>material</v>
      </c>
    </row>
    <row r="256">
      <c r="A256" t="str">
        <v>mat-pp-ext-sheet</v>
      </c>
      <c r="B256" t="str">
        <v>PP Extrusion Sheet Grade — Extrusion</v>
      </c>
      <c r="C256" t="str">
        <v/>
      </c>
      <c r="D256" t="str">
        <v>material</v>
      </c>
    </row>
    <row r="257">
      <c r="A257" t="str">
        <v>mat-pa12-ext-tube</v>
      </c>
      <c r="B257" t="str">
        <v>PA12 Extrusion (fuel/brake line tube) — Extrusion</v>
      </c>
      <c r="C257" t="str">
        <v/>
      </c>
      <c r="D257" t="str">
        <v>material</v>
      </c>
    </row>
    <row r="258">
      <c r="A258" t="str">
        <v>mat-mb-colour</v>
      </c>
      <c r="B258" t="str">
        <v>Colour Masterbatch (universal) — Additive / Masterbatch</v>
      </c>
      <c r="C258" t="str">
        <v/>
      </c>
      <c r="D258" t="str">
        <v>material</v>
      </c>
    </row>
    <row r="259">
      <c r="A259" t="str">
        <v>mat-mb-white-tio2</v>
      </c>
      <c r="B259" t="str">
        <v>White Masterbatch (70% TiO₂) — Additive / Masterbatch</v>
      </c>
      <c r="C259" t="str">
        <v/>
      </c>
      <c r="D259" t="str">
        <v>material</v>
      </c>
    </row>
    <row r="260">
      <c r="A260" t="str">
        <v>mat-mb-black</v>
      </c>
      <c r="B260" t="str">
        <v>Black Masterbatch (40% carbon) — Additive / Masterbatch</v>
      </c>
      <c r="C260" t="str">
        <v/>
      </c>
      <c r="D260" t="str">
        <v>material</v>
      </c>
    </row>
    <row r="261">
      <c r="A261" t="str">
        <v>mat-add-uv</v>
      </c>
      <c r="B261" t="str">
        <v>UV Stabiliser Masterbatch (HALS) — Additive / Masterbatch</v>
      </c>
      <c r="C261" t="str">
        <v/>
      </c>
      <c r="D261" t="str">
        <v>material</v>
      </c>
    </row>
    <row r="262">
      <c r="A262" t="str">
        <v>mat-add-antistat</v>
      </c>
      <c r="B262" t="str">
        <v>Anti-Static Additive Masterbatch — Additive / Masterbatch</v>
      </c>
      <c r="C262" t="str">
        <v/>
      </c>
      <c r="D262" t="str">
        <v>material</v>
      </c>
    </row>
    <row r="263">
      <c r="A263" t="str">
        <v>mat-add-fr</v>
      </c>
      <c r="B263" t="str">
        <v>Flame-Retardant Masterbatch (halogen-free) — Additive / Masterbatch</v>
      </c>
      <c r="C263" t="str">
        <v/>
      </c>
      <c r="D263" t="str">
        <v>material</v>
      </c>
    </row>
    <row r="264">
      <c r="A264" t="str">
        <v>mat-add-impact</v>
      </c>
      <c r="B264" t="str">
        <v>Impact Modifier (acrylic/CPE) — Additive / Masterbatch</v>
      </c>
      <c r="C264" t="str">
        <v/>
      </c>
      <c r="D264" t="str">
        <v>material</v>
      </c>
    </row>
    <row r="265">
      <c r="A265" t="str">
        <v>mat-add-procaid</v>
      </c>
      <c r="B265" t="str">
        <v>Processing Aid (fluoropolymer PPA) — Additive / Masterbatch</v>
      </c>
      <c r="C265" t="str">
        <v/>
      </c>
      <c r="D265" t="str">
        <v>material</v>
      </c>
    </row>
    <row r="266">
      <c r="A266" t="str">
        <v>mat-hips-tf</v>
      </c>
      <c r="B266" t="str">
        <v>HIPS Thermoforming Sheet — Thermoforming Sheet</v>
      </c>
      <c r="C266" t="str">
        <v/>
      </c>
      <c r="D266" t="str">
        <v>material</v>
      </c>
    </row>
    <row r="267">
      <c r="A267" t="str">
        <v>mat-abs-tf</v>
      </c>
      <c r="B267" t="str">
        <v>ABS Thermoforming Sheet — Thermoforming Sheet</v>
      </c>
      <c r="C267" t="str">
        <v/>
      </c>
      <c r="D267" t="str">
        <v>material</v>
      </c>
    </row>
    <row r="268">
      <c r="A268" t="str">
        <v>mat-petg-tf</v>
      </c>
      <c r="B268" t="str">
        <v>PETG Thermoforming Sheet (clear) — Thermoforming Sheet</v>
      </c>
      <c r="C268" t="str">
        <v/>
      </c>
      <c r="D268" t="str">
        <v>material</v>
      </c>
    </row>
    <row r="269">
      <c r="A269" t="str">
        <v>mat-apet-tf</v>
      </c>
      <c r="B269" t="str">
        <v>APET Sheet (amorphous, food pack) — Thermoforming Sheet</v>
      </c>
      <c r="C269" t="str">
        <v/>
      </c>
      <c r="D269" t="str">
        <v>material</v>
      </c>
    </row>
    <row r="270">
      <c r="A270" t="str">
        <v>mat-cpet-tf</v>
      </c>
      <c r="B270" t="str">
        <v>CPET Sheet (crystalline, dual-ovenable) — Thermoforming Sheet</v>
      </c>
      <c r="C270" t="str">
        <v/>
      </c>
      <c r="D270" t="str">
        <v>material</v>
      </c>
    </row>
    <row r="271">
      <c r="A271" t="str">
        <v>mat-rpvc-tf</v>
      </c>
      <c r="B271" t="str">
        <v>Rigid PVC Thermoforming Sheet — Thermoforming Sheet</v>
      </c>
      <c r="C271" t="str">
        <v/>
      </c>
      <c r="D271" t="str">
        <v>material</v>
      </c>
    </row>
    <row r="272">
      <c r="A272" t="str">
        <v>mat-pp-tf</v>
      </c>
      <c r="B272" t="str">
        <v>PP Thermoforming Sheet (HMS) — Thermoforming Sheet</v>
      </c>
      <c r="C272" t="str">
        <v/>
      </c>
      <c r="D272" t="str">
        <v>material</v>
      </c>
    </row>
    <row r="273">
      <c r="A273" t="str">
        <v>mat-hdpe-tf</v>
      </c>
      <c r="B273" t="str">
        <v>HDPE Thermoforming Sheet — Thermoforming Sheet</v>
      </c>
      <c r="C273" t="str">
        <v/>
      </c>
      <c r="D273" t="str">
        <v>material</v>
      </c>
    </row>
    <row r="274">
      <c r="A274" t="str">
        <v>mat-ldpe-tf</v>
      </c>
      <c r="B274" t="str">
        <v>LDPE Thermoforming Sheet — Thermoforming Sheet</v>
      </c>
      <c r="C274" t="str">
        <v/>
      </c>
      <c r="D274" t="str">
        <v>material</v>
      </c>
    </row>
    <row r="275">
      <c r="A275" t="str">
        <v>mat-ps-foam-tf</v>
      </c>
      <c r="B275" t="str">
        <v>PS Foam Sheet (foamed tray stock) — Thermoforming Sheet</v>
      </c>
      <c r="C275" t="str">
        <v/>
      </c>
      <c r="D275" t="str">
        <v>material</v>
      </c>
    </row>
    <row r="276">
      <c r="A276" t="str">
        <v>mat-pmma-tf</v>
      </c>
      <c r="B276" t="str">
        <v>PMMA / Acrylic Sheet (cast/extruded) — Thermoforming Sheet</v>
      </c>
      <c r="C276" t="str">
        <v/>
      </c>
      <c r="D276" t="str">
        <v>material</v>
      </c>
    </row>
    <row r="277">
      <c r="A277" t="str">
        <v>mat-pc-tf</v>
      </c>
      <c r="B277" t="str">
        <v>PC Thermoforming Sheet — Thermoforming Sheet</v>
      </c>
      <c r="C277" t="str">
        <v/>
      </c>
      <c r="D277" t="str">
        <v>material</v>
      </c>
    </row>
    <row r="278">
      <c r="A278" t="str">
        <v>mat-pei-tf</v>
      </c>
      <c r="B278" t="str">
        <v>PEI (Ultem) Sheet (aerospace) — Thermoforming Sheet</v>
      </c>
      <c r="C278" t="str">
        <v/>
      </c>
      <c r="D278" t="str">
        <v>material</v>
      </c>
    </row>
    <row r="279">
      <c r="A279" t="str">
        <v>mat-pps-tf</v>
      </c>
      <c r="B279" t="str">
        <v>PPS Sheet (high-temp) — Thermoforming Sheet</v>
      </c>
      <c r="C279" t="str">
        <v/>
      </c>
      <c r="D279" t="str">
        <v>material</v>
      </c>
    </row>
    <row r="280">
      <c r="A280" t="str">
        <v>mat-abs-pmma-tf</v>
      </c>
      <c r="B280" t="str">
        <v>ABS/PMMA Co-ex Sheet (capped) — Thermoforming Sheet</v>
      </c>
      <c r="C280" t="str">
        <v/>
      </c>
      <c r="D280" t="str">
        <v>material</v>
      </c>
    </row>
    <row r="281">
      <c r="A281" t="str">
        <v>mat-abs-pc-tf</v>
      </c>
      <c r="B281" t="str">
        <v>ABS/PC Co-ex Sheet — Thermoforming Sheet</v>
      </c>
      <c r="C281" t="str">
        <v/>
      </c>
      <c r="D281" t="str">
        <v>material</v>
      </c>
    </row>
    <row r="282">
      <c r="A282" t="str">
        <v>mat-pp-tpo-tf</v>
      </c>
      <c r="B282" t="str">
        <v>PP/TPO Automotive Sheet — Thermoforming Sheet</v>
      </c>
      <c r="C282" t="str">
        <v/>
      </c>
      <c r="D282" t="str">
        <v>material</v>
      </c>
    </row>
    <row r="283">
      <c r="A283" t="str">
        <v>mat-petg-barrier-tf</v>
      </c>
      <c r="B283" t="str">
        <v>PETG/EVOH Barrier Sheet — Thermoforming Sheet</v>
      </c>
      <c r="C283" t="str">
        <v/>
      </c>
      <c r="D283" t="str">
        <v>material</v>
      </c>
    </row>
    <row r="284">
      <c r="A284" t="str">
        <v>mat-lldpe-roto</v>
      </c>
      <c r="B284" t="str">
        <v>LLDPE Roto Powder (natural) — Rotational Moulding</v>
      </c>
      <c r="C284" t="str">
        <v/>
      </c>
      <c r="D284" t="str">
        <v>material</v>
      </c>
    </row>
    <row r="285">
      <c r="A285" t="str">
        <v>mat-hdpe-roto</v>
      </c>
      <c r="B285" t="str">
        <v>HDPE Roto Powder — Rotational Moulding</v>
      </c>
      <c r="C285" t="str">
        <v/>
      </c>
      <c r="D285" t="str">
        <v>material</v>
      </c>
    </row>
    <row r="286">
      <c r="A286" t="str">
        <v>mat-pp-roto</v>
      </c>
      <c r="B286" t="str">
        <v>PP Roto Powder — Rotational Moulding</v>
      </c>
      <c r="C286" t="str">
        <v/>
      </c>
      <c r="D286" t="str">
        <v>material</v>
      </c>
    </row>
    <row r="287">
      <c r="A287" t="str">
        <v>mat-xlpe-roto</v>
      </c>
      <c r="B287" t="str">
        <v>Cross-Linked PE (XLPE) Roto — Rotational Moulding</v>
      </c>
      <c r="C287" t="str">
        <v/>
      </c>
      <c r="D287" t="str">
        <v>material</v>
      </c>
    </row>
    <row r="288">
      <c r="A288" t="str">
        <v>mat-pa12-roto</v>
      </c>
      <c r="B288" t="str">
        <v>PA12 Roto Powder — Rotational Moulding</v>
      </c>
      <c r="C288" t="str">
        <v/>
      </c>
      <c r="D288" t="str">
        <v>material</v>
      </c>
    </row>
    <row r="289">
      <c r="A289" t="str">
        <v>mat-fr-pe-roto</v>
      </c>
      <c r="B289" t="str">
        <v>Flame-Retardant PE Roto — Rotational Moulding</v>
      </c>
      <c r="C289" t="str">
        <v/>
      </c>
      <c r="D289" t="str">
        <v>material</v>
      </c>
    </row>
    <row r="290">
      <c r="A290" t="str">
        <v>mat-foam-pe-roto</v>
      </c>
      <c r="B290" t="str">
        <v>Foamable PE Roto (structural foam core) — Rotational Moulding</v>
      </c>
      <c r="C290" t="str">
        <v/>
      </c>
      <c r="D290" t="str">
        <v>material</v>
      </c>
    </row>
    <row r="291">
      <c r="A291" t="str">
        <v>mat-cond-pe-roto</v>
      </c>
      <c r="B291" t="str">
        <v>Conductive/Antistatic PE Roto — Rotational Moulding</v>
      </c>
      <c r="C291" t="str">
        <v/>
      </c>
      <c r="D291" t="str">
        <v>material</v>
      </c>
    </row>
    <row r="292">
      <c r="A292" t="str">
        <v>mat-rpe-roto</v>
      </c>
      <c r="B292" t="str">
        <v>Recycled PE Roto Powder — Rotational Moulding</v>
      </c>
      <c r="C292" t="str">
        <v/>
      </c>
      <c r="D292" t="str">
        <v>material</v>
      </c>
    </row>
    <row r="293">
      <c r="A293" t="str">
        <v>mat-epdm</v>
      </c>
      <c r="B293" t="str">
        <v>EPDM 70 Shore A — Rubber</v>
      </c>
      <c r="C293" t="str">
        <v/>
      </c>
      <c r="D293" t="str">
        <v>material</v>
      </c>
    </row>
    <row r="294">
      <c r="A294" t="str">
        <v>mat-nbr</v>
      </c>
      <c r="B294" t="str">
        <v>NBR 70 Shore A — Rubber</v>
      </c>
      <c r="C294" t="str">
        <v/>
      </c>
      <c r="D294" t="str">
        <v>material</v>
      </c>
    </row>
    <row r="295">
      <c r="A295" t="str">
        <v>mat-silicone-hcr</v>
      </c>
      <c r="B295" t="str">
        <v>HCR Silicone 60 Shore A — Rubber</v>
      </c>
      <c r="C295" t="str">
        <v/>
      </c>
      <c r="D295" t="str">
        <v>material</v>
      </c>
    </row>
    <row r="296">
      <c r="A296" t="str">
        <v>mat-lsr</v>
      </c>
      <c r="B296" t="str">
        <v>LSR 40 Shore A — Rubber</v>
      </c>
      <c r="C296" t="str">
        <v/>
      </c>
      <c r="D296" t="str">
        <v>material</v>
      </c>
    </row>
    <row r="297">
      <c r="A297" t="str">
        <v>mat-nr</v>
      </c>
      <c r="B297" t="str">
        <v>Natural Rubber SMR20 — Rubber</v>
      </c>
      <c r="C297" t="str">
        <v/>
      </c>
      <c r="D297" t="str">
        <v>material</v>
      </c>
    </row>
    <row r="298">
      <c r="A298" t="str">
        <v>mat-viton-fkm</v>
      </c>
      <c r="B298" t="str">
        <v>FKM Viton 75 Shore A — Rubber</v>
      </c>
      <c r="C298" t="str">
        <v/>
      </c>
      <c r="D298" t="str">
        <v>material</v>
      </c>
    </row>
    <row r="299">
      <c r="A299" t="str">
        <v>mat-sbr</v>
      </c>
      <c r="B299" t="str">
        <v>SBR 65 Shore A — Rubber</v>
      </c>
      <c r="C299" t="str">
        <v/>
      </c>
      <c r="D299" t="str">
        <v>material</v>
      </c>
    </row>
    <row r="300">
      <c r="A300" t="str">
        <v>mat-cr</v>
      </c>
      <c r="B300" t="str">
        <v>CR Neoprene 60 Shore A — Rubber</v>
      </c>
      <c r="C300" t="str">
        <v/>
      </c>
      <c r="D300" t="str">
        <v>material</v>
      </c>
    </row>
    <row r="301">
      <c r="A301" t="str">
        <v>mat-hnbr</v>
      </c>
      <c r="B301" t="str">
        <v>HNBR 70 Shore A — Rubber</v>
      </c>
      <c r="C301" t="str">
        <v/>
      </c>
      <c r="D301" t="str">
        <v>material</v>
      </c>
    </row>
    <row r="302">
      <c r="A302" t="str">
        <v>mat-iir</v>
      </c>
      <c r="B302" t="str">
        <v>Butyl Rubber IIR 55 Shore A — Rubber</v>
      </c>
      <c r="C302" t="str">
        <v/>
      </c>
      <c r="D302" t="str">
        <v>material</v>
      </c>
    </row>
    <row r="303">
      <c r="A303" t="str">
        <v>mat-pu-elastomer</v>
      </c>
      <c r="B303" t="str">
        <v>Polyurethane Elastomer 70 Shore A — Rubber</v>
      </c>
      <c r="C303" t="str">
        <v/>
      </c>
      <c r="D303" t="str">
        <v>material</v>
      </c>
    </row>
    <row r="304">
      <c r="A304" t="str">
        <v>mat-fvmq</v>
      </c>
      <c r="B304" t="str">
        <v>FVMQ Fluorosilicone 60 Shore A — Rubber</v>
      </c>
      <c r="C304" t="str">
        <v/>
      </c>
      <c r="D304" t="str">
        <v>material</v>
      </c>
    </row>
    <row r="305">
      <c r="A305" t="str">
        <v>mat-acm</v>
      </c>
      <c r="B305" t="str">
        <v>ACM Polyacrylate 70 Shore A — Rubber</v>
      </c>
      <c r="C305" t="str">
        <v/>
      </c>
      <c r="D305" t="str">
        <v>material</v>
      </c>
    </row>
    <row r="306">
      <c r="A306" t="str">
        <v>mat-aem</v>
      </c>
      <c r="B306" t="str">
        <v>AEM (Vamac) 60 Shore A — Rubber</v>
      </c>
      <c r="C306" t="str">
        <v/>
      </c>
      <c r="D306" t="str">
        <v>material</v>
      </c>
    </row>
    <row r="307">
      <c r="A307" t="str">
        <v>mat-eco</v>
      </c>
      <c r="B307" t="str">
        <v>ECO Epichlorohydrin 65 Shore A — Rubber</v>
      </c>
      <c r="C307" t="str">
        <v/>
      </c>
      <c r="D307" t="str">
        <v>material</v>
      </c>
    </row>
    <row r="308">
      <c r="A308" t="str">
        <v>mat-csm</v>
      </c>
      <c r="B308" t="str">
        <v>CSM Hypalon 65 Shore A — Rubber</v>
      </c>
      <c r="C308" t="str">
        <v/>
      </c>
      <c r="D308" t="str">
        <v>material</v>
      </c>
    </row>
    <row r="309">
      <c r="A309" t="str">
        <v>mat-br</v>
      </c>
      <c r="B309" t="str">
        <v>BR Polybutadiene (high-cis) 60 Shore A — Rubber</v>
      </c>
      <c r="C309" t="str">
        <v/>
      </c>
      <c r="D309" t="str">
        <v>material</v>
      </c>
    </row>
    <row r="310">
      <c r="A310" t="str">
        <v>mat-bromobutyl</v>
      </c>
      <c r="B310" t="str">
        <v>Bromobutyl (BIIR) 50 Shore A — Rubber</v>
      </c>
      <c r="C310" t="str">
        <v/>
      </c>
      <c r="D310" t="str">
        <v>material</v>
      </c>
    </row>
    <row r="311">
      <c r="A311" t="str">
        <v>mat-chlorobutyl</v>
      </c>
      <c r="B311" t="str">
        <v>Chlorobutyl (CIIR) 55 Shore A — Rubber</v>
      </c>
      <c r="C311" t="str">
        <v/>
      </c>
      <c r="D311" t="str">
        <v>material</v>
      </c>
    </row>
    <row r="312">
      <c r="A312" t="str">
        <v>mat-ffkm</v>
      </c>
      <c r="B312" t="str">
        <v>FFKM Perfluoroelastomer (Kalrez-type) 75 Shore A — Rubber</v>
      </c>
      <c r="C312" t="str">
        <v/>
      </c>
      <c r="D312" t="str">
        <v>material</v>
      </c>
    </row>
    <row r="313">
      <c r="A313" t="str">
        <v>mat-nbr-high-acn</v>
      </c>
      <c r="B313" t="str">
        <v>NBR High-ACN (fuel) 75 Shore A — Rubber</v>
      </c>
      <c r="C313" t="str">
        <v/>
      </c>
      <c r="D313" t="str">
        <v>material</v>
      </c>
    </row>
    <row r="314">
      <c r="A314" t="str">
        <v>mat-epdm-peroxide</v>
      </c>
      <c r="B314" t="str">
        <v>EPDM Peroxide-Cured 70 Shore A — Rubber</v>
      </c>
      <c r="C314" t="str">
        <v/>
      </c>
      <c r="D314" t="str">
        <v>material</v>
      </c>
    </row>
    <row r="315">
      <c r="A315" t="str">
        <v>mat-silicone-medical</v>
      </c>
      <c r="B315" t="str">
        <v>LSR Medical-Grade 30 Shore A — Rubber</v>
      </c>
      <c r="C315" t="str">
        <v/>
      </c>
      <c r="D315" t="str">
        <v>material</v>
      </c>
    </row>
    <row r="316">
      <c r="A316" t="str">
        <v>mat-cfrp-prepreg-t700</v>
      </c>
      <c r="B316" t="str">
        <v>T700 CF/Epoxy Prepreg (125°C cure) — Composite</v>
      </c>
      <c r="C316" t="str">
        <v/>
      </c>
      <c r="D316" t="str">
        <v>material</v>
      </c>
    </row>
    <row r="317">
      <c r="A317" t="str">
        <v>mat-gfrp-prepreg-e</v>
      </c>
      <c r="B317" t="str">
        <v>E-glass/Epoxy Prepreg (120°C cure) — Composite</v>
      </c>
      <c r="C317" t="str">
        <v/>
      </c>
      <c r="D317" t="str">
        <v>material</v>
      </c>
    </row>
    <row r="318">
      <c r="A318" t="str">
        <v>mat-cf-dry-3k</v>
      </c>
      <c r="B318" t="str">
        <v>Carbon Fibre 3K Twill Dry Fabric — Composite</v>
      </c>
      <c r="C318" t="str">
        <v/>
      </c>
      <c r="D318" t="str">
        <v>material</v>
      </c>
    </row>
    <row r="319">
      <c r="A319" t="str">
        <v>mat-gf-dry-e</v>
      </c>
      <c r="B319" t="str">
        <v>E-glass Woven Dry Fabric (600 g/m²) — Composite</v>
      </c>
      <c r="C319" t="str">
        <v/>
      </c>
      <c r="D319" t="str">
        <v>material</v>
      </c>
    </row>
    <row r="320">
      <c r="A320" t="str">
        <v>mat-epoxy-infusion</v>
      </c>
      <c r="B320" t="str">
        <v>Epoxy Infusion Resin System (LT cure) — Composite</v>
      </c>
      <c r="C320" t="str">
        <v/>
      </c>
      <c r="D320" t="str">
        <v>material</v>
      </c>
    </row>
    <row r="321">
      <c r="A321" t="str">
        <v>mat-vinylester-rtm</v>
      </c>
      <c r="B321" t="str">
        <v>Vinyl Ester RTM Resin — Composite</v>
      </c>
      <c r="C321" t="str">
        <v/>
      </c>
      <c r="D321" t="str">
        <v>material</v>
      </c>
    </row>
    <row r="322">
      <c r="A322" t="str">
        <v>mat-aramid-k49</v>
      </c>
      <c r="B322" t="str">
        <v>Aramid (Kevlar 49) Woven Fabric — Composite</v>
      </c>
      <c r="C322" t="str">
        <v/>
      </c>
      <c r="D322" t="str">
        <v>material</v>
      </c>
    </row>
    <row r="323">
      <c r="A323" t="str">
        <v>mat-cf-uni-t800</v>
      </c>
      <c r="B323" t="str">
        <v>T800 Unidirectional CF/Epoxy Prepreg — Composite</v>
      </c>
      <c r="C323" t="str">
        <v/>
      </c>
      <c r="D323" t="str">
        <v>material</v>
      </c>
    </row>
    <row r="324">
      <c r="A324" t="str">
        <v>mat-smc-gf</v>
      </c>
      <c r="B324" t="str">
        <v>SMC (Glass-Filled Sheet Moulding Compound) — Composite</v>
      </c>
      <c r="C324" t="str">
        <v/>
      </c>
      <c r="D324" t="str">
        <v>material</v>
      </c>
    </row>
    <row r="325">
      <c r="A325" t="str">
        <v>mat-bmc</v>
      </c>
      <c r="B325" t="str">
        <v>BMC (Bulk Moulding Compound) — Composite</v>
      </c>
      <c r="C325" t="str">
        <v/>
      </c>
      <c r="D325" t="str">
        <v>material</v>
      </c>
    </row>
    <row r="326">
      <c r="A326" t="str">
        <v>mat-csm-gf</v>
      </c>
      <c r="B326" t="str">
        <v>E-glass Chopped Strand Mat (450 g/m²) — Composite</v>
      </c>
      <c r="C326" t="str">
        <v/>
      </c>
      <c r="D326" t="str">
        <v>material</v>
      </c>
    </row>
    <row r="327">
      <c r="A327" t="str">
        <v>mat-cf-peek-organo</v>
      </c>
      <c r="B327" t="str">
        <v>CF/PEEK Organosheet (Thermoplastic) — Composite</v>
      </c>
      <c r="C327" t="str">
        <v/>
      </c>
      <c r="D327" t="str">
        <v>material</v>
      </c>
    </row>
    <row r="328">
      <c r="A328" t="str">
        <v>mat-nomex-honeycomb</v>
      </c>
      <c r="B328" t="str">
        <v>Nomex Honeycomb Core — Composite</v>
      </c>
      <c r="C328" t="str">
        <v/>
      </c>
      <c r="D328" t="str">
        <v>material</v>
      </c>
    </row>
    <row r="329">
      <c r="A329" t="str">
        <v>mat-pet-foam-core</v>
      </c>
      <c r="B329" t="str">
        <v>PET Structural Foam Core — Composite</v>
      </c>
      <c r="C329" t="str">
        <v/>
      </c>
      <c r="D329" t="str">
        <v>material</v>
      </c>
    </row>
    <row r="330">
      <c r="A330" t="str">
        <v>mach-lathe-cnc</v>
      </c>
      <c r="B330" t="str">
        <v>CNC Lathe (2-axis)</v>
      </c>
      <c r="C330" t="str">
        <v/>
      </c>
      <c r="D330" t="str">
        <v>machine</v>
      </c>
    </row>
    <row r="331">
      <c r="A331" t="str">
        <v>mach-vmc3</v>
      </c>
      <c r="B331" t="str">
        <v>CNC VMC 3-axis</v>
      </c>
      <c r="C331" t="str">
        <v/>
      </c>
      <c r="D331" t="str">
        <v>machine</v>
      </c>
    </row>
    <row r="332">
      <c r="A332" t="str">
        <v>mach-vmc5</v>
      </c>
      <c r="B332" t="str">
        <v>CNC VMC 5-axis</v>
      </c>
      <c r="C332" t="str">
        <v/>
      </c>
      <c r="D332" t="str">
        <v>machine</v>
      </c>
    </row>
    <row r="333">
      <c r="A333" t="str">
        <v>mach-drill</v>
      </c>
      <c r="B333" t="str">
        <v>CNC Drilling Centre</v>
      </c>
      <c r="C333" t="str">
        <v/>
      </c>
      <c r="D333" t="str">
        <v>machine</v>
      </c>
    </row>
    <row r="334">
      <c r="A334" t="str">
        <v>mach-grind</v>
      </c>
      <c r="B334" t="str">
        <v>CNC Cylindrical Grinder</v>
      </c>
      <c r="C334" t="str">
        <v/>
      </c>
      <c r="D334" t="str">
        <v>machine</v>
      </c>
    </row>
    <row r="335">
      <c r="A335" t="str">
        <v>gear-hob-small</v>
      </c>
      <c r="B335" t="str">
        <v>CNC Gear Hobber — small (≤m4, ≤Ø200)</v>
      </c>
      <c r="C335" t="str">
        <v/>
      </c>
      <c r="D335" t="str">
        <v>machine</v>
      </c>
    </row>
    <row r="336">
      <c r="A336" t="str">
        <v>gear-hob-medium</v>
      </c>
      <c r="B336" t="str">
        <v>CNC Gear Hobber — medium (≤m8, ≤Ø500)</v>
      </c>
      <c r="C336" t="str">
        <v/>
      </c>
      <c r="D336" t="str">
        <v>machine</v>
      </c>
    </row>
    <row r="337">
      <c r="A337" t="str">
        <v>gear-hob-large</v>
      </c>
      <c r="B337" t="str">
        <v>CNC Gear Hobber — large (≤m25, ≤Ø1600)</v>
      </c>
      <c r="C337" t="str">
        <v/>
      </c>
      <c r="D337" t="str">
        <v>machine</v>
      </c>
    </row>
    <row r="338">
      <c r="A338" t="str">
        <v>gear-shaper-small</v>
      </c>
      <c r="B338" t="str">
        <v>CNC Gear Shaper — small (≤m6, ≤Ø300)</v>
      </c>
      <c r="C338" t="str">
        <v/>
      </c>
      <c r="D338" t="str">
        <v>machine</v>
      </c>
    </row>
    <row r="339">
      <c r="A339" t="str">
        <v>gear-shaper-large</v>
      </c>
      <c r="B339" t="str">
        <v>CNC Gear Shaper — large (≤m12, ≤Ø800)</v>
      </c>
      <c r="C339" t="str">
        <v/>
      </c>
      <c r="D339" t="str">
        <v>machine</v>
      </c>
    </row>
    <row r="340">
      <c r="A340" t="str">
        <v>gear-skive-small</v>
      </c>
      <c r="B340" t="str">
        <v>Power Skiving Machine — small (≤m4, ≤Ø250)</v>
      </c>
      <c r="C340" t="str">
        <v/>
      </c>
      <c r="D340" t="str">
        <v>machine</v>
      </c>
    </row>
    <row r="341">
      <c r="A341" t="str">
        <v>gear-skive-medium</v>
      </c>
      <c r="B341" t="str">
        <v>Power Skiving Machine — medium (≤m8, ≤Ø600)</v>
      </c>
      <c r="C341" t="str">
        <v/>
      </c>
      <c r="D341" t="str">
        <v>machine</v>
      </c>
    </row>
    <row r="342">
      <c r="A342" t="str">
        <v>gear-broach</v>
      </c>
      <c r="B342" t="str">
        <v>Vertical Internal Gear Broach</v>
      </c>
      <c r="C342" t="str">
        <v/>
      </c>
      <c r="D342" t="str">
        <v>machine</v>
      </c>
    </row>
    <row r="343">
      <c r="A343" t="str">
        <v>gear-grind-generating</v>
      </c>
      <c r="B343" t="str">
        <v>Generating Gear Grinder (threaded wheel, ≤m6)</v>
      </c>
      <c r="C343" t="str">
        <v/>
      </c>
      <c r="D343" t="str">
        <v>machine</v>
      </c>
    </row>
    <row r="344">
      <c r="A344" t="str">
        <v>gear-grind-profile</v>
      </c>
      <c r="B344" t="str">
        <v>Profile Gear Grinder (form wheel, ≤m12)</v>
      </c>
      <c r="C344" t="str">
        <v/>
      </c>
      <c r="D344" t="str">
        <v>machine</v>
      </c>
    </row>
    <row r="345">
      <c r="A345" t="str">
        <v>gear-shave</v>
      </c>
      <c r="B345" t="str">
        <v>Gear Shaving Machine</v>
      </c>
      <c r="C345" t="str">
        <v/>
      </c>
      <c r="D345" t="str">
        <v>machine</v>
      </c>
    </row>
    <row r="346">
      <c r="A346" t="str">
        <v>gear-hone</v>
      </c>
      <c r="B346" t="str">
        <v>Gear Honing Machine</v>
      </c>
      <c r="C346" t="str">
        <v/>
      </c>
      <c r="D346" t="str">
        <v>machine</v>
      </c>
    </row>
    <row r="347">
      <c r="A347" t="str">
        <v>gear-deburr</v>
      </c>
      <c r="B347" t="str">
        <v>Gear Chamfer / Deburr Cell</v>
      </c>
      <c r="C347" t="str">
        <v/>
      </c>
      <c r="D347" t="str">
        <v>machine</v>
      </c>
    </row>
    <row r="348">
      <c r="A348" t="str">
        <v>gear-induction</v>
      </c>
      <c r="B348" t="str">
        <v>Gear Induction Hardening Cell (RF + quench + temper)</v>
      </c>
      <c r="C348" t="str">
        <v/>
      </c>
      <c r="D348" t="str">
        <v>machine</v>
      </c>
    </row>
    <row r="349">
      <c r="A349" t="str">
        <v>gear-checker</v>
      </c>
      <c r="B349" t="str">
        <v>CNC Gear Checker (profile / lead / pitch)</v>
      </c>
      <c r="C349" t="str">
        <v/>
      </c>
      <c r="D349" t="str">
        <v>machine</v>
      </c>
    </row>
    <row r="350">
      <c r="A350" t="str">
        <v>bench-assembly</v>
      </c>
      <c r="B350" t="str">
        <v>Assembly Workbench</v>
      </c>
      <c r="C350" t="str">
        <v/>
      </c>
      <c r="D350" t="str">
        <v>machine</v>
      </c>
    </row>
    <row r="351">
      <c r="A351" t="str">
        <v>mach-haas-vf2</v>
      </c>
      <c r="B351" t="str">
        <v>HAAS VF-2 (3-axis Mill)</v>
      </c>
      <c r="C351" t="str">
        <v/>
      </c>
      <c r="D351" t="str">
        <v>machine</v>
      </c>
    </row>
    <row r="352">
      <c r="A352" t="str">
        <v>mach-dmg-dmu50</v>
      </c>
      <c r="B352" t="str">
        <v>DMG Mori DMU 50 (5-axis Mill)</v>
      </c>
      <c r="C352" t="str">
        <v/>
      </c>
      <c r="D352" t="str">
        <v>machine</v>
      </c>
    </row>
    <row r="353">
      <c r="A353" t="str">
        <v>mach-haas-umc500</v>
      </c>
      <c r="B353" t="str">
        <v>HAAS UMC-500 (5-axis Mill)</v>
      </c>
      <c r="C353" t="str">
        <v/>
      </c>
      <c r="D353" t="str">
        <v>machine</v>
      </c>
    </row>
    <row r="354">
      <c r="A354" t="str">
        <v>mach-mazak-qt200</v>
      </c>
      <c r="B354" t="str">
        <v>Mazak Quick Turn 200 (Turning)</v>
      </c>
      <c r="C354" t="str">
        <v/>
      </c>
      <c r="D354" t="str">
        <v>machine</v>
      </c>
    </row>
    <row r="355">
      <c r="A355" t="str">
        <v>grav-die-cast-std</v>
      </c>
      <c r="B355" t="str">
        <v>Gravity Die Casting Machine</v>
      </c>
      <c r="C355" t="str">
        <v/>
      </c>
      <c r="D355" t="str">
        <v>machine</v>
      </c>
    </row>
    <row r="356">
      <c r="A356" t="str">
        <v>invest-cast-furnace</v>
      </c>
      <c r="B356" t="str">
        <v>Investment Casting Furnace</v>
      </c>
      <c r="C356" t="str">
        <v/>
      </c>
      <c r="D356" t="str">
        <v>machine</v>
      </c>
    </row>
    <row r="357">
      <c r="A357" t="str">
        <v>heat-treat-furnace</v>
      </c>
      <c r="B357" t="str">
        <v>Heat Treatment / Ageing Furnace</v>
      </c>
      <c r="C357" t="str">
        <v/>
      </c>
      <c r="D357" t="str">
        <v>machine</v>
      </c>
    </row>
    <row r="358">
      <c r="A358" t="str">
        <v>press-100t</v>
      </c>
      <c r="B358" t="str">
        <v>100T Mechanical Press (general press shop)</v>
      </c>
      <c r="C358" t="str">
        <v/>
      </c>
      <c r="D358" t="str">
        <v>machine</v>
      </c>
    </row>
    <row r="359">
      <c r="A359" t="str">
        <v>press-200t</v>
      </c>
      <c r="B359" t="str">
        <v>200T Mechanical Press (general press shop)</v>
      </c>
      <c r="C359" t="str">
        <v/>
      </c>
      <c r="D359" t="str">
        <v>machine</v>
      </c>
    </row>
    <row r="360">
      <c r="A360" t="str">
        <v>press-400t</v>
      </c>
      <c r="B360" t="str">
        <v>400T Mechanical Press (general press shop)</v>
      </c>
      <c r="C360" t="str">
        <v/>
      </c>
      <c r="D360" t="str">
        <v>machine</v>
      </c>
    </row>
    <row r="361">
      <c r="A361" t="str">
        <v>press-630t</v>
      </c>
      <c r="B361" t="str">
        <v>630T Mechanical Press (general press shop)</v>
      </c>
      <c r="C361" t="str">
        <v/>
      </c>
      <c r="D361" t="str">
        <v>machine</v>
      </c>
    </row>
    <row r="362">
      <c r="A362" t="str">
        <v>press-800t</v>
      </c>
      <c r="B362" t="str">
        <v>800T Mechanical Press (general press shop)</v>
      </c>
      <c r="C362" t="str">
        <v/>
      </c>
      <c r="D362" t="str">
        <v>machine</v>
      </c>
    </row>
    <row r="363">
      <c r="A363" t="str">
        <v>press-1000t</v>
      </c>
      <c r="B363" t="str">
        <v>1000T Mechanical Press (general press shop)</v>
      </c>
      <c r="C363" t="str">
        <v/>
      </c>
      <c r="D363" t="str">
        <v>machine</v>
      </c>
    </row>
    <row r="364">
      <c r="A364" t="str">
        <v>press-1250t</v>
      </c>
      <c r="B364" t="str">
        <v>1250T Mechanical Press (general press shop)</v>
      </c>
      <c r="C364" t="str">
        <v/>
      </c>
      <c r="D364" t="str">
        <v>machine</v>
      </c>
    </row>
    <row r="365">
      <c r="A365" t="str">
        <v>press-fineblank-250t</v>
      </c>
      <c r="B365" t="str">
        <v>250T Fine-Blanking Press (triple-action)</v>
      </c>
      <c r="C365" t="str">
        <v/>
      </c>
      <c r="D365" t="str">
        <v>machine</v>
      </c>
    </row>
    <row r="366">
      <c r="A366" t="str">
        <v>press-hotstamp-1000t</v>
      </c>
      <c r="B366" t="str">
        <v>1000T Hot-Stamping Press (water-cooled dies)</v>
      </c>
      <c r="C366" t="str">
        <v/>
      </c>
      <c r="D366" t="str">
        <v>machine</v>
      </c>
    </row>
    <row r="367">
      <c r="A367" t="str">
        <v>furnace-roller-hearth</v>
      </c>
      <c r="B367" t="str">
        <v>Roller-Hearth Austenitising Furnace (hot stamping)</v>
      </c>
      <c r="C367" t="str">
        <v/>
      </c>
      <c r="D367" t="str">
        <v>machine</v>
      </c>
    </row>
    <row r="368">
      <c r="A368" t="str">
        <v>notching-machine</v>
      </c>
      <c r="B368" t="str">
        <v>CNC Notching Machine (laminations)</v>
      </c>
      <c r="C368" t="str">
        <v/>
      </c>
      <c r="D368" t="str">
        <v>machine</v>
      </c>
    </row>
    <row r="369">
      <c r="A369" t="str">
        <v>lamination-anneal-furnace</v>
      </c>
      <c r="B369" t="str">
        <v>Stress-Relief Annealing Furnace (laminations)</v>
      </c>
      <c r="C369" t="str">
        <v/>
      </c>
      <c r="D369" t="str">
        <v>machine</v>
      </c>
    </row>
    <row r="370">
      <c r="A370" t="str">
        <v>backlack-bonding-oven</v>
      </c>
      <c r="B370" t="str">
        <v>Backlack Bonding Oven/Press (self-bonded stacks)</v>
      </c>
      <c r="C370" t="str">
        <v/>
      </c>
      <c r="D370" t="str">
        <v>machine</v>
      </c>
    </row>
    <row r="371">
      <c r="A371" t="str">
        <v>laser-stack-welder</v>
      </c>
      <c r="B371" t="str">
        <v>Laser Stack Welder (stator OD welds)</v>
      </c>
      <c r="C371" t="str">
        <v/>
      </c>
      <c r="D371" t="str">
        <v>machine</v>
      </c>
    </row>
    <row r="372">
      <c r="A372" t="str">
        <v>imm-50t</v>
      </c>
      <c r="B372" t="str">
        <v>50T Injection Moulding Machine</v>
      </c>
      <c r="C372" t="str">
        <v/>
      </c>
      <c r="D372" t="str">
        <v>machine</v>
      </c>
    </row>
    <row r="373">
      <c r="A373" t="str">
        <v>imm-100t</v>
      </c>
      <c r="B373" t="str">
        <v>100T Injection Moulding Machine</v>
      </c>
      <c r="C373" t="str">
        <v/>
      </c>
      <c r="D373" t="str">
        <v>machine</v>
      </c>
    </row>
    <row r="374">
      <c r="A374" t="str">
        <v>imm-200t</v>
      </c>
      <c r="B374" t="str">
        <v>200T Injection Moulding Machine</v>
      </c>
      <c r="C374" t="str">
        <v/>
      </c>
      <c r="D374" t="str">
        <v>machine</v>
      </c>
    </row>
    <row r="375">
      <c r="A375" t="str">
        <v>imm-350t</v>
      </c>
      <c r="B375" t="str">
        <v>350T Injection Moulding Machine</v>
      </c>
      <c r="C375" t="str">
        <v/>
      </c>
      <c r="D375" t="str">
        <v>machine</v>
      </c>
    </row>
    <row r="376">
      <c r="A376" t="str">
        <v>imm-400t</v>
      </c>
      <c r="B376" t="str">
        <v>400T Injection Moulding Machine</v>
      </c>
      <c r="C376" t="str">
        <v/>
      </c>
      <c r="D376" t="str">
        <v>machine</v>
      </c>
    </row>
    <row r="377">
      <c r="A377" t="str">
        <v>imm-500t</v>
      </c>
      <c r="B377" t="str">
        <v>500T Injection Moulding Machine</v>
      </c>
      <c r="C377" t="str">
        <v/>
      </c>
      <c r="D377" t="str">
        <v>machine</v>
      </c>
    </row>
    <row r="378">
      <c r="A378" t="str">
        <v>imm-800t</v>
      </c>
      <c r="B378" t="str">
        <v>800T Injection Moulding Machine</v>
      </c>
      <c r="C378" t="str">
        <v/>
      </c>
      <c r="D378" t="str">
        <v>machine</v>
      </c>
    </row>
    <row r="379">
      <c r="A379" t="str">
        <v>imm-1200t</v>
      </c>
      <c r="B379" t="str">
        <v>1200T Injection Moulding Machine</v>
      </c>
      <c r="C379" t="str">
        <v/>
      </c>
      <c r="D379" t="str">
        <v>machine</v>
      </c>
    </row>
    <row r="380">
      <c r="A380" t="str">
        <v>imm-2000t</v>
      </c>
      <c r="B380" t="str">
        <v>2000T Injection Moulding Machine</v>
      </c>
      <c r="C380" t="str">
        <v/>
      </c>
      <c r="D380" t="str">
        <v>machine</v>
      </c>
    </row>
    <row r="381">
      <c r="A381" t="str">
        <v>imm-3500t</v>
      </c>
      <c r="B381" t="str">
        <v>3500T Injection Moulding Machine</v>
      </c>
      <c r="C381" t="str">
        <v/>
      </c>
      <c r="D381" t="str">
        <v>machine</v>
      </c>
    </row>
    <row r="382">
      <c r="A382" t="str">
        <v>hpdc-500t</v>
      </c>
      <c r="B382" t="str">
        <v>HPDC 500T</v>
      </c>
      <c r="C382" t="str">
        <v/>
      </c>
      <c r="D382" t="str">
        <v>machine</v>
      </c>
    </row>
    <row r="383">
      <c r="A383" t="str">
        <v>hpdc-800t</v>
      </c>
      <c r="B383" t="str">
        <v>HPDC 800T</v>
      </c>
      <c r="C383" t="str">
        <v/>
      </c>
      <c r="D383" t="str">
        <v>machine</v>
      </c>
    </row>
    <row r="384">
      <c r="A384" t="str">
        <v>hpdc-1600t</v>
      </c>
      <c r="B384" t="str">
        <v>HPDC 1600T</v>
      </c>
      <c r="C384" t="str">
        <v/>
      </c>
      <c r="D384" t="str">
        <v>machine</v>
      </c>
    </row>
    <row r="385">
      <c r="A385" t="str">
        <v>hpdc-giga-6100t</v>
      </c>
      <c r="B385" t="str">
        <v>Giga-Casting Press 6100T (megacasting)</v>
      </c>
      <c r="C385" t="str">
        <v/>
      </c>
      <c r="D385" t="str">
        <v>machine</v>
      </c>
    </row>
    <row r="386">
      <c r="A386" t="str">
        <v>hpdc-giga-9000t</v>
      </c>
      <c r="B386" t="str">
        <v>Giga-Casting Press 9000T (Xiaomi/Tesla-class)</v>
      </c>
      <c r="C386" t="str">
        <v/>
      </c>
      <c r="D386" t="str">
        <v>machine</v>
      </c>
    </row>
    <row r="387">
      <c r="A387" t="str">
        <v>sand-cast-line</v>
      </c>
      <c r="B387" t="str">
        <v>Sand Casting Moulding Line</v>
      </c>
      <c r="C387" t="str">
        <v/>
      </c>
      <c r="D387" t="str">
        <v>machine</v>
      </c>
    </row>
    <row r="388">
      <c r="A388" t="str">
        <v>hpdc-160t</v>
      </c>
      <c r="B388" t="str">
        <v>HPDC 160T (Zinc/Small Al)</v>
      </c>
      <c r="C388" t="str">
        <v/>
      </c>
      <c r="D388" t="str">
        <v>machine</v>
      </c>
    </row>
    <row r="389">
      <c r="A389" t="str">
        <v>forge-press-500t</v>
      </c>
      <c r="B389" t="str">
        <v>500T Mechanical Forge Press</v>
      </c>
      <c r="C389" t="str">
        <v/>
      </c>
      <c r="D389" t="str">
        <v>machine</v>
      </c>
    </row>
    <row r="390">
      <c r="A390" t="str">
        <v>forge-press-1600t</v>
      </c>
      <c r="B390" t="str">
        <v>1600T Mechanical Forge Press</v>
      </c>
      <c r="C390" t="str">
        <v/>
      </c>
      <c r="D390" t="str">
        <v>machine</v>
      </c>
    </row>
    <row r="391">
      <c r="A391" t="str">
        <v>forge-press-2500t</v>
      </c>
      <c r="B391" t="str">
        <v>2500T Mechanical Forge Press</v>
      </c>
      <c r="C391" t="str">
        <v/>
      </c>
      <c r="D391" t="str">
        <v>machine</v>
      </c>
    </row>
    <row r="392">
      <c r="A392" t="str">
        <v>forge-press-4000t</v>
      </c>
      <c r="B392" t="str">
        <v>4000T Hydraulic Forge Press</v>
      </c>
      <c r="C392" t="str">
        <v/>
      </c>
      <c r="D392" t="str">
        <v>machine</v>
      </c>
    </row>
    <row r="393">
      <c r="A393" t="str">
        <v>forge-press-8000t</v>
      </c>
      <c r="B393" t="str">
        <v>8000T Hydraulic Forge Press</v>
      </c>
      <c r="C393" t="str">
        <v/>
      </c>
      <c r="D393" t="str">
        <v>machine</v>
      </c>
    </row>
    <row r="394">
      <c r="A394" t="str">
        <v>forge-screw-1000t</v>
      </c>
      <c r="B394" t="str">
        <v>1000T Screw Press</v>
      </c>
      <c r="C394" t="str">
        <v/>
      </c>
      <c r="D394" t="str">
        <v>machine</v>
      </c>
    </row>
    <row r="395">
      <c r="A395" t="str">
        <v>forge-upsetter-1000t</v>
      </c>
      <c r="B395" t="str">
        <v>1000T Horizontal Upsetter</v>
      </c>
      <c r="C395" t="str">
        <v/>
      </c>
      <c r="D395" t="str">
        <v>machine</v>
      </c>
    </row>
    <row r="396">
      <c r="A396" t="str">
        <v>forge-hammer-2t</v>
      </c>
      <c r="B396" t="str">
        <v>2T Pneumatic Forge Hammer</v>
      </c>
      <c r="C396" t="str">
        <v/>
      </c>
      <c r="D396" t="str">
        <v>machine</v>
      </c>
    </row>
    <row r="397">
      <c r="A397" t="str">
        <v>forge-hammer-5t</v>
      </c>
      <c r="B397" t="str">
        <v>5T Pneumatic Forge Hammer</v>
      </c>
      <c r="C397" t="str">
        <v/>
      </c>
      <c r="D397" t="str">
        <v>machine</v>
      </c>
    </row>
    <row r="398">
      <c r="A398" t="str">
        <v>forge-hammer-10t</v>
      </c>
      <c r="B398" t="str">
        <v>10T Counterblow Forge Hammer</v>
      </c>
      <c r="C398" t="str">
        <v/>
      </c>
      <c r="D398" t="str">
        <v>machine</v>
      </c>
    </row>
    <row r="399">
      <c r="A399" t="str">
        <v>forge-ring-mill</v>
      </c>
      <c r="B399" t="str">
        <v>CNC Seamless Ring Rolling Mill</v>
      </c>
      <c r="C399" t="str">
        <v/>
      </c>
      <c r="D399" t="str">
        <v>machine</v>
      </c>
    </row>
    <row r="400">
      <c r="A400" t="str">
        <v>paint-line-std</v>
      </c>
      <c r="B400" t="str">
        <v>Standard Paint Line (E-coat + Topcoat)</v>
      </c>
      <c r="C400" t="str">
        <v/>
      </c>
      <c r="D400" t="str">
        <v>machine</v>
      </c>
    </row>
    <row r="401">
      <c r="A401" t="str">
        <v>plating-line-barrel</v>
      </c>
      <c r="B401" t="str">
        <v>Barrel Plating Line (zinc, high volume)</v>
      </c>
      <c r="C401" t="str">
        <v/>
      </c>
      <c r="D401" t="str">
        <v>machine</v>
      </c>
    </row>
    <row r="402">
      <c r="A402" t="str">
        <v>plating-line-rack</v>
      </c>
      <c r="B402" t="str">
        <v>Rack Plating / Anodising Line</v>
      </c>
      <c r="C402" t="str">
        <v/>
      </c>
      <c r="D402" t="str">
        <v>machine</v>
      </c>
    </row>
    <row r="403">
      <c r="A403" t="str">
        <v>blast-machine</v>
      </c>
      <c r="B403" t="str">
        <v>Shot Blast Machine (tumble / hanger)</v>
      </c>
      <c r="C403" t="str">
        <v/>
      </c>
      <c r="D403" t="str">
        <v>machine</v>
      </c>
    </row>
    <row r="404">
      <c r="A404" t="str">
        <v>mass-finish-bowl</v>
      </c>
      <c r="B404" t="str">
        <v>Vibratory / Mass Finishing Bowl</v>
      </c>
      <c r="C404" t="str">
        <v/>
      </c>
      <c r="D404" t="str">
        <v>machine</v>
      </c>
    </row>
    <row r="405">
      <c r="A405" t="str">
        <v>galvanising-kettle</v>
      </c>
      <c r="B405" t="str">
        <v>Hot Dip Galvanising Kettle (batch, EN ISO 1461)</v>
      </c>
      <c r="C405" t="str">
        <v/>
      </c>
      <c r="D405" t="str">
        <v>machine</v>
      </c>
    </row>
    <row r="406">
      <c r="A406" t="str">
        <v>impregnation-plant</v>
      </c>
      <c r="B406" t="str">
        <v>Vacuum Resin Impregnation Plant (casting porosity)</v>
      </c>
      <c r="C406" t="str">
        <v/>
      </c>
      <c r="D406" t="str">
        <v>machine</v>
      </c>
    </row>
    <row r="407">
      <c r="A407" t="str">
        <v>robot-weld-station</v>
      </c>
      <c r="B407" t="str">
        <v>Robot Welding Station</v>
      </c>
      <c r="C407" t="str">
        <v/>
      </c>
      <c r="D407" t="str">
        <v>machine</v>
      </c>
    </row>
    <row r="408">
      <c r="A408" t="str">
        <v>smt-line</v>
      </c>
      <c r="B408" t="str">
        <v>SMT Pick &amp; Place + Reflow Line</v>
      </c>
      <c r="C408" t="str">
        <v/>
      </c>
      <c r="D408" t="str">
        <v>machine</v>
      </c>
    </row>
    <row r="409">
      <c r="A409" t="str">
        <v>smt-high-speed-line</v>
      </c>
      <c r="B409" t="str">
        <v>High-Speed SMT Line (Fuji/Juki/ASM)</v>
      </c>
      <c r="C409" t="str">
        <v/>
      </c>
      <c r="D409" t="str">
        <v>machine</v>
      </c>
    </row>
    <row r="410">
      <c r="A410" t="str">
        <v>laser-drill-75um</v>
      </c>
      <c r="B410" t="str">
        <v>Laser Drill — 75 µm Microvia (CO₂/UV)</v>
      </c>
      <c r="C410" t="str">
        <v/>
      </c>
      <c r="D410" t="str">
        <v>machine</v>
      </c>
    </row>
    <row r="411">
      <c r="A411" t="str">
        <v>xray-bga-inspection</v>
      </c>
      <c r="B411" t="str">
        <v>X-Ray BGA Inspection Cell (2D/3D AXI)</v>
      </c>
      <c r="C411" t="str">
        <v/>
      </c>
      <c r="D411" t="str">
        <v>machine</v>
      </c>
    </row>
    <row r="412">
      <c r="A412" t="str">
        <v>ict-automotive</v>
      </c>
      <c r="B412" t="str">
        <v>ICT Bed-of-Nails Test System (Automotive)</v>
      </c>
      <c r="C412" t="str">
        <v/>
      </c>
      <c r="D412" t="str">
        <v>machine</v>
      </c>
    </row>
    <row r="413">
      <c r="A413" t="str">
        <v>blow-ebm-100l</v>
      </c>
      <c r="B413" t="str">
        <v>EBM Blow Moulder (up to 5L)</v>
      </c>
      <c r="C413" t="str">
        <v/>
      </c>
      <c r="D413" t="str">
        <v>machine</v>
      </c>
    </row>
    <row r="414">
      <c r="A414" t="str">
        <v>blow-ebm-500l</v>
      </c>
      <c r="B414" t="str">
        <v>EBM Blow Moulder (5–100L tanks/drums)</v>
      </c>
      <c r="C414" t="str">
        <v/>
      </c>
      <c r="D414" t="str">
        <v>machine</v>
      </c>
    </row>
    <row r="415">
      <c r="A415" t="str">
        <v>blow-ebm-2head</v>
      </c>
      <c r="B415" t="str">
        <v>EBM 2-Head (Bottles 1–5L)</v>
      </c>
      <c r="C415" t="str">
        <v/>
      </c>
      <c r="D415" t="str">
        <v>machine</v>
      </c>
    </row>
    <row r="416">
      <c r="A416" t="str">
        <v>blow-ebm-coex3</v>
      </c>
      <c r="B416" t="str">
        <v>3-Layer Co-Ex EBM</v>
      </c>
      <c r="C416" t="str">
        <v/>
      </c>
      <c r="D416" t="str">
        <v>machine</v>
      </c>
    </row>
    <row r="417">
      <c r="A417" t="str">
        <v>blow-ebm-coex5</v>
      </c>
      <c r="B417" t="str">
        <v>5-Layer Co-Ex EBM (High-Barrier)</v>
      </c>
      <c r="C417" t="str">
        <v/>
      </c>
      <c r="D417" t="str">
        <v>machine</v>
      </c>
    </row>
    <row r="418">
      <c r="A418" t="str">
        <v>blow-ebm-large</v>
      </c>
      <c r="B418" t="str">
        <v>Large EBM Accumulator Head (20–200L)</v>
      </c>
      <c r="C418" t="str">
        <v/>
      </c>
      <c r="D418" t="str">
        <v>machine</v>
      </c>
    </row>
    <row r="419">
      <c r="A419" t="str">
        <v>blow-ibm-rotary</v>
      </c>
      <c r="B419" t="str">
        <v>IBM Rotary Machine (Pharma/Cosmetics)</v>
      </c>
      <c r="C419" t="str">
        <v/>
      </c>
      <c r="D419" t="str">
        <v>machine</v>
      </c>
    </row>
    <row r="420">
      <c r="A420" t="str">
        <v>blow-ibm-linear</v>
      </c>
      <c r="B420" t="str">
        <v>IBM Linear Machine (Medium Volume)</v>
      </c>
      <c r="C420" t="str">
        <v/>
      </c>
      <c r="D420" t="str">
        <v>machine</v>
      </c>
    </row>
    <row r="421">
      <c r="A421" t="str">
        <v>blow-sbm-1stage</v>
      </c>
      <c r="B421" t="str">
        <v>SBM Single-Stage (Preform + Blow)</v>
      </c>
      <c r="C421" t="str">
        <v/>
      </c>
      <c r="D421" t="str">
        <v>machine</v>
      </c>
    </row>
    <row r="422">
      <c r="A422" t="str">
        <v>blow-sbm-2stage</v>
      </c>
      <c r="B422" t="str">
        <v>SBM Two-Stage Reheat (High-Speed PET)</v>
      </c>
      <c r="C422" t="str">
        <v/>
      </c>
      <c r="D422" t="str">
        <v>machine</v>
      </c>
    </row>
    <row r="423">
      <c r="A423" t="str">
        <v>blow-deflash-trimmer</v>
      </c>
      <c r="B423" t="str">
        <v>Deflash Trim Robot / Station</v>
      </c>
      <c r="C423" t="str">
        <v/>
      </c>
      <c r="D423" t="str">
        <v>machine</v>
      </c>
    </row>
    <row r="424">
      <c r="A424" t="str">
        <v>extruder-75mm</v>
      </c>
      <c r="B424" t="str">
        <v>Single Screw Extruder 75mm</v>
      </c>
      <c r="C424" t="str">
        <v/>
      </c>
      <c r="D424" t="str">
        <v>machine</v>
      </c>
    </row>
    <row r="425">
      <c r="A425" t="str">
        <v>extruder-150mm</v>
      </c>
      <c r="B425" t="str">
        <v>Twin Screw Compounding/Extrusion Line 150mm</v>
      </c>
      <c r="C425" t="str">
        <v/>
      </c>
      <c r="D425" t="str">
        <v>machine</v>
      </c>
    </row>
    <row r="426">
      <c r="A426" t="str">
        <v>extruder-pipe-line</v>
      </c>
      <c r="B426" t="str">
        <v>Pipe Extrusion Line 90mm (SSE + vacuum tank + haul-off + saw)</v>
      </c>
      <c r="C426" t="str">
        <v/>
      </c>
      <c r="D426" t="str">
        <v>machine</v>
      </c>
    </row>
    <row r="427">
      <c r="A427" t="str">
        <v>extruder-profile-line</v>
      </c>
      <c r="B427" t="str">
        <v>Profile Extrusion Line 75mm (SSE + calibration table + haul-off)</v>
      </c>
      <c r="C427" t="str">
        <v/>
      </c>
      <c r="D427" t="str">
        <v>machine</v>
      </c>
    </row>
    <row r="428">
      <c r="A428" t="str">
        <v>extruder-sheet-line</v>
      </c>
      <c r="B428" t="str">
        <v>Sheet Extrusion Line (die + 3-roll stack + winder)</v>
      </c>
      <c r="C428" t="str">
        <v/>
      </c>
      <c r="D428" t="str">
        <v>machine</v>
      </c>
    </row>
    <row r="429">
      <c r="A429" t="str">
        <v>extruder-cable-line</v>
      </c>
      <c r="B429" t="str">
        <v>Cable/Wire Line (crosshead + CV/cooling + capstan)</v>
      </c>
      <c r="C429" t="str">
        <v/>
      </c>
      <c r="D429" t="str">
        <v>machine</v>
      </c>
    </row>
    <row r="430">
      <c r="A430" t="str">
        <v>extruder-coex-3</v>
      </c>
      <c r="B430" t="str">
        <v>3-Layer Co-Extrusion Line (3 extruders + feed block/manifold die)</v>
      </c>
      <c r="C430" t="str">
        <v/>
      </c>
      <c r="D430" t="str">
        <v>machine</v>
      </c>
    </row>
    <row r="431">
      <c r="A431" t="str">
        <v>extruder-micro-tube</v>
      </c>
      <c r="B431" t="str">
        <v>Medical Micro-Tubing Line (precision + laser gauge + cleanroom-ready)</v>
      </c>
      <c r="C431" t="str">
        <v/>
      </c>
      <c r="D431" t="str">
        <v>machine</v>
      </c>
    </row>
    <row r="432">
      <c r="A432" t="str">
        <v>extrusion-finish-qa</v>
      </c>
      <c r="B432" t="str">
        <v>Cut-off, Coil &amp; Inspection Station</v>
      </c>
      <c r="C432" t="str">
        <v/>
      </c>
      <c r="D432" t="str">
        <v>machine</v>
      </c>
    </row>
    <row r="433">
      <c r="A433" t="str">
        <v>extrusion-leak-test</v>
      </c>
      <c r="B433" t="str">
        <v>Pipe/Tube Pressure &amp; Leak Test Rig</v>
      </c>
      <c r="C433" t="str">
        <v/>
      </c>
      <c r="D433" t="str">
        <v>machine</v>
      </c>
    </row>
    <row r="434">
      <c r="A434" t="str">
        <v>thermoform-small</v>
      </c>
      <c r="B434" t="str">
        <v>Thermoformer (Small/Single Station)</v>
      </c>
      <c r="C434" t="str">
        <v/>
      </c>
      <c r="D434" t="str">
        <v>machine</v>
      </c>
    </row>
    <row r="435">
      <c r="A435" t="str">
        <v>thermoform-large</v>
      </c>
      <c r="B435" t="str">
        <v>Thermoformer (Inline/Rotary, Large)</v>
      </c>
      <c r="C435" t="str">
        <v/>
      </c>
      <c r="D435" t="str">
        <v>machine</v>
      </c>
    </row>
    <row r="436">
      <c r="A436" t="str">
        <v>thermoform-pressure</v>
      </c>
      <c r="B436" t="str">
        <v>Pressure Former (3–6 bar, cut-sheet)</v>
      </c>
      <c r="C436" t="str">
        <v/>
      </c>
      <c r="D436" t="str">
        <v>machine</v>
      </c>
    </row>
    <row r="437">
      <c r="A437" t="str">
        <v>thermoform-twinsheet</v>
      </c>
      <c r="B437" t="str">
        <v>Twin-Sheet Thermoformer</v>
      </c>
      <c r="C437" t="str">
        <v/>
      </c>
      <c r="D437" t="str">
        <v>machine</v>
      </c>
    </row>
    <row r="438">
      <c r="A438" t="str">
        <v>thermoform-rollfed</v>
      </c>
      <c r="B438" t="str">
        <v>Roll-Fed Inline Thermoformer (packaging)</v>
      </c>
      <c r="C438" t="str">
        <v/>
      </c>
      <c r="D438" t="str">
        <v>machine</v>
      </c>
    </row>
    <row r="439">
      <c r="A439" t="str">
        <v>thermoform-oven</v>
      </c>
      <c r="B439" t="str">
        <v>Standalone Sheet Pre-Heat Oven</v>
      </c>
      <c r="C439" t="str">
        <v/>
      </c>
      <c r="D439" t="str">
        <v>machine</v>
      </c>
    </row>
    <row r="440">
      <c r="A440" t="str">
        <v>thermoform-trim-router</v>
      </c>
      <c r="B440" t="str">
        <v>CNC Trim Router / Trim Robot (5-axis)</v>
      </c>
      <c r="C440" t="str">
        <v/>
      </c>
      <c r="D440" t="str">
        <v>machine</v>
      </c>
    </row>
    <row r="441">
      <c r="A441" t="str">
        <v>rotomould-biaxial</v>
      </c>
      <c r="B441" t="str">
        <v>Biaxial Rotational Moulder (3-arm carousel)</v>
      </c>
      <c r="C441" t="str">
        <v/>
      </c>
      <c r="D441" t="str">
        <v>machine</v>
      </c>
    </row>
    <row r="442">
      <c r="A442" t="str">
        <v>rotomould-lab-1arm</v>
      </c>
      <c r="B442" t="str">
        <v>Single-Arm Rotational Moulder (small/lab)</v>
      </c>
      <c r="C442" t="str">
        <v/>
      </c>
      <c r="D442" t="str">
        <v>machine</v>
      </c>
    </row>
    <row r="443">
      <c r="A443" t="str">
        <v>rotomould-shuttle</v>
      </c>
      <c r="B443" t="str">
        <v>Shuttle Rotational Moulder (1–2 station)</v>
      </c>
      <c r="C443" t="str">
        <v/>
      </c>
      <c r="D443" t="str">
        <v>machine</v>
      </c>
    </row>
    <row r="444">
      <c r="A444" t="str">
        <v>rotomould-rocknroll</v>
      </c>
      <c r="B444" t="str">
        <v>Rock-and-Roll Rotational Moulder</v>
      </c>
      <c r="C444" t="str">
        <v/>
      </c>
      <c r="D444" t="str">
        <v>machine</v>
      </c>
    </row>
    <row r="445">
      <c r="A445" t="str">
        <v>rotomould-carousel-4arm</v>
      </c>
      <c r="B445" t="str">
        <v>4-Arm Fixed Carousel Rotational Moulder</v>
      </c>
      <c r="C445" t="str">
        <v/>
      </c>
      <c r="D445" t="str">
        <v>machine</v>
      </c>
    </row>
    <row r="446">
      <c r="A446" t="str">
        <v>ultrasonic-welder</v>
      </c>
      <c r="B446" t="str">
        <v>Ultrasonic Welder</v>
      </c>
      <c r="C446" t="str">
        <v/>
      </c>
      <c r="D446" t="str">
        <v>machine</v>
      </c>
    </row>
    <row r="447">
      <c r="A447" t="str">
        <v>hot-plate-welder</v>
      </c>
      <c r="B447" t="str">
        <v>Hot Plate Welder</v>
      </c>
      <c r="C447" t="str">
        <v/>
      </c>
      <c r="D447" t="str">
        <v>machine</v>
      </c>
    </row>
    <row r="448">
      <c r="A448" t="str">
        <v>vibration-welder</v>
      </c>
      <c r="B448" t="str">
        <v>Vibration Welder</v>
      </c>
      <c r="C448" t="str">
        <v/>
      </c>
      <c r="D448" t="str">
        <v>machine</v>
      </c>
    </row>
    <row r="449">
      <c r="A449" t="str">
        <v>laser-trumpf-3030</v>
      </c>
      <c r="B449" t="str">
        <v>Trumpf TruLaser 3030 (6kW Fiber)</v>
      </c>
      <c r="C449" t="str">
        <v/>
      </c>
      <c r="D449" t="str">
        <v>machine</v>
      </c>
    </row>
    <row r="450">
      <c r="A450" t="str">
        <v>laser-bystronic-3015</v>
      </c>
      <c r="B450" t="str">
        <v>Bystronic BySmart 3015 (4kW Fiber)</v>
      </c>
      <c r="C450" t="str">
        <v/>
      </c>
      <c r="D450" t="str">
        <v>machine</v>
      </c>
    </row>
    <row r="451">
      <c r="A451" t="str">
        <v>punch-amada-emz3610</v>
      </c>
      <c r="B451" t="str">
        <v>Amada EMZ 3610 Turret Punch (30T)</v>
      </c>
      <c r="C451" t="str">
        <v/>
      </c>
      <c r="D451" t="str">
        <v>machine</v>
      </c>
    </row>
    <row r="452">
      <c r="A452" t="str">
        <v>punch-trumpf-5000</v>
      </c>
      <c r="B452" t="str">
        <v>Trumpf TruPunch 5000 (30T)</v>
      </c>
      <c r="C452" t="str">
        <v/>
      </c>
      <c r="D452" t="str">
        <v>machine</v>
      </c>
    </row>
    <row r="453">
      <c r="A453" t="str">
        <v>brake-amada-hfe100</v>
      </c>
      <c r="B453" t="str">
        <v>Amada HFE 100T Press Brake (3m)</v>
      </c>
      <c r="C453" t="str">
        <v/>
      </c>
      <c r="D453" t="str">
        <v>machine</v>
      </c>
    </row>
    <row r="454">
      <c r="A454" t="str">
        <v>brake-trumpf-5230</v>
      </c>
      <c r="B454" t="str">
        <v>Trumpf TruBend 5230 (230T)</v>
      </c>
      <c r="C454" t="str">
        <v/>
      </c>
      <c r="D454" t="str">
        <v>machine</v>
      </c>
    </row>
    <row r="455">
      <c r="A455" t="str">
        <v>press-schuler-400t</v>
      </c>
      <c r="B455" t="str">
        <v>Schuler 400T Stamping Press</v>
      </c>
      <c r="C455" t="str">
        <v/>
      </c>
      <c r="D455" t="str">
        <v>machine</v>
      </c>
    </row>
    <row r="456">
      <c r="A456" t="str">
        <v>press-aida-200t</v>
      </c>
      <c r="B456" t="str">
        <v>AIDA 200T Stamping Press</v>
      </c>
      <c r="C456" t="str">
        <v/>
      </c>
      <c r="D456" t="str">
        <v>machine</v>
      </c>
    </row>
    <row r="457">
      <c r="A457" t="str">
        <v>rollform-dimeco-20st</v>
      </c>
      <c r="B457" t="str">
        <v>Dimeco Roll Forming Line (20 stations)</v>
      </c>
      <c r="C457" t="str">
        <v/>
      </c>
      <c r="D457" t="str">
        <v>machine</v>
      </c>
    </row>
    <row r="458">
      <c r="A458" t="str">
        <v>robot-spotweld-kuka</v>
      </c>
      <c r="B458" t="str">
        <v>KUKA Spot Welding Robot Cell</v>
      </c>
      <c r="C458" t="str">
        <v/>
      </c>
      <c r="D458" t="str">
        <v>machine</v>
      </c>
    </row>
    <row r="459">
      <c r="A459" t="str">
        <v>mig-welder-manual</v>
      </c>
      <c r="B459" t="str">
        <v>Manual MIG/MAG Welder Station</v>
      </c>
      <c r="C459" t="str">
        <v/>
      </c>
      <c r="D459" t="str">
        <v>machine</v>
      </c>
    </row>
    <row r="460">
      <c r="A460" t="str">
        <v>tig-welder-manual</v>
      </c>
      <c r="B460" t="str">
        <v>Manual TIG Welder Station</v>
      </c>
      <c r="C460" t="str">
        <v/>
      </c>
      <c r="D460" t="str">
        <v>machine</v>
      </c>
    </row>
    <row r="461">
      <c r="A461" t="str">
        <v>laser-trumpf-5030</v>
      </c>
      <c r="B461" t="str">
        <v>Trumpf TruLaser 5030 (10kW Fiber)</v>
      </c>
      <c r="C461" t="str">
        <v/>
      </c>
      <c r="D461" t="str">
        <v>machine</v>
      </c>
    </row>
    <row r="462">
      <c r="A462" t="str">
        <v>laser-amada-ensis-3015</v>
      </c>
      <c r="B462" t="str">
        <v>Amada ENSIS 3015 AJ (3kW Fiber)</v>
      </c>
      <c r="C462" t="str">
        <v/>
      </c>
      <c r="D462" t="str">
        <v>machine</v>
      </c>
    </row>
    <row r="463">
      <c r="A463" t="str">
        <v>plasma-hypertherm-xpr300</v>
      </c>
      <c r="B463" t="str">
        <v>Hypertherm XPR300 Plasma Table</v>
      </c>
      <c r="C463" t="str">
        <v/>
      </c>
      <c r="D463" t="str">
        <v>machine</v>
      </c>
    </row>
    <row r="464">
      <c r="A464" t="str">
        <v>plasma-kjellberg-hifocus280</v>
      </c>
      <c r="B464" t="str">
        <v>Kjellberg HiFocus 280i Plasma Table</v>
      </c>
      <c r="C464" t="str">
        <v/>
      </c>
      <c r="D464" t="str">
        <v>machine</v>
      </c>
    </row>
    <row r="465">
      <c r="A465" t="str">
        <v>waterjet-flow-mach500</v>
      </c>
      <c r="B465" t="str">
        <v>Flow Mach 500 Waterjet (60K psi)</v>
      </c>
      <c r="C465" t="str">
        <v/>
      </c>
      <c r="D465" t="str">
        <v>machine</v>
      </c>
    </row>
    <row r="466">
      <c r="A466" t="str">
        <v>waterjet-omax-80x</v>
      </c>
      <c r="B466" t="str">
        <v>Omax 80X Waterjet (60K psi)</v>
      </c>
      <c r="C466" t="str">
        <v/>
      </c>
      <c r="D466" t="str">
        <v>machine</v>
      </c>
    </row>
    <row r="467">
      <c r="A467" t="str">
        <v>shear-hydraulic-3m</v>
      </c>
      <c r="B467" t="str">
        <v>Hydraulic Guillotine Shear (3m × 6mm)</v>
      </c>
      <c r="C467" t="str">
        <v/>
      </c>
      <c r="D467" t="str">
        <v>machine</v>
      </c>
    </row>
    <row r="468">
      <c r="A468" t="str">
        <v>shear-guillotine-6mm</v>
      </c>
      <c r="B468" t="str">
        <v>Hydraulic Shear Heavy Duty (4m × 6mm)</v>
      </c>
      <c r="C468" t="str">
        <v/>
      </c>
      <c r="D468" t="str">
        <v>machine</v>
      </c>
    </row>
    <row r="469">
      <c r="A469" t="str">
        <v>brake-amada-hfe170</v>
      </c>
      <c r="B469" t="str">
        <v>Amada HFE3i 170T Press Brake (4m)</v>
      </c>
      <c r="C469" t="str">
        <v/>
      </c>
      <c r="D469" t="str">
        <v>machine</v>
      </c>
    </row>
    <row r="470">
      <c r="A470" t="str">
        <v>brake-trumpf-trubend3100</v>
      </c>
      <c r="B470" t="str">
        <v>Trumpf TruBend 3100 (100T)</v>
      </c>
      <c r="C470" t="str">
        <v/>
      </c>
      <c r="D470" t="str">
        <v>machine</v>
      </c>
    </row>
    <row r="471">
      <c r="A471" t="str">
        <v>brake-lvd-ppeb135</v>
      </c>
      <c r="B471" t="str">
        <v>LVD PPEB 135T/30 Press Brake</v>
      </c>
      <c r="C471" t="str">
        <v/>
      </c>
      <c r="D471" t="str">
        <v>machine</v>
      </c>
    </row>
    <row r="472">
      <c r="A472" t="str">
        <v>spotweld-gun-manual</v>
      </c>
      <c r="B472" t="str">
        <v>Pedestal Spot Welding Machine</v>
      </c>
      <c r="C472" t="str">
        <v/>
      </c>
      <c r="D472" t="str">
        <v>machine</v>
      </c>
    </row>
    <row r="473">
      <c r="A473" t="str">
        <v>robot-mig-cell</v>
      </c>
      <c r="B473" t="str">
        <v>Robotic MIG/MAG Welding Cell</v>
      </c>
      <c r="C473" t="str">
        <v/>
      </c>
      <c r="D473" t="str">
        <v>machine</v>
      </c>
    </row>
    <row r="474">
      <c r="A474" t="str">
        <v>compression-mould-std</v>
      </c>
      <c r="B474" t="str">
        <v>Compression Moulding Press 250T</v>
      </c>
      <c r="C474" t="str">
        <v/>
      </c>
      <c r="D474" t="str">
        <v>machine</v>
      </c>
    </row>
    <row r="475">
      <c r="A475" t="str">
        <v>transfer-mould-std</v>
      </c>
      <c r="B475" t="str">
        <v>Transfer Moulding Press 200T</v>
      </c>
      <c r="C475" t="str">
        <v/>
      </c>
      <c r="D475" t="str">
        <v>machine</v>
      </c>
    </row>
    <row r="476">
      <c r="A476" t="str">
        <v>lsr-injection-machine</v>
      </c>
      <c r="B476" t="str">
        <v>LSR Injection Moulding Machine</v>
      </c>
      <c r="C476" t="str">
        <v/>
      </c>
      <c r="D476" t="str">
        <v>machine</v>
      </c>
    </row>
    <row r="477">
      <c r="A477" t="str">
        <v>cure-oven-rubber</v>
      </c>
      <c r="B477" t="str">
        <v>Rubber Cure / Vulcanisation Oven</v>
      </c>
      <c r="C477" t="str">
        <v/>
      </c>
      <c r="D477" t="str">
        <v>machine</v>
      </c>
    </row>
    <row r="478">
      <c r="A478" t="str">
        <v>extruder-rubber-60mm</v>
      </c>
      <c r="B478" t="str">
        <v>Rubber Extruder 60mm (Cold-feed)</v>
      </c>
      <c r="C478" t="str">
        <v/>
      </c>
      <c r="D478" t="str">
        <v>machine</v>
      </c>
    </row>
    <row r="479">
      <c r="A479" t="str">
        <v>die-cut-press-rubber</v>
      </c>
      <c r="B479" t="str">
        <v>Hydraulic Die-Cutting Press 20T</v>
      </c>
      <c r="C479" t="str">
        <v/>
      </c>
      <c r="D479" t="str">
        <v>machine</v>
      </c>
    </row>
    <row r="480">
      <c r="A480" t="str">
        <v>autoclave-1200mm</v>
      </c>
      <c r="B480" t="str">
        <v>Production Autoclave 1200mm dia</v>
      </c>
      <c r="C480" t="str">
        <v/>
      </c>
      <c r="D480" t="str">
        <v>machine</v>
      </c>
    </row>
    <row r="481">
      <c r="A481" t="str">
        <v>oven-composite-cure</v>
      </c>
      <c r="B481" t="str">
        <v>Composite Cure Oven (Fan-Assisted)</v>
      </c>
      <c r="C481" t="str">
        <v/>
      </c>
      <c r="D481" t="str">
        <v>machine</v>
      </c>
    </row>
    <row r="482">
      <c r="A482" t="str">
        <v>rtm-press-std</v>
      </c>
      <c r="B482" t="str">
        <v>RTM / VARTM Injection Press</v>
      </c>
      <c r="C482" t="str">
        <v/>
      </c>
      <c r="D482" t="str">
        <v>machine</v>
      </c>
    </row>
    <row r="483">
      <c r="A483" t="str">
        <v>waterjet-5ax-composite</v>
      </c>
      <c r="B483" t="str">
        <v>5-Axis Waterjet Trim System</v>
      </c>
      <c r="C483" t="str">
        <v/>
      </c>
      <c r="D483" t="str">
        <v>machine</v>
      </c>
    </row>
    <row r="484">
      <c r="A484" t="str">
        <v>mach-afp-atl</v>
      </c>
      <c r="B484" t="str">
        <v>AFP/ATL Composite Cell</v>
      </c>
      <c r="C484" t="str">
        <v/>
      </c>
      <c r="D484" t="str">
        <v>machine</v>
      </c>
    </row>
    <row r="485">
      <c r="A485" t="str">
        <v>harness-test-sys</v>
      </c>
      <c r="B485" t="str">
        <v>Electrical Harness Test System (Continuity + HiPot)</v>
      </c>
      <c r="C485" t="str">
        <v/>
      </c>
      <c r="D485" t="str">
        <v>machine</v>
      </c>
    </row>
    <row r="486">
      <c r="A486" t="str">
        <v>mach-vmc3-cn</v>
      </c>
      <c r="B486" t="str">
        <v>VMC 3-axis CNC (China)</v>
      </c>
      <c r="C486" t="str">
        <v/>
      </c>
      <c r="D486" t="str">
        <v>machine</v>
      </c>
    </row>
    <row r="487">
      <c r="A487" t="str">
        <v>mach-vmc3-in</v>
      </c>
      <c r="B487" t="str">
        <v>VMC 3-axis CNC (India)</v>
      </c>
      <c r="C487" t="str">
        <v/>
      </c>
      <c r="D487" t="str">
        <v>machine</v>
      </c>
    </row>
    <row r="488">
      <c r="A488" t="str">
        <v>mach-vmc3-de</v>
      </c>
      <c r="B488" t="str">
        <v>VMC 3-axis CNC (Germany)</v>
      </c>
      <c r="C488" t="str">
        <v/>
      </c>
      <c r="D488" t="str">
        <v>machine</v>
      </c>
    </row>
    <row r="489">
      <c r="A489" t="str">
        <v>mach-vmc3-pl</v>
      </c>
      <c r="B489" t="str">
        <v>VMC 3-axis CNC (Poland)</v>
      </c>
      <c r="C489" t="str">
        <v/>
      </c>
      <c r="D489" t="str">
        <v>machine</v>
      </c>
    </row>
    <row r="490">
      <c r="A490" t="str">
        <v>mach-vmc3-mx</v>
      </c>
      <c r="B490" t="str">
        <v>VMC 3-axis CNC (Mexico)</v>
      </c>
      <c r="C490" t="str">
        <v/>
      </c>
      <c r="D490" t="str">
        <v>machine</v>
      </c>
    </row>
    <row r="491">
      <c r="A491" t="str">
        <v>imm-200t-cn</v>
      </c>
      <c r="B491" t="str">
        <v>Injection Moulding 200T (China)</v>
      </c>
      <c r="C491" t="str">
        <v/>
      </c>
      <c r="D491" t="str">
        <v>machine</v>
      </c>
    </row>
    <row r="492">
      <c r="A492" t="str">
        <v>imm-200t-in</v>
      </c>
      <c r="B492" t="str">
        <v>Injection Moulding 200T (India)</v>
      </c>
      <c r="C492" t="str">
        <v/>
      </c>
      <c r="D492" t="str">
        <v>machine</v>
      </c>
    </row>
    <row r="493">
      <c r="A493" t="str">
        <v>imm-200t-de</v>
      </c>
      <c r="B493" t="str">
        <v>Injection Moulding 200T (Germany)</v>
      </c>
      <c r="C493" t="str">
        <v/>
      </c>
      <c r="D493" t="str">
        <v>machine</v>
      </c>
    </row>
    <row r="494">
      <c r="A494" t="str">
        <v>imm-200t-pl</v>
      </c>
      <c r="B494" t="str">
        <v>Injection Moulding 200T (Poland)</v>
      </c>
      <c r="C494" t="str">
        <v/>
      </c>
      <c r="D494" t="str">
        <v>machine</v>
      </c>
    </row>
    <row r="495">
      <c r="A495" t="str">
        <v>imm-200t-mx</v>
      </c>
      <c r="B495" t="str">
        <v>Injection Moulding 200T (Mexico)</v>
      </c>
      <c r="C495" t="str">
        <v/>
      </c>
      <c r="D495" t="str">
        <v>machine</v>
      </c>
    </row>
    <row r="496">
      <c r="A496" t="str">
        <v>hpdc-500t-cn</v>
      </c>
      <c r="B496" t="str">
        <v>HPDC 500T (China)</v>
      </c>
      <c r="C496" t="str">
        <v/>
      </c>
      <c r="D496" t="str">
        <v>machine</v>
      </c>
    </row>
    <row r="497">
      <c r="A497" t="str">
        <v>hpdc-500t-in</v>
      </c>
      <c r="B497" t="str">
        <v>HPDC 500T (India)</v>
      </c>
      <c r="C497" t="str">
        <v/>
      </c>
      <c r="D497" t="str">
        <v>machine</v>
      </c>
    </row>
    <row r="498">
      <c r="A498" t="str">
        <v>hpdc-500t-mx</v>
      </c>
      <c r="B498" t="str">
        <v>HPDC 500T (Mexico)</v>
      </c>
      <c r="C498" t="str">
        <v/>
      </c>
      <c r="D498" t="str">
        <v>machine</v>
      </c>
    </row>
    <row r="499">
      <c r="A499" t="str">
        <v>press-400t-cn</v>
      </c>
      <c r="B499" t="str">
        <v>Stamping Press 400T (China)</v>
      </c>
      <c r="C499" t="str">
        <v/>
      </c>
      <c r="D499" t="str">
        <v>machine</v>
      </c>
    </row>
    <row r="500">
      <c r="A500" t="str">
        <v>press-400t-in</v>
      </c>
      <c r="B500" t="str">
        <v>Stamping Press 400T (India)</v>
      </c>
      <c r="C500" t="str">
        <v/>
      </c>
      <c r="D500" t="str">
        <v>machine</v>
      </c>
    </row>
    <row r="501">
      <c r="A501" t="str">
        <v>press-400t-pl</v>
      </c>
      <c r="B501" t="str">
        <v>Stamping Press 400T (Poland)</v>
      </c>
      <c r="C501" t="str">
        <v/>
      </c>
      <c r="D501" t="str">
        <v>machine</v>
      </c>
    </row>
    <row r="502">
      <c r="A502" t="str">
        <v>press-400t-mx</v>
      </c>
      <c r="B502" t="str">
        <v>Stamping Press 400T (Mexico)</v>
      </c>
      <c r="C502" t="str">
        <v/>
      </c>
      <c r="D502" t="str">
        <v>machine</v>
      </c>
    </row>
    <row r="503">
      <c r="A503" t="str">
        <v>bench-assembly-cn</v>
      </c>
      <c r="B503" t="str">
        <v>Manual Assembly Bench (China)</v>
      </c>
      <c r="C503" t="str">
        <v/>
      </c>
      <c r="D503" t="str">
        <v>machine</v>
      </c>
    </row>
    <row r="504">
      <c r="A504" t="str">
        <v>bench-assembly-in</v>
      </c>
      <c r="B504" t="str">
        <v>Manual Assembly Bench (India)</v>
      </c>
      <c r="C504" t="str">
        <v/>
      </c>
      <c r="D504" t="str">
        <v>machine</v>
      </c>
    </row>
    <row r="505">
      <c r="A505" t="str">
        <v>bench-assembly-mx</v>
      </c>
      <c r="B505" t="str">
        <v>Manual Assembly Bench (Mexico)</v>
      </c>
      <c r="C505" t="str">
        <v/>
      </c>
      <c r="D505" t="str">
        <v>machine</v>
      </c>
    </row>
    <row r="506">
      <c r="A506" t="str">
        <v>bench-assembly-vn</v>
      </c>
      <c r="B506" t="str">
        <v>Manual Assembly Bench (Vietnam)</v>
      </c>
      <c r="C506" t="str">
        <v/>
      </c>
      <c r="D506" t="str">
        <v>machine</v>
      </c>
    </row>
    <row r="507">
      <c r="A507" t="str">
        <v>bench-assembly-pl</v>
      </c>
      <c r="B507" t="str">
        <v>Manual Assembly Bench (Poland)</v>
      </c>
      <c r="C507" t="str">
        <v/>
      </c>
      <c r="D507" t="str">
        <v>machine</v>
      </c>
    </row>
    <row r="508">
      <c r="A508" t="str">
        <v>lab-uk-skilled</v>
      </c>
      <c r="B508" t="str">
        <v>Skilled Machinist</v>
      </c>
      <c r="C508" t="str">
        <v/>
      </c>
      <c r="D508" t="str">
        <v>labour</v>
      </c>
    </row>
    <row r="509">
      <c r="A509" t="str">
        <v>lab-uk-semiskilled</v>
      </c>
      <c r="B509" t="str">
        <v>Semi-skilled Operator</v>
      </c>
      <c r="C509" t="str">
        <v/>
      </c>
      <c r="D509" t="str">
        <v>labour</v>
      </c>
    </row>
    <row r="510">
      <c r="A510" t="str">
        <v>lab-uk-engineer</v>
      </c>
      <c r="B510" t="str">
        <v>Process Engineer</v>
      </c>
      <c r="C510" t="str">
        <v/>
      </c>
      <c r="D510" t="str">
        <v>labour</v>
      </c>
    </row>
    <row r="511">
      <c r="A511" t="str">
        <v>lab-in-skilled</v>
      </c>
      <c r="B511" t="str">
        <v>Skilled Machinist</v>
      </c>
      <c r="C511" t="str">
        <v/>
      </c>
      <c r="D511" t="str">
        <v>labour</v>
      </c>
    </row>
    <row r="512">
      <c r="A512" t="str">
        <v>lab-cn-skilled</v>
      </c>
      <c r="B512" t="str">
        <v>Skilled Machinist</v>
      </c>
      <c r="C512" t="str">
        <v/>
      </c>
      <c r="D512" t="str">
        <v>labour</v>
      </c>
    </row>
    <row r="513">
      <c r="A513" t="str">
        <v>lab-uk-foundry</v>
      </c>
      <c r="B513" t="str">
        <v>Foundry Operative</v>
      </c>
      <c r="C513" t="str">
        <v/>
      </c>
      <c r="D513" t="str">
        <v>labour</v>
      </c>
    </row>
    <row r="514">
      <c r="A514" t="str">
        <v>lab-uk-inspector</v>
      </c>
      <c r="B514" t="str">
        <v>CMM / Quality Inspector</v>
      </c>
      <c r="C514" t="str">
        <v/>
      </c>
      <c r="D514" t="str">
        <v>labour</v>
      </c>
    </row>
    <row r="515">
      <c r="A515" t="str">
        <v>lab-uk-technician</v>
      </c>
      <c r="B515" t="str">
        <v>Maintenance / Mould-Setter Technician</v>
      </c>
      <c r="C515" t="str">
        <v/>
      </c>
      <c r="D515" t="str">
        <v>labour</v>
      </c>
    </row>
    <row r="516">
      <c r="A516" t="str">
        <v>lab-uk-supervisor</v>
      </c>
      <c r="B516" t="str">
        <v>Shift / Production Supervisor</v>
      </c>
      <c r="C516" t="str">
        <v/>
      </c>
      <c r="D516" t="str">
        <v>labour</v>
      </c>
    </row>
    <row r="517">
      <c r="A517" t="str">
        <v>lab-uk-forge</v>
      </c>
      <c r="B517" t="str">
        <v>Forge Operator / Hammer-man</v>
      </c>
      <c r="C517" t="str">
        <v/>
      </c>
      <c r="D517" t="str">
        <v>labour</v>
      </c>
    </row>
    <row r="518">
      <c r="A518" t="str">
        <v>lab-uk-furnace</v>
      </c>
      <c r="B518" t="str">
        <v>Furnace / Heat Operator</v>
      </c>
      <c r="C518" t="str">
        <v/>
      </c>
      <c r="D518" t="str">
        <v>labour</v>
      </c>
    </row>
    <row r="519">
      <c r="A519" t="str">
        <v>lab-uk-blow</v>
      </c>
      <c r="B519" t="str">
        <v>Blow Moulding Operator</v>
      </c>
      <c r="C519" t="str">
        <v/>
      </c>
      <c r="D519" t="str">
        <v>labour</v>
      </c>
    </row>
    <row r="520">
      <c r="A520" t="str">
        <v>lab-uk-roto</v>
      </c>
      <c r="B520" t="str">
        <v>Rotational Moulding Operator</v>
      </c>
      <c r="C520" t="str">
        <v/>
      </c>
      <c r="D520" t="str">
        <v>labour</v>
      </c>
    </row>
    <row r="521">
      <c r="A521" t="str">
        <v>lab-uk-thermoform</v>
      </c>
      <c r="B521" t="str">
        <v>Thermoforming Operator</v>
      </c>
      <c r="C521" t="str">
        <v/>
      </c>
      <c r="D521" t="str">
        <v>labour</v>
      </c>
    </row>
    <row r="522">
      <c r="A522" t="str">
        <v>lab-uk-trim-router</v>
      </c>
      <c r="B522" t="str">
        <v>CNC Trim / Router Operator</v>
      </c>
      <c r="C522" t="str">
        <v/>
      </c>
      <c r="D522" t="str">
        <v>labour</v>
      </c>
    </row>
    <row r="523">
      <c r="A523" t="str">
        <v>lab-de-skilled</v>
      </c>
      <c r="B523" t="str">
        <v>Skilled Machinist</v>
      </c>
      <c r="C523" t="str">
        <v/>
      </c>
      <c r="D523" t="str">
        <v>labour</v>
      </c>
    </row>
    <row r="524">
      <c r="A524" t="str">
        <v>lab-pl-skilled</v>
      </c>
      <c r="B524" t="str">
        <v>Skilled Machinist</v>
      </c>
      <c r="C524" t="str">
        <v/>
      </c>
      <c r="D524" t="str">
        <v>labour</v>
      </c>
    </row>
    <row r="525">
      <c r="A525" t="str">
        <v>lab-mx-skilled</v>
      </c>
      <c r="B525" t="str">
        <v>Skilled Machinist</v>
      </c>
      <c r="C525" t="str">
        <v/>
      </c>
      <c r="D525" t="str">
        <v>labour</v>
      </c>
    </row>
    <row r="526">
      <c r="A526" t="str">
        <v>lab-uk-electronics</v>
      </c>
      <c r="B526" t="str">
        <v>SMT / Electronics Operator</v>
      </c>
      <c r="C526" t="str">
        <v/>
      </c>
      <c r="D526" t="str">
        <v>labour</v>
      </c>
    </row>
    <row r="527">
      <c r="A527" t="str">
        <v>lab-de-semiskilled</v>
      </c>
      <c r="B527" t="str">
        <v>Semi-skilled Operator</v>
      </c>
      <c r="C527" t="str">
        <v/>
      </c>
      <c r="D527" t="str">
        <v>labour</v>
      </c>
    </row>
    <row r="528">
      <c r="A528" t="str">
        <v>lab-de-foundry</v>
      </c>
      <c r="B528" t="str">
        <v>Foundry Operative</v>
      </c>
      <c r="C528" t="str">
        <v/>
      </c>
      <c r="D528" t="str">
        <v>labour</v>
      </c>
    </row>
    <row r="529">
      <c r="A529" t="str">
        <v>lab-de-electronics</v>
      </c>
      <c r="B529" t="str">
        <v>SMT / Electronics Operator</v>
      </c>
      <c r="C529" t="str">
        <v/>
      </c>
      <c r="D529" t="str">
        <v>labour</v>
      </c>
    </row>
    <row r="530">
      <c r="A530" t="str">
        <v>lab-de-engineer</v>
      </c>
      <c r="B530" t="str">
        <v>Process Engineer</v>
      </c>
      <c r="C530" t="str">
        <v/>
      </c>
      <c r="D530" t="str">
        <v>labour</v>
      </c>
    </row>
    <row r="531">
      <c r="A531" t="str">
        <v>lab-pl-semiskilled</v>
      </c>
      <c r="B531" t="str">
        <v>Semi-skilled Operator</v>
      </c>
      <c r="C531" t="str">
        <v/>
      </c>
      <c r="D531" t="str">
        <v>labour</v>
      </c>
    </row>
    <row r="532">
      <c r="A532" t="str">
        <v>lab-pl-electronics</v>
      </c>
      <c r="B532" t="str">
        <v>SMT / Electronics Operator</v>
      </c>
      <c r="C532" t="str">
        <v/>
      </c>
      <c r="D532" t="str">
        <v>labour</v>
      </c>
    </row>
    <row r="533">
      <c r="A533" t="str">
        <v>lab-pl-foundry</v>
      </c>
      <c r="B533" t="str">
        <v>Foundry Operative</v>
      </c>
      <c r="C533" t="str">
        <v/>
      </c>
      <c r="D533" t="str">
        <v>labour</v>
      </c>
    </row>
    <row r="534">
      <c r="A534" t="str">
        <v>lab-cn-semiskilled</v>
      </c>
      <c r="B534" t="str">
        <v>Semi-skilled Operator</v>
      </c>
      <c r="C534" t="str">
        <v/>
      </c>
      <c r="D534" t="str">
        <v>labour</v>
      </c>
    </row>
    <row r="535">
      <c r="A535" t="str">
        <v>lab-cn-electronics</v>
      </c>
      <c r="B535" t="str">
        <v>SMT / Electronics Operator</v>
      </c>
      <c r="C535" t="str">
        <v/>
      </c>
      <c r="D535" t="str">
        <v>labour</v>
      </c>
    </row>
    <row r="536">
      <c r="A536" t="str">
        <v>lab-cn-engineer</v>
      </c>
      <c r="B536" t="str">
        <v>Process Engineer</v>
      </c>
      <c r="C536" t="str">
        <v/>
      </c>
      <c r="D536" t="str">
        <v>labour</v>
      </c>
    </row>
    <row r="537">
      <c r="A537" t="str">
        <v>lab-in-semiskilled</v>
      </c>
      <c r="B537" t="str">
        <v>Semi-skilled Operator</v>
      </c>
      <c r="C537" t="str">
        <v/>
      </c>
      <c r="D537" t="str">
        <v>labour</v>
      </c>
    </row>
    <row r="538">
      <c r="A538" t="str">
        <v>lab-in-electronics</v>
      </c>
      <c r="B538" t="str">
        <v>SMT / Electronics Operator</v>
      </c>
      <c r="C538" t="str">
        <v/>
      </c>
      <c r="D538" t="str">
        <v>labour</v>
      </c>
    </row>
    <row r="539">
      <c r="A539" t="str">
        <v>lab-in-engineer</v>
      </c>
      <c r="B539" t="str">
        <v>Process Engineer</v>
      </c>
      <c r="C539" t="str">
        <v/>
      </c>
      <c r="D539" t="str">
        <v>labour</v>
      </c>
    </row>
    <row r="540">
      <c r="A540" t="str">
        <v>lab-mx-semiskilled</v>
      </c>
      <c r="B540" t="str">
        <v>Semi-skilled Operator</v>
      </c>
      <c r="C540" t="str">
        <v/>
      </c>
      <c r="D540" t="str">
        <v>labour</v>
      </c>
    </row>
    <row r="541">
      <c r="A541" t="str">
        <v>lab-mx-electronics</v>
      </c>
      <c r="B541" t="str">
        <v>SMT / Electronics Operator</v>
      </c>
      <c r="C541" t="str">
        <v/>
      </c>
      <c r="D541" t="str">
        <v>labour</v>
      </c>
    </row>
    <row r="542">
      <c r="A542" t="str">
        <v>lab-tr-skilled</v>
      </c>
      <c r="B542" t="str">
        <v>Skilled Machinist</v>
      </c>
      <c r="C542" t="str">
        <v/>
      </c>
      <c r="D542" t="str">
        <v>labour</v>
      </c>
    </row>
    <row r="543">
      <c r="A543" t="str">
        <v>lab-tr-semiskilled</v>
      </c>
      <c r="B543" t="str">
        <v>Semi-skilled Operator</v>
      </c>
      <c r="C543" t="str">
        <v/>
      </c>
      <c r="D543" t="str">
        <v>labour</v>
      </c>
    </row>
    <row r="544">
      <c r="A544" t="str">
        <v>lab-vn-skilled</v>
      </c>
      <c r="B544" t="str">
        <v>Skilled Machinist</v>
      </c>
      <c r="C544" t="str">
        <v/>
      </c>
      <c r="D544" t="str">
        <v>labour</v>
      </c>
    </row>
    <row r="545">
      <c r="A545" t="str">
        <v>lab-vn-semiskilled</v>
      </c>
      <c r="B545" t="str">
        <v>Semi-skilled Operator</v>
      </c>
      <c r="C545" t="str">
        <v/>
      </c>
      <c r="D545" t="str">
        <v>labour</v>
      </c>
    </row>
    <row r="546">
      <c r="A546" t="str">
        <v>lab-kr-skilled</v>
      </c>
      <c r="B546" t="str">
        <v>Skilled Machinist</v>
      </c>
      <c r="C546" t="str">
        <v/>
      </c>
      <c r="D546" t="str">
        <v>labour</v>
      </c>
    </row>
    <row r="547">
      <c r="A547" t="str">
        <v>lab-kr-electronics</v>
      </c>
      <c r="B547" t="str">
        <v>SMT / Electronics Operator</v>
      </c>
      <c r="C547" t="str">
        <v/>
      </c>
      <c r="D547" t="str">
        <v>labour</v>
      </c>
    </row>
    <row r="548">
      <c r="A548" t="str">
        <v>lab-ro-skilled</v>
      </c>
      <c r="B548" t="str">
        <v>Skilled Machinist</v>
      </c>
      <c r="C548" t="str">
        <v/>
      </c>
      <c r="D548" t="str">
        <v>labour</v>
      </c>
    </row>
    <row r="549">
      <c r="A549" t="str">
        <v>lab-ro-semiskilled</v>
      </c>
      <c r="B549" t="str">
        <v>Semi-skilled Operator</v>
      </c>
      <c r="C549" t="str">
        <v/>
      </c>
      <c r="D549" t="str">
        <v>labour</v>
      </c>
    </row>
    <row r="550">
      <c r="A550" t="str">
        <v>energy-uk</v>
      </c>
      <c r="B550" t="str">
        <v>Energy — UK</v>
      </c>
      <c r="C550" t="str">
        <v/>
      </c>
      <c r="D550" t="str">
        <v>energy</v>
      </c>
    </row>
    <row r="551">
      <c r="A551" t="str">
        <v>energy-eu</v>
      </c>
      <c r="B551" t="str">
        <v>Energy — EU</v>
      </c>
      <c r="C551" t="str">
        <v/>
      </c>
      <c r="D551" t="str">
        <v>energy</v>
      </c>
    </row>
    <row r="552">
      <c r="A552" t="str">
        <v>energy-de</v>
      </c>
      <c r="B552" t="str">
        <v>Energy — Germany</v>
      </c>
      <c r="C552" t="str">
        <v/>
      </c>
      <c r="D552" t="str">
        <v>energy</v>
      </c>
    </row>
    <row r="553">
      <c r="A553" t="str">
        <v>energy-pl</v>
      </c>
      <c r="B553" t="str">
        <v>Energy — Poland</v>
      </c>
      <c r="C553" t="str">
        <v/>
      </c>
      <c r="D553" t="str">
        <v>energy</v>
      </c>
    </row>
    <row r="554">
      <c r="A554" t="str">
        <v>energy-cn</v>
      </c>
      <c r="B554" t="str">
        <v>Energy — China</v>
      </c>
      <c r="C554" t="str">
        <v/>
      </c>
      <c r="D554" t="str">
        <v>energy</v>
      </c>
    </row>
    <row r="555">
      <c r="A555" t="str">
        <v>energy-in</v>
      </c>
      <c r="B555" t="str">
        <v>Energy — India</v>
      </c>
      <c r="C555" t="str">
        <v/>
      </c>
      <c r="D555" t="str">
        <v>energy</v>
      </c>
    </row>
    <row r="556">
      <c r="A556" t="str">
        <v>energy-mx</v>
      </c>
      <c r="B556" t="str">
        <v>Energy — Mexico</v>
      </c>
      <c r="C556" t="str">
        <v/>
      </c>
      <c r="D556" t="str">
        <v>energy</v>
      </c>
    </row>
    <row r="557">
      <c r="A557" t="str">
        <v>energy-tr</v>
      </c>
      <c r="B557" t="str">
        <v>Energy — Turkey</v>
      </c>
      <c r="C557" t="str">
        <v/>
      </c>
      <c r="D557" t="str">
        <v>energy</v>
      </c>
    </row>
    <row r="558">
      <c r="A558" t="str">
        <v>energy-kr</v>
      </c>
      <c r="B558" t="str">
        <v>Energy — South Korea</v>
      </c>
      <c r="C558" t="str">
        <v/>
      </c>
      <c r="D558" t="str">
        <v>energy</v>
      </c>
    </row>
    <row r="559">
      <c r="A559" t="str">
        <v>energy-vn</v>
      </c>
      <c r="B559" t="str">
        <v>Energy — Vietnam</v>
      </c>
      <c r="C559" t="str">
        <v/>
      </c>
      <c r="D559" t="str">
        <v>energy</v>
      </c>
    </row>
    <row r="560">
      <c r="A560" t="str">
        <v>energy-ro</v>
      </c>
      <c r="B560" t="str">
        <v>Energy — Romania</v>
      </c>
      <c r="C560" t="str">
        <v/>
      </c>
      <c r="D560" t="str">
        <v>energy</v>
      </c>
    </row>
    <row r="561">
      <c r="A561" t="str">
        <v>fx-gbp-eur</v>
      </c>
      <c r="B561" t="str">
        <v>GBP to EUR</v>
      </c>
      <c r="C561" t="str">
        <v/>
      </c>
      <c r="D561" t="str">
        <v>fx</v>
      </c>
    </row>
    <row r="562">
      <c r="A562" t="str">
        <v>fx-gbp-usd</v>
      </c>
      <c r="B562" t="str">
        <v>GBP to USD</v>
      </c>
      <c r="C562" t="str">
        <v/>
      </c>
      <c r="D562" t="str">
        <v>fx</v>
      </c>
    </row>
    <row r="563">
      <c r="A563" t="str">
        <v>fx-gbp-inr</v>
      </c>
      <c r="B563" t="str">
        <v>GBP to INR</v>
      </c>
      <c r="C563" t="str">
        <v/>
      </c>
      <c r="D563" t="str">
        <v>fx</v>
      </c>
    </row>
    <row r="564">
      <c r="A564" t="str">
        <v>fx-gbp-cny</v>
      </c>
      <c r="B564" t="str">
        <v>GBP to CNY</v>
      </c>
      <c r="C564" t="str">
        <v/>
      </c>
      <c r="D564" t="str">
        <v>fx</v>
      </c>
    </row>
    <row r="565">
      <c r="A565" t="str">
        <v>fx-gbp-mxn</v>
      </c>
      <c r="B565" t="str">
        <v>GBP to MXN</v>
      </c>
      <c r="C565" t="str">
        <v/>
      </c>
      <c r="D565" t="str">
        <v>fx</v>
      </c>
    </row>
    <row r="566">
      <c r="A566" t="str">
        <v>fx-gbp-thb</v>
      </c>
      <c r="B566" t="str">
        <v>GBP to THB</v>
      </c>
      <c r="C566" t="str">
        <v/>
      </c>
      <c r="D566" t="str">
        <v>fx</v>
      </c>
    </row>
    <row r="567">
      <c r="A567" t="str">
        <v>fx-gbp-vnd</v>
      </c>
      <c r="B567" t="str">
        <v>GBP to VND</v>
      </c>
      <c r="C567" t="str">
        <v/>
      </c>
      <c r="D567" t="str">
        <v>fx</v>
      </c>
    </row>
    <row r="568">
      <c r="A568" t="str">
        <v>fx-gbp-brl</v>
      </c>
      <c r="B568" t="str">
        <v>GBP to BRL</v>
      </c>
      <c r="C568" t="str">
        <v/>
      </c>
      <c r="D568" t="str">
        <v>fx</v>
      </c>
    </row>
    <row r="569">
      <c r="A569" t="str">
        <v>fx-gbp-krw</v>
      </c>
      <c r="B569" t="str">
        <v>GBP to KRW</v>
      </c>
      <c r="C569" t="str">
        <v/>
      </c>
      <c r="D569" t="str">
        <v>fx</v>
      </c>
    </row>
    <row r="570">
      <c r="A570" t="str">
        <v>oh-machining-t2</v>
      </c>
      <c r="B570" t="str">
        <v>machining — Tier 2</v>
      </c>
      <c r="C570" t="str">
        <v/>
      </c>
      <c r="D570" t="str">
        <v>overhead</v>
      </c>
    </row>
    <row r="571">
      <c r="A571" t="str">
        <v>oh-machining-t1</v>
      </c>
      <c r="B571" t="str">
        <v>machining — Tier 1</v>
      </c>
      <c r="C571" t="str">
        <v/>
      </c>
      <c r="D571" t="str">
        <v>overhead</v>
      </c>
    </row>
    <row r="572">
      <c r="A572" t="str">
        <v>oh-sheet-metal-t2</v>
      </c>
      <c r="B572" t="str">
        <v>sheet_metal — Tier 2</v>
      </c>
      <c r="C572" t="str">
        <v/>
      </c>
      <c r="D572" t="str">
        <v>overhead</v>
      </c>
    </row>
    <row r="573">
      <c r="A573" t="str">
        <v>oh-injection-moulding-t2</v>
      </c>
      <c r="B573" t="str">
        <v>injection_moulding — Tier 2</v>
      </c>
      <c r="C573" t="str">
        <v/>
      </c>
      <c r="D573" t="str">
        <v>overhead</v>
      </c>
    </row>
    <row r="574">
      <c r="A574" t="str">
        <v>oh-casting-t2</v>
      </c>
      <c r="B574" t="str">
        <v>casting — Tier 2</v>
      </c>
      <c r="C574" t="str">
        <v/>
      </c>
      <c r="D574" t="str">
        <v>overhead</v>
      </c>
    </row>
    <row r="575">
      <c r="A575" t="str">
        <v>oh-forging-t2</v>
      </c>
      <c r="B575" t="str">
        <v>forging — Tier 2</v>
      </c>
      <c r="C575" t="str">
        <v/>
      </c>
      <c r="D575" t="str">
        <v>overhead</v>
      </c>
    </row>
    <row r="576">
      <c r="A576" t="str">
        <v>oh-painting-t2</v>
      </c>
      <c r="B576" t="str">
        <v>painting — Tier 2</v>
      </c>
      <c r="C576" t="str">
        <v/>
      </c>
      <c r="D576" t="str">
        <v>overhead</v>
      </c>
    </row>
    <row r="577">
      <c r="A577" t="str">
        <v>oh-biw-t2</v>
      </c>
      <c r="B577" t="str">
        <v>biw_assembly — Tier 2</v>
      </c>
      <c r="C577" t="str">
        <v/>
      </c>
      <c r="D577" t="str">
        <v>overhead</v>
      </c>
    </row>
    <row r="578">
      <c r="A578" t="str">
        <v>oh-pcb-fab-t2</v>
      </c>
      <c r="B578" t="str">
        <v>pcb_fab — Tier 2</v>
      </c>
      <c r="C578" t="str">
        <v/>
      </c>
      <c r="D578" t="str">
        <v>overhead</v>
      </c>
    </row>
    <row r="579">
      <c r="A579" t="str">
        <v>oh-pcba-t2</v>
      </c>
      <c r="B579" t="str">
        <v>pcba — Tier 2</v>
      </c>
      <c r="C579" t="str">
        <v/>
      </c>
      <c r="D579" t="str">
        <v>overhead</v>
      </c>
    </row>
    <row r="580">
      <c r="A580" t="str">
        <v>oh-cast-and-machine-t2</v>
      </c>
      <c r="B580" t="str">
        <v>cast_and_machine — Tier 2</v>
      </c>
      <c r="C580" t="str">
        <v/>
      </c>
      <c r="D580" t="str">
        <v>overhead</v>
      </c>
    </row>
    <row r="581">
      <c r="A581" t="str">
        <v>oh-blow-moulding-t2</v>
      </c>
      <c r="B581" t="str">
        <v>blow_moulding — Tier 2</v>
      </c>
      <c r="C581" t="str">
        <v/>
      </c>
      <c r="D581" t="str">
        <v>overhead</v>
      </c>
    </row>
    <row r="582">
      <c r="A582" t="str">
        <v>oh-extrusion-t1</v>
      </c>
      <c r="B582" t="str">
        <v>extrusion — Tier 1</v>
      </c>
      <c r="C582" t="str">
        <v/>
      </c>
      <c r="D582" t="str">
        <v>overhead</v>
      </c>
    </row>
    <row r="583">
      <c r="A583" t="str">
        <v>oh-extrusion-t2</v>
      </c>
      <c r="B583" t="str">
        <v>extrusion — Tier 2</v>
      </c>
      <c r="C583" t="str">
        <v/>
      </c>
      <c r="D583" t="str">
        <v>overhead</v>
      </c>
    </row>
    <row r="584">
      <c r="A584" t="str">
        <v>oh-extrusion-t3</v>
      </c>
      <c r="B584" t="str">
        <v>extrusion — Tier 3</v>
      </c>
      <c r="C584" t="str">
        <v/>
      </c>
      <c r="D584" t="str">
        <v>overhead</v>
      </c>
    </row>
    <row r="585">
      <c r="A585" t="str">
        <v>oh-thermoforming-t1</v>
      </c>
      <c r="B585" t="str">
        <v>thermoforming — Tier 1</v>
      </c>
      <c r="C585" t="str">
        <v/>
      </c>
      <c r="D585" t="str">
        <v>overhead</v>
      </c>
    </row>
    <row r="586">
      <c r="A586" t="str">
        <v>oh-thermoforming-t2</v>
      </c>
      <c r="B586" t="str">
        <v>thermoforming — Tier 2</v>
      </c>
      <c r="C586" t="str">
        <v/>
      </c>
      <c r="D586" t="str">
        <v>overhead</v>
      </c>
    </row>
    <row r="587">
      <c r="A587" t="str">
        <v>oh-thermoforming-t3</v>
      </c>
      <c r="B587" t="str">
        <v>thermoforming — Tier 3</v>
      </c>
      <c r="C587" t="str">
        <v/>
      </c>
      <c r="D587" t="str">
        <v>overhead</v>
      </c>
    </row>
    <row r="588">
      <c r="A588" t="str">
        <v>oh-rotomoulding-t2</v>
      </c>
      <c r="B588" t="str">
        <v>rotational_moulding — Tier 2</v>
      </c>
      <c r="C588" t="str">
        <v/>
      </c>
      <c r="D588" t="str">
        <v>overhead</v>
      </c>
    </row>
    <row r="589">
      <c r="A589" t="str">
        <v>oh-sheet-metal-fab-t2</v>
      </c>
      <c r="B589" t="str">
        <v>sheet_metal_fab — Tier 2</v>
      </c>
      <c r="C589" t="str">
        <v/>
      </c>
      <c r="D589" t="str">
        <v>overhead</v>
      </c>
    </row>
    <row r="590">
      <c r="A590" t="str">
        <v>oh-rubber-t2</v>
      </c>
      <c r="B590" t="str">
        <v>rubber — Tier 2</v>
      </c>
      <c r="C590" t="str">
        <v/>
      </c>
      <c r="D590" t="str">
        <v>overhead</v>
      </c>
    </row>
    <row r="591">
      <c r="A591" t="str">
        <v>oh-composites-t2</v>
      </c>
      <c r="B591" t="str">
        <v>composites — Tier 2</v>
      </c>
      <c r="C591" t="str">
        <v/>
      </c>
      <c r="D591" t="str">
        <v>overhead</v>
      </c>
    </row>
    <row r="592">
      <c r="A592" t="str">
        <v>oh-wiring-harness-t2</v>
      </c>
      <c r="B592" t="str">
        <v>wiring_harness — Tier 2</v>
      </c>
      <c r="C592" t="str">
        <v/>
      </c>
      <c r="D592" t="str">
        <v>overhead</v>
      </c>
    </row>
  </sheetData>
  <ignoredErrors>
    <ignoredError numberStoredAsText="1" sqref="A1:D592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C549"/>
  <sheetViews>
    <sheetView workbookViewId="0"/>
  </sheetViews>
  <cols>
    <col min="1" max="1" width="24.83203125" customWidth="1"/>
    <col min="2" max="2" width="14.83203125" customWidth="1"/>
    <col min="3" max="3" width="14.83203125" customWidth="1"/>
  </cols>
  <sheetData>
    <row r="1">
      <c r="A1" t="str">
        <v>id</v>
      </c>
      <c r="B1" t="str">
        <v>v1</v>
      </c>
      <c r="C1" t="str">
        <v>v2</v>
      </c>
    </row>
    <row r="2">
      <c r="A2" t="str">
        <v>mat-al6061</v>
      </c>
      <c r="B2">
        <v>3.62</v>
      </c>
      <c r="C2">
        <v>0.55</v>
      </c>
    </row>
    <row r="3">
      <c r="A3" t="str">
        <v>mat-steel1045</v>
      </c>
      <c r="B3">
        <v>0.95</v>
      </c>
      <c r="C3">
        <v>0.22</v>
      </c>
    </row>
    <row r="4">
      <c r="A4" t="str">
        <v>mat-ss316l</v>
      </c>
      <c r="B4">
        <v>3.82</v>
      </c>
      <c r="C4">
        <v>0.85</v>
      </c>
    </row>
    <row r="5">
      <c r="A5" t="str">
        <v>mat-steel4140</v>
      </c>
      <c r="B5">
        <v>1.21</v>
      </c>
      <c r="C5">
        <v>0.22</v>
      </c>
    </row>
    <row r="6">
      <c r="A6" t="str">
        <v>mat-ti6al4v</v>
      </c>
      <c r="B6">
        <v>47.5</v>
      </c>
      <c r="C6">
        <v>16</v>
      </c>
    </row>
    <row r="7">
      <c r="A7" t="str">
        <v>mat-virtual</v>
      </c>
      <c r="B7">
        <v>1</v>
      </c>
      <c r="C7">
        <v>0</v>
      </c>
    </row>
    <row r="8">
      <c r="A8" t="str">
        <v>mat-en8</v>
      </c>
      <c r="B8">
        <v>0.98</v>
      </c>
      <c r="C8">
        <v>0.22</v>
      </c>
    </row>
    <row r="9">
      <c r="A9" t="str">
        <v>mat-ss304-bar</v>
      </c>
      <c r="B9">
        <v>3.4</v>
      </c>
      <c r="C9">
        <v>0.8</v>
      </c>
    </row>
    <row r="10">
      <c r="A10" t="str">
        <v>mat-ss303</v>
      </c>
      <c r="B10">
        <v>3.7</v>
      </c>
      <c r="C10">
        <v>0.8</v>
      </c>
    </row>
    <row r="11">
      <c r="A11" t="str">
        <v>mat-al6082-bar</v>
      </c>
      <c r="B11">
        <v>3.55</v>
      </c>
      <c r="C11">
        <v>0.55</v>
      </c>
    </row>
    <row r="12">
      <c r="A12" t="str">
        <v>mat-al2011</v>
      </c>
      <c r="B12">
        <v>3.95</v>
      </c>
      <c r="C12">
        <v>0.55</v>
      </c>
    </row>
    <row r="13">
      <c r="A13" t="str">
        <v>mat-brass-cz121</v>
      </c>
      <c r="B13">
        <v>7</v>
      </c>
      <c r="C13">
        <v>3</v>
      </c>
    </row>
    <row r="14">
      <c r="A14" t="str">
        <v>mat-bronze-pb1</v>
      </c>
      <c r="B14">
        <v>9.2</v>
      </c>
      <c r="C14">
        <v>2.8</v>
      </c>
    </row>
    <row r="15">
      <c r="A15" t="str">
        <v>mat-pom-c</v>
      </c>
      <c r="B15">
        <v>3.1</v>
      </c>
      <c r="C15">
        <v>0.1</v>
      </c>
    </row>
    <row r="16">
      <c r="A16" t="str">
        <v>mat-pa6-cast</v>
      </c>
      <c r="B16">
        <v>4.2</v>
      </c>
      <c r="C16">
        <v>0.1</v>
      </c>
    </row>
    <row r="17">
      <c r="A17" t="str">
        <v>mat-ptfe</v>
      </c>
      <c r="B17">
        <v>12.5</v>
      </c>
      <c r="C17">
        <v>0.2</v>
      </c>
    </row>
    <row r="18">
      <c r="A18" t="str">
        <v>mat-peek-stock</v>
      </c>
      <c r="B18">
        <v>95</v>
      </c>
      <c r="C18">
        <v>0.5</v>
      </c>
    </row>
    <row r="19">
      <c r="A19" t="str">
        <v>mat-acrylic-cast</v>
      </c>
      <c r="B19">
        <v>4.8</v>
      </c>
      <c r="C19">
        <v>0.05</v>
      </c>
    </row>
    <row r="20">
      <c r="A20" t="str">
        <v>mat-uhmwpe</v>
      </c>
      <c r="B20">
        <v>3.4</v>
      </c>
      <c r="C20">
        <v>0.08</v>
      </c>
    </row>
    <row r="21">
      <c r="A21" t="str">
        <v>mat-dc01</v>
      </c>
      <c r="B21">
        <v>0.86</v>
      </c>
      <c r="C21">
        <v>0.2</v>
      </c>
    </row>
    <row r="22">
      <c r="A22" t="str">
        <v>mat-dc01-gi</v>
      </c>
      <c r="B22">
        <v>1.06</v>
      </c>
      <c r="C22">
        <v>0.2</v>
      </c>
    </row>
    <row r="23">
      <c r="A23" t="str">
        <v>mat-dc03-ga</v>
      </c>
      <c r="B23">
        <v>1.1</v>
      </c>
      <c r="C23">
        <v>0.2</v>
      </c>
    </row>
    <row r="24">
      <c r="A24" t="str">
        <v>mat-dp600</v>
      </c>
      <c r="B24">
        <v>1.25</v>
      </c>
      <c r="C24">
        <v>0.22</v>
      </c>
    </row>
    <row r="25">
      <c r="A25" t="str">
        <v>mat-hsla340</v>
      </c>
      <c r="B25">
        <v>1.14</v>
      </c>
      <c r="C25">
        <v>0.21</v>
      </c>
    </row>
    <row r="26">
      <c r="A26" t="str">
        <v>mat-22mnb5</v>
      </c>
      <c r="B26">
        <v>1.74</v>
      </c>
      <c r="C26">
        <v>0.22</v>
      </c>
    </row>
    <row r="27">
      <c r="A27" t="str">
        <v>mat-aa5182</v>
      </c>
      <c r="B27">
        <v>3.25</v>
      </c>
      <c r="C27">
        <v>0.5</v>
      </c>
    </row>
    <row r="28">
      <c r="A28" t="str">
        <v>mat-ss304-sheet</v>
      </c>
      <c r="B28">
        <v>3.36</v>
      </c>
      <c r="C28">
        <v>0.8</v>
      </c>
    </row>
    <row r="29">
      <c r="A29" t="str">
        <v>mat-aa5052</v>
      </c>
      <c r="B29">
        <v>3.25</v>
      </c>
      <c r="C29">
        <v>0.5</v>
      </c>
    </row>
    <row r="30">
      <c r="A30" t="str">
        <v>mat-aa5083</v>
      </c>
      <c r="B30">
        <v>3.46</v>
      </c>
      <c r="C30">
        <v>0.5</v>
      </c>
    </row>
    <row r="31">
      <c r="A31" t="str">
        <v>mat-aa6082-sheet</v>
      </c>
      <c r="B31">
        <v>3.62</v>
      </c>
      <c r="C31">
        <v>0.5</v>
      </c>
    </row>
    <row r="32">
      <c r="A32" t="str">
        <v>mat-aisi430</v>
      </c>
      <c r="B32">
        <v>2.94</v>
      </c>
      <c r="C32">
        <v>0.7</v>
      </c>
    </row>
    <row r="33">
      <c r="A33" t="str">
        <v>mat-ss316-sheet</v>
      </c>
      <c r="B33">
        <v>4.41</v>
      </c>
      <c r="C33">
        <v>0.9</v>
      </c>
    </row>
    <row r="34">
      <c r="A34" t="str">
        <v>mat-dc01-ze</v>
      </c>
      <c r="B34">
        <v>0.93</v>
      </c>
      <c r="C34">
        <v>0.2</v>
      </c>
    </row>
    <row r="35">
      <c r="A35" t="str">
        <v>mat-hsla420</v>
      </c>
      <c r="B35">
        <v>1.24</v>
      </c>
      <c r="C35">
        <v>0.22</v>
      </c>
    </row>
    <row r="36">
      <c r="A36" t="str">
        <v>mat-hrpo</v>
      </c>
      <c r="B36">
        <v>0.72</v>
      </c>
      <c r="C36">
        <v>0.18</v>
      </c>
    </row>
    <row r="37">
      <c r="A37" t="str">
        <v>mat-aa5754-sheet</v>
      </c>
      <c r="B37">
        <v>3.38</v>
      </c>
      <c r="C37">
        <v>0.5</v>
      </c>
    </row>
    <row r="38">
      <c r="A38" t="str">
        <v>mat-aa6061-sheet</v>
      </c>
      <c r="B38">
        <v>3.72</v>
      </c>
      <c r="C38">
        <v>0.5</v>
      </c>
    </row>
    <row r="39">
      <c r="A39" t="str">
        <v>mat-aa6063-sheet</v>
      </c>
      <c r="B39">
        <v>3.55</v>
      </c>
      <c r="C39">
        <v>0.5</v>
      </c>
    </row>
    <row r="40">
      <c r="A40" t="str">
        <v>mat-aa3003-sheet</v>
      </c>
      <c r="B40">
        <v>3.05</v>
      </c>
      <c r="C40">
        <v>0.48</v>
      </c>
    </row>
    <row r="41">
      <c r="A41" t="str">
        <v>mat-c110-copper</v>
      </c>
      <c r="B41">
        <v>9.85</v>
      </c>
      <c r="C41">
        <v>5.5</v>
      </c>
    </row>
    <row r="42">
      <c r="A42" t="str">
        <v>mat-cz108-brass</v>
      </c>
      <c r="B42">
        <v>7.42</v>
      </c>
      <c r="C42">
        <v>4.2</v>
      </c>
    </row>
    <row r="43">
      <c r="A43" t="str">
        <v>mat-dp780</v>
      </c>
      <c r="B43">
        <v>1.32</v>
      </c>
      <c r="C43">
        <v>0.22</v>
      </c>
    </row>
    <row r="44">
      <c r="A44" t="str">
        <v>mat-dp980</v>
      </c>
      <c r="B44">
        <v>1.45</v>
      </c>
      <c r="C44">
        <v>0.22</v>
      </c>
    </row>
    <row r="45">
      <c r="A45" t="str">
        <v>mat-dp1000</v>
      </c>
      <c r="B45">
        <v>1.52</v>
      </c>
      <c r="C45">
        <v>0.22</v>
      </c>
    </row>
    <row r="46">
      <c r="A46" t="str">
        <v>mat-trip780</v>
      </c>
      <c r="B46">
        <v>1.4</v>
      </c>
      <c r="C46">
        <v>0.22</v>
      </c>
    </row>
    <row r="47">
      <c r="A47" t="str">
        <v>mat-cp800</v>
      </c>
      <c r="B47">
        <v>1.38</v>
      </c>
      <c r="C47">
        <v>0.22</v>
      </c>
    </row>
    <row r="48">
      <c r="A48" t="str">
        <v>mat-ms1200</v>
      </c>
      <c r="B48">
        <v>1.55</v>
      </c>
      <c r="C48">
        <v>0.22</v>
      </c>
    </row>
    <row r="49">
      <c r="A49" t="str">
        <v>mat-ms1500</v>
      </c>
      <c r="B49">
        <v>1.72</v>
      </c>
      <c r="C49">
        <v>0.22</v>
      </c>
    </row>
    <row r="50">
      <c r="A50" t="str">
        <v>mat-usibor1500</v>
      </c>
      <c r="B50">
        <v>1.95</v>
      </c>
      <c r="C50">
        <v>0.22</v>
      </c>
    </row>
    <row r="51">
      <c r="A51" t="str">
        <v>mat-usibor2000</v>
      </c>
      <c r="B51">
        <v>2.35</v>
      </c>
      <c r="C51">
        <v>0.22</v>
      </c>
    </row>
    <row r="52">
      <c r="A52" t="str">
        <v>mat-ms1300</v>
      </c>
      <c r="B52">
        <v>1.62</v>
      </c>
      <c r="C52">
        <v>0.22</v>
      </c>
    </row>
    <row r="53">
      <c r="A53" t="str">
        <v>mat-qp980</v>
      </c>
      <c r="B53">
        <v>1.68</v>
      </c>
      <c r="C53">
        <v>0.22</v>
      </c>
    </row>
    <row r="54">
      <c r="A54" t="str">
        <v>mat-medmn1180</v>
      </c>
      <c r="B54">
        <v>1.75</v>
      </c>
      <c r="C54">
        <v>0.22</v>
      </c>
    </row>
    <row r="55">
      <c r="A55" t="str">
        <v>mat-hsla550</v>
      </c>
      <c r="B55">
        <v>1.34</v>
      </c>
      <c r="C55">
        <v>0.22</v>
      </c>
    </row>
    <row r="56">
      <c r="A56" t="str">
        <v>mat-bh260</v>
      </c>
      <c r="B56">
        <v>1.05</v>
      </c>
      <c r="C56">
        <v>0.21</v>
      </c>
    </row>
    <row r="57">
      <c r="A57" t="str">
        <v>mat-if-dx56</v>
      </c>
      <c r="B57">
        <v>0.95</v>
      </c>
      <c r="C57">
        <v>0.2</v>
      </c>
    </row>
    <row r="58">
      <c r="A58" t="str">
        <v>mat-if-hs260</v>
      </c>
      <c r="B58">
        <v>1.08</v>
      </c>
      <c r="C58">
        <v>0.21</v>
      </c>
    </row>
    <row r="59">
      <c r="A59" t="str">
        <v>mat-dc04</v>
      </c>
      <c r="B59">
        <v>0.72</v>
      </c>
      <c r="C59">
        <v>0.19</v>
      </c>
    </row>
    <row r="60">
      <c r="A60" t="str">
        <v>mat-dc05</v>
      </c>
      <c r="B60">
        <v>0.75</v>
      </c>
      <c r="C60">
        <v>0.19</v>
      </c>
    </row>
    <row r="61">
      <c r="A61" t="str">
        <v>mat-dc06</v>
      </c>
      <c r="B61">
        <v>0.8</v>
      </c>
      <c r="C61">
        <v>0.19</v>
      </c>
    </row>
    <row r="62">
      <c r="A62" t="str">
        <v>mat-nogo-m270-35a</v>
      </c>
      <c r="B62">
        <v>1.55</v>
      </c>
      <c r="C62">
        <v>0.25</v>
      </c>
    </row>
    <row r="63">
      <c r="A63" t="str">
        <v>mat-nogo-m400-50a</v>
      </c>
      <c r="B63">
        <v>1.25</v>
      </c>
      <c r="C63">
        <v>0.25</v>
      </c>
    </row>
    <row r="64">
      <c r="A64" t="str">
        <v>mat-go-m105-30p</v>
      </c>
      <c r="B64">
        <v>2.9</v>
      </c>
      <c r="C64">
        <v>0.3</v>
      </c>
    </row>
    <row r="65">
      <c r="A65" t="str">
        <v>mat-m235-35a</v>
      </c>
      <c r="B65">
        <v>1.95</v>
      </c>
      <c r="C65">
        <v>0.25</v>
      </c>
    </row>
    <row r="66">
      <c r="A66" t="str">
        <v>mat-m330-35a</v>
      </c>
      <c r="B66">
        <v>1.7</v>
      </c>
      <c r="C66">
        <v>0.25</v>
      </c>
    </row>
    <row r="67">
      <c r="A67" t="str">
        <v>mat-m250-50a</v>
      </c>
      <c r="B67">
        <v>1.42</v>
      </c>
      <c r="C67">
        <v>0.25</v>
      </c>
    </row>
    <row r="68">
      <c r="A68" t="str">
        <v>mat-m470-50a</v>
      </c>
      <c r="B68">
        <v>1.2</v>
      </c>
      <c r="C68">
        <v>0.25</v>
      </c>
    </row>
    <row r="69">
      <c r="A69" t="str">
        <v>mat-m600-50a</v>
      </c>
      <c r="B69">
        <v>1.15</v>
      </c>
      <c r="C69">
        <v>0.25</v>
      </c>
    </row>
    <row r="70">
      <c r="A70" t="str">
        <v>mat-m700-65a</v>
      </c>
      <c r="B70">
        <v>1.1</v>
      </c>
      <c r="C70">
        <v>0.25</v>
      </c>
    </row>
    <row r="71">
      <c r="A71" t="str">
        <v>mat-no27-27a</v>
      </c>
      <c r="B71">
        <v>2.4</v>
      </c>
      <c r="C71">
        <v>0.28</v>
      </c>
    </row>
    <row r="72">
      <c r="A72" t="str">
        <v>mat-no25-25a</v>
      </c>
      <c r="B72">
        <v>2.7</v>
      </c>
      <c r="C72">
        <v>0.28</v>
      </c>
    </row>
    <row r="73">
      <c r="A73" t="str">
        <v>mat-no20-20a</v>
      </c>
      <c r="B73">
        <v>3.4</v>
      </c>
      <c r="C73">
        <v>0.3</v>
      </c>
    </row>
    <row r="74">
      <c r="A74" t="str">
        <v>mat-cgo-m120-27</v>
      </c>
      <c r="B74">
        <v>2.55</v>
      </c>
      <c r="C74">
        <v>0.3</v>
      </c>
    </row>
    <row r="75">
      <c r="A75" t="str">
        <v>mat-hgo-m090-23</v>
      </c>
      <c r="B75">
        <v>3.4</v>
      </c>
      <c r="C75">
        <v>0.3</v>
      </c>
    </row>
    <row r="76">
      <c r="A76" t="str">
        <v>mat-cofe-hiperco50</v>
      </c>
      <c r="B76">
        <v>58</v>
      </c>
      <c r="C76">
        <v>4</v>
      </c>
    </row>
    <row r="77">
      <c r="A77" t="str">
        <v>mat-nife-permalloy80</v>
      </c>
      <c r="B77">
        <v>24</v>
      </c>
      <c r="C77">
        <v>2</v>
      </c>
    </row>
    <row r="78">
      <c r="A78" t="str">
        <v>mat-amorphous-2605sa1</v>
      </c>
      <c r="B78">
        <v>8.5</v>
      </c>
      <c r="C78">
        <v>0.5</v>
      </c>
    </row>
    <row r="79">
      <c r="A79" t="str">
        <v>mat-no-semiproc-50</v>
      </c>
      <c r="B79">
        <v>1.05</v>
      </c>
      <c r="C79">
        <v>0.24</v>
      </c>
    </row>
    <row r="80">
      <c r="A80" t="str">
        <v>mat-hsno-rotor-700</v>
      </c>
      <c r="B80">
        <v>2.6</v>
      </c>
      <c r="C80">
        <v>0.28</v>
      </c>
    </row>
    <row r="81">
      <c r="A81" t="str">
        <v>mat-hsno-rotor-960</v>
      </c>
      <c r="B81">
        <v>3.2</v>
      </c>
      <c r="C81">
        <v>0.3</v>
      </c>
    </row>
    <row r="82">
      <c r="A82" t="str">
        <v>mat-no15-15a</v>
      </c>
      <c r="B82">
        <v>3.9</v>
      </c>
      <c r="C82">
        <v>0.3</v>
      </c>
    </row>
    <row r="83">
      <c r="A83" t="str">
        <v>mat-no10-10a</v>
      </c>
      <c r="B83">
        <v>5.5</v>
      </c>
      <c r="C83">
        <v>0.35</v>
      </c>
    </row>
    <row r="84">
      <c r="A84" t="str">
        <v>mat-si65-jnex-10</v>
      </c>
      <c r="B84">
        <v>6.8</v>
      </c>
      <c r="C84">
        <v>0.35</v>
      </c>
    </row>
    <row r="85">
      <c r="A85" t="str">
        <v>mat-uhsno-1100</v>
      </c>
      <c r="B85">
        <v>3.6</v>
      </c>
      <c r="C85">
        <v>0.32</v>
      </c>
    </row>
    <row r="86">
      <c r="A86" t="str">
        <v>mat-cofe-thin-010</v>
      </c>
      <c r="B86">
        <v>72</v>
      </c>
      <c r="C86">
        <v>4.5</v>
      </c>
    </row>
    <row r="87">
      <c r="A87" t="str">
        <v>mat-cu-hairpin</v>
      </c>
      <c r="B87">
        <v>13.2</v>
      </c>
      <c r="C87">
        <v>6</v>
      </c>
    </row>
    <row r="88">
      <c r="A88" t="str">
        <v>mat-al-hairpin</v>
      </c>
      <c r="B88">
        <v>4.8</v>
      </c>
      <c r="C88">
        <v>1.1</v>
      </c>
    </row>
    <row r="89">
      <c r="A89" t="str">
        <v>mat-al-busbar</v>
      </c>
      <c r="B89">
        <v>3.8</v>
      </c>
      <c r="C89">
        <v>1</v>
      </c>
    </row>
    <row r="90">
      <c r="A90" t="str">
        <v>mat-c67s-spring</v>
      </c>
      <c r="B90">
        <v>1.55</v>
      </c>
      <c r="C90">
        <v>0.22</v>
      </c>
    </row>
    <row r="91">
      <c r="A91" t="str">
        <v>mat-ss301-spring</v>
      </c>
      <c r="B91">
        <v>4.4</v>
      </c>
      <c r="C91">
        <v>0.9</v>
      </c>
    </row>
    <row r="92">
      <c r="A92" t="str">
        <v>mat-znni-eg</v>
      </c>
      <c r="B92">
        <v>1.18</v>
      </c>
      <c r="C92">
        <v>0.2</v>
      </c>
    </row>
    <row r="93">
      <c r="A93" t="str">
        <v>mat-zm-coated</v>
      </c>
      <c r="B93">
        <v>1.15</v>
      </c>
      <c r="C93">
        <v>0.2</v>
      </c>
    </row>
    <row r="94">
      <c r="A94" t="str">
        <v>mat-tinplate-etp</v>
      </c>
      <c r="B94">
        <v>1.3</v>
      </c>
      <c r="C94">
        <v>0.2</v>
      </c>
    </row>
    <row r="95">
      <c r="A95" t="str">
        <v>mat-aa6016-t4</v>
      </c>
      <c r="B95">
        <v>3.55</v>
      </c>
      <c r="C95">
        <v>0.5</v>
      </c>
    </row>
    <row r="96">
      <c r="A96" t="str">
        <v>mat-aa6111-t4</v>
      </c>
      <c r="B96">
        <v>3.7</v>
      </c>
      <c r="C96">
        <v>0.5</v>
      </c>
    </row>
    <row r="97">
      <c r="A97" t="str">
        <v>mat-aa7075-t6</v>
      </c>
      <c r="B97">
        <v>6.8</v>
      </c>
      <c r="C97">
        <v>0.55</v>
      </c>
    </row>
    <row r="98">
      <c r="A98" t="str">
        <v>mat-greensteel-dc01</v>
      </c>
      <c r="B98">
        <v>1.05</v>
      </c>
      <c r="C98">
        <v>0.2</v>
      </c>
    </row>
    <row r="99">
      <c r="A99" t="str">
        <v>mat-al-recycled-5xxx</v>
      </c>
      <c r="B99">
        <v>2.6</v>
      </c>
      <c r="C99">
        <v>0.5</v>
      </c>
    </row>
    <row r="100">
      <c r="A100" t="str">
        <v>mat-pp</v>
      </c>
      <c r="B100">
        <v>1.12</v>
      </c>
      <c r="C100">
        <v>0.1</v>
      </c>
    </row>
    <row r="101">
      <c r="A101" t="str">
        <v>mat-abs</v>
      </c>
      <c r="B101">
        <v>1.68</v>
      </c>
      <c r="C101">
        <v>0.1</v>
      </c>
    </row>
    <row r="102">
      <c r="A102" t="str">
        <v>mat-pa66gf30</v>
      </c>
      <c r="B102">
        <v>3.1</v>
      </c>
      <c r="C102">
        <v>0.05</v>
      </c>
    </row>
    <row r="103">
      <c r="A103" t="str">
        <v>mat-pc</v>
      </c>
      <c r="B103">
        <v>2.52</v>
      </c>
      <c r="C103">
        <v>0.08</v>
      </c>
    </row>
    <row r="104">
      <c r="A104" t="str">
        <v>mat-hdpe</v>
      </c>
      <c r="B104">
        <v>1.06</v>
      </c>
      <c r="C104">
        <v>0.12</v>
      </c>
    </row>
    <row r="105">
      <c r="A105" t="str">
        <v>mat-pom</v>
      </c>
      <c r="B105">
        <v>2.05</v>
      </c>
      <c r="C105">
        <v>0.05</v>
      </c>
    </row>
    <row r="106">
      <c r="A106" t="str">
        <v>mat-pbt-gf30</v>
      </c>
      <c r="B106">
        <v>3.1</v>
      </c>
      <c r="C106">
        <v>0.05</v>
      </c>
    </row>
    <row r="107">
      <c r="A107" t="str">
        <v>mat-tpu-shore85</v>
      </c>
      <c r="B107">
        <v>2.52</v>
      </c>
      <c r="C107">
        <v>0.05</v>
      </c>
    </row>
    <row r="108">
      <c r="A108" t="str">
        <v>mat-ldpe</v>
      </c>
      <c r="B108">
        <v>0.87</v>
      </c>
      <c r="C108">
        <v>0.08</v>
      </c>
    </row>
    <row r="109">
      <c r="A109" t="str">
        <v>mat-lldpe</v>
      </c>
      <c r="B109">
        <v>0.93</v>
      </c>
      <c r="C109">
        <v>0.08</v>
      </c>
    </row>
    <row r="110">
      <c r="A110" t="str">
        <v>mat-pp-homo</v>
      </c>
      <c r="B110">
        <v>0.96</v>
      </c>
      <c r="C110">
        <v>0.1</v>
      </c>
    </row>
    <row r="111">
      <c r="A111" t="str">
        <v>mat-pp-impact</v>
      </c>
      <c r="B111">
        <v>1.01</v>
      </c>
      <c r="C111">
        <v>0.1</v>
      </c>
    </row>
    <row r="112">
      <c r="A112" t="str">
        <v>mat-pp-gf30</v>
      </c>
      <c r="B112">
        <v>1.85</v>
      </c>
      <c r="C112">
        <v>0.08</v>
      </c>
    </row>
    <row r="113">
      <c r="A113" t="str">
        <v>mat-pet-bg</v>
      </c>
      <c r="B113">
        <v>1.21</v>
      </c>
      <c r="C113">
        <v>0.08</v>
      </c>
    </row>
    <row r="114">
      <c r="A114" t="str">
        <v>mat-pet-gf30</v>
      </c>
      <c r="B114">
        <v>3.05</v>
      </c>
      <c r="C114">
        <v>0.05</v>
      </c>
    </row>
    <row r="115">
      <c r="A115" t="str">
        <v>mat-upvc</v>
      </c>
      <c r="B115">
        <v>0.83</v>
      </c>
      <c r="C115">
        <v>0.05</v>
      </c>
    </row>
    <row r="116">
      <c r="A116" t="str">
        <v>mat-fpvc</v>
      </c>
      <c r="B116">
        <v>1.16</v>
      </c>
      <c r="C116">
        <v>0.05</v>
      </c>
    </row>
    <row r="117">
      <c r="A117" t="str">
        <v>mat-gpps</v>
      </c>
      <c r="B117">
        <v>1</v>
      </c>
      <c r="C117">
        <v>0.08</v>
      </c>
    </row>
    <row r="118">
      <c r="A118" t="str">
        <v>mat-hips</v>
      </c>
      <c r="B118">
        <v>0.97</v>
      </c>
      <c r="C118">
        <v>0.08</v>
      </c>
    </row>
    <row r="119">
      <c r="A119" t="str">
        <v>mat-pc-abs</v>
      </c>
      <c r="B119">
        <v>1.95</v>
      </c>
      <c r="C119">
        <v>0.08</v>
      </c>
    </row>
    <row r="120">
      <c r="A120" t="str">
        <v>mat-pa6</v>
      </c>
      <c r="B120">
        <v>1.68</v>
      </c>
      <c r="C120">
        <v>0.06</v>
      </c>
    </row>
    <row r="121">
      <c r="A121" t="str">
        <v>mat-pa6-gf30</v>
      </c>
      <c r="B121">
        <v>2.52</v>
      </c>
      <c r="C121">
        <v>0.05</v>
      </c>
    </row>
    <row r="122">
      <c r="A122" t="str">
        <v>mat-pa66</v>
      </c>
      <c r="B122">
        <v>1.89</v>
      </c>
      <c r="C122">
        <v>0.06</v>
      </c>
    </row>
    <row r="123">
      <c r="A123" t="str">
        <v>mat-peek</v>
      </c>
      <c r="B123">
        <v>76</v>
      </c>
      <c r="C123">
        <v>5</v>
      </c>
    </row>
    <row r="124">
      <c r="A124" t="str">
        <v>mat-peek-gf30</v>
      </c>
      <c r="B124">
        <v>93</v>
      </c>
      <c r="C124">
        <v>5</v>
      </c>
    </row>
    <row r="125">
      <c r="A125" t="str">
        <v>mat-asa</v>
      </c>
      <c r="B125">
        <v>2.3</v>
      </c>
      <c r="C125">
        <v>0.1</v>
      </c>
    </row>
    <row r="126">
      <c r="A126" t="str">
        <v>mat-san</v>
      </c>
      <c r="B126">
        <v>1.75</v>
      </c>
      <c r="C126">
        <v>0.08</v>
      </c>
    </row>
    <row r="127">
      <c r="A127" t="str">
        <v>mat-pp-t20</v>
      </c>
      <c r="B127">
        <v>1.25</v>
      </c>
      <c r="C127">
        <v>0.1</v>
      </c>
    </row>
    <row r="128">
      <c r="A128" t="str">
        <v>mat-pp-t30</v>
      </c>
      <c r="B128">
        <v>1.35</v>
      </c>
      <c r="C128">
        <v>0.1</v>
      </c>
    </row>
    <row r="129">
      <c r="A129" t="str">
        <v>mat-pp-lgf30</v>
      </c>
      <c r="B129">
        <v>2.6</v>
      </c>
      <c r="C129">
        <v>0.08</v>
      </c>
    </row>
    <row r="130">
      <c r="A130" t="str">
        <v>mat-tpo</v>
      </c>
      <c r="B130">
        <v>1.85</v>
      </c>
      <c r="C130">
        <v>0.1</v>
      </c>
    </row>
    <row r="131">
      <c r="A131" t="str">
        <v>mat-tpv</v>
      </c>
      <c r="B131">
        <v>3.2</v>
      </c>
      <c r="C131">
        <v>0.05</v>
      </c>
    </row>
    <row r="132">
      <c r="A132" t="str">
        <v>mat-pmma</v>
      </c>
      <c r="B132">
        <v>2.4</v>
      </c>
      <c r="C132">
        <v>0.08</v>
      </c>
    </row>
    <row r="133">
      <c r="A133" t="str">
        <v>mat-pps-gf40</v>
      </c>
      <c r="B133">
        <v>5.5</v>
      </c>
      <c r="C133">
        <v>0.2</v>
      </c>
    </row>
    <row r="134">
      <c r="A134" t="str">
        <v>mat-ppa-gf35</v>
      </c>
      <c r="B134">
        <v>6.8</v>
      </c>
      <c r="C134">
        <v>0.15</v>
      </c>
    </row>
    <row r="135">
      <c r="A135" t="str">
        <v>mat-pei</v>
      </c>
      <c r="B135">
        <v>12.5</v>
      </c>
      <c r="C135">
        <v>0.5</v>
      </c>
    </row>
    <row r="136">
      <c r="A136" t="str">
        <v>mat-pei-gf30</v>
      </c>
      <c r="B136">
        <v>14</v>
      </c>
      <c r="C136">
        <v>0.5</v>
      </c>
    </row>
    <row r="137">
      <c r="A137" t="str">
        <v>mat-lcp-gf30</v>
      </c>
      <c r="B137">
        <v>11</v>
      </c>
      <c r="C137">
        <v>0.3</v>
      </c>
    </row>
    <row r="138">
      <c r="A138" t="str">
        <v>mat-pa66-gf35</v>
      </c>
      <c r="B138">
        <v>3.3</v>
      </c>
      <c r="C138">
        <v>0.05</v>
      </c>
    </row>
    <row r="139">
      <c r="A139" t="str">
        <v>mat-pa66-gf50</v>
      </c>
      <c r="B139">
        <v>3.55</v>
      </c>
      <c r="C139">
        <v>0.05</v>
      </c>
    </row>
    <row r="140">
      <c r="A140" t="str">
        <v>mat-pa66-min</v>
      </c>
      <c r="B140">
        <v>3</v>
      </c>
      <c r="C140">
        <v>0.05</v>
      </c>
    </row>
    <row r="141">
      <c r="A141" t="str">
        <v>mat-pa12</v>
      </c>
      <c r="B141">
        <v>8.5</v>
      </c>
      <c r="C141">
        <v>0.1</v>
      </c>
    </row>
    <row r="142">
      <c r="A142" t="str">
        <v>mat-pc-pbt</v>
      </c>
      <c r="B142">
        <v>3.2</v>
      </c>
      <c r="C142">
        <v>0.08</v>
      </c>
    </row>
    <row r="143">
      <c r="A143" t="str">
        <v>mat-mppe</v>
      </c>
      <c r="B143">
        <v>3.4</v>
      </c>
      <c r="C143">
        <v>0.08</v>
      </c>
    </row>
    <row r="144">
      <c r="A144" t="str">
        <v>mat-pc-fr</v>
      </c>
      <c r="B144">
        <v>3.6</v>
      </c>
      <c r="C144">
        <v>0.08</v>
      </c>
    </row>
    <row r="145">
      <c r="A145" t="str">
        <v>mat-pa66-gf25-fr</v>
      </c>
      <c r="B145">
        <v>4.2</v>
      </c>
      <c r="C145">
        <v>0.05</v>
      </c>
    </row>
    <row r="146">
      <c r="A146" t="str">
        <v>mat-pcr-pp</v>
      </c>
      <c r="B146">
        <v>0.95</v>
      </c>
      <c r="C146">
        <v>0.1</v>
      </c>
    </row>
    <row r="147">
      <c r="A147" t="str">
        <v>mat-bio-pa610</v>
      </c>
      <c r="B147">
        <v>5.5</v>
      </c>
      <c r="C147">
        <v>0.1</v>
      </c>
    </row>
    <row r="148">
      <c r="A148" t="str">
        <v>mat-pc-glazing</v>
      </c>
      <c r="B148">
        <v>4.2</v>
      </c>
      <c r="C148">
        <v>0.08</v>
      </c>
    </row>
    <row r="149">
      <c r="A149" t="str">
        <v>mat-adc12</v>
      </c>
      <c r="B149">
        <v>2.78</v>
      </c>
      <c r="C149">
        <v>0.55</v>
      </c>
    </row>
    <row r="150">
      <c r="A150" t="str">
        <v>mat-a380</v>
      </c>
      <c r="B150">
        <v>2.83</v>
      </c>
      <c r="C150">
        <v>0.55</v>
      </c>
    </row>
    <row r="151">
      <c r="A151" t="str">
        <v>mat-gjl250</v>
      </c>
      <c r="B151">
        <v>0.64</v>
      </c>
      <c r="C151">
        <v>0.12</v>
      </c>
    </row>
    <row r="152">
      <c r="A152" t="str">
        <v>mat-lm25</v>
      </c>
      <c r="B152">
        <v>3.04</v>
      </c>
      <c r="C152">
        <v>0.55</v>
      </c>
    </row>
    <row r="153">
      <c r="A153" t="str">
        <v>mat-gjl350</v>
      </c>
      <c r="B153">
        <v>0.74</v>
      </c>
      <c r="C153">
        <v>0.12</v>
      </c>
    </row>
    <row r="154">
      <c r="A154" t="str">
        <v>mat-bronze-c905</v>
      </c>
      <c r="B154">
        <v>8.9</v>
      </c>
      <c r="C154">
        <v>2.8</v>
      </c>
    </row>
    <row r="155">
      <c r="A155" t="str">
        <v>mat-mag-az91</v>
      </c>
      <c r="B155">
        <v>3.99</v>
      </c>
      <c r="C155">
        <v>0.8</v>
      </c>
    </row>
    <row r="156">
      <c r="A156" t="str">
        <v>mat-ss304-cast</v>
      </c>
      <c r="B156">
        <v>5.04</v>
      </c>
      <c r="C156">
        <v>1.2</v>
      </c>
    </row>
    <row r="157">
      <c r="A157" t="str">
        <v>mat-adc12-secondary</v>
      </c>
      <c r="B157">
        <v>2.05</v>
      </c>
      <c r="C157">
        <v>0.45</v>
      </c>
    </row>
    <row r="158">
      <c r="A158" t="str">
        <v>mat-alsi10mg</v>
      </c>
      <c r="B158">
        <v>2.94</v>
      </c>
      <c r="C158">
        <v>0.55</v>
      </c>
    </row>
    <row r="159">
      <c r="A159" t="str">
        <v>mat-a365</v>
      </c>
      <c r="B159">
        <v>2.83</v>
      </c>
      <c r="C159">
        <v>0.52</v>
      </c>
    </row>
    <row r="160">
      <c r="A160" t="str">
        <v>mat-zamak3</v>
      </c>
      <c r="B160">
        <v>2.47</v>
      </c>
      <c r="C160">
        <v>1.2</v>
      </c>
    </row>
    <row r="161">
      <c r="A161" t="str">
        <v>mat-zamak5</v>
      </c>
      <c r="B161">
        <v>2.52</v>
      </c>
      <c r="C161">
        <v>1.2</v>
      </c>
    </row>
    <row r="162">
      <c r="A162" t="str">
        <v>mat-gjs400</v>
      </c>
      <c r="B162">
        <v>0.82</v>
      </c>
      <c r="C162">
        <v>0.15</v>
      </c>
    </row>
    <row r="163">
      <c r="A163" t="str">
        <v>mat-gjs600</v>
      </c>
      <c r="B163">
        <v>0.9</v>
      </c>
      <c r="C163">
        <v>0.15</v>
      </c>
    </row>
    <row r="164">
      <c r="A164" t="str">
        <v>mat-aural5</v>
      </c>
      <c r="B164">
        <v>3.12</v>
      </c>
      <c r="C164">
        <v>0.58</v>
      </c>
    </row>
    <row r="165">
      <c r="A165" t="str">
        <v>mat-silafont36</v>
      </c>
      <c r="B165">
        <v>3.15</v>
      </c>
      <c r="C165">
        <v>0.58</v>
      </c>
    </row>
    <row r="166">
      <c r="A166" t="str">
        <v>mat-castasil37</v>
      </c>
      <c r="B166">
        <v>3.08</v>
      </c>
      <c r="C166">
        <v>0.58</v>
      </c>
    </row>
    <row r="167">
      <c r="A167" t="str">
        <v>mat-magsimal59</v>
      </c>
      <c r="B167">
        <v>3.22</v>
      </c>
      <c r="C167">
        <v>0.58</v>
      </c>
    </row>
    <row r="168">
      <c r="A168" t="str">
        <v>mat-al-hpdc-lowco2</v>
      </c>
      <c r="B168">
        <v>3.05</v>
      </c>
      <c r="C168">
        <v>0.6</v>
      </c>
    </row>
    <row r="169">
      <c r="A169" t="str">
        <v>mat-htf-gigacast</v>
      </c>
      <c r="B169">
        <v>3.35</v>
      </c>
      <c r="C169">
        <v>0.6</v>
      </c>
    </row>
    <row r="170">
      <c r="A170" t="str">
        <v>mat-a413</v>
      </c>
      <c r="B170">
        <v>2.8</v>
      </c>
      <c r="C170">
        <v>0.54</v>
      </c>
    </row>
    <row r="171">
      <c r="A171" t="str">
        <v>mat-a319</v>
      </c>
      <c r="B171">
        <v>2.76</v>
      </c>
      <c r="C171">
        <v>0.54</v>
      </c>
    </row>
    <row r="172">
      <c r="A172" t="str">
        <v>mat-a390</v>
      </c>
      <c r="B172">
        <v>3.32</v>
      </c>
      <c r="C172">
        <v>0.55</v>
      </c>
    </row>
    <row r="173">
      <c r="A173" t="str">
        <v>mat-a357</v>
      </c>
      <c r="B173">
        <v>3.26</v>
      </c>
      <c r="C173">
        <v>0.56</v>
      </c>
    </row>
    <row r="174">
      <c r="A174" t="str">
        <v>mat-gjl200</v>
      </c>
      <c r="B174">
        <v>0.6</v>
      </c>
      <c r="C174">
        <v>0.12</v>
      </c>
    </row>
    <row r="175">
      <c r="A175" t="str">
        <v>mat-gjl300</v>
      </c>
      <c r="B175">
        <v>0.7</v>
      </c>
      <c r="C175">
        <v>0.12</v>
      </c>
    </row>
    <row r="176">
      <c r="A176" t="str">
        <v>mat-gjs500</v>
      </c>
      <c r="B176">
        <v>0.86</v>
      </c>
      <c r="C176">
        <v>0.15</v>
      </c>
    </row>
    <row r="177">
      <c r="A177" t="str">
        <v>mat-gjs700</v>
      </c>
      <c r="B177">
        <v>0.95</v>
      </c>
      <c r="C177">
        <v>0.15</v>
      </c>
    </row>
    <row r="178">
      <c r="A178" t="str">
        <v>mat-gjv450</v>
      </c>
      <c r="B178">
        <v>1.12</v>
      </c>
      <c r="C178">
        <v>0.16</v>
      </c>
    </row>
    <row r="179">
      <c r="A179" t="str">
        <v>mat-simo</v>
      </c>
      <c r="B179">
        <v>1.35</v>
      </c>
      <c r="C179">
        <v>0.16</v>
      </c>
    </row>
    <row r="180">
      <c r="A180" t="str">
        <v>mat-adi</v>
      </c>
      <c r="B180">
        <v>1.58</v>
      </c>
      <c r="C180">
        <v>0.16</v>
      </c>
    </row>
    <row r="181">
      <c r="A181" t="str">
        <v>mat-mag-am60</v>
      </c>
      <c r="B181">
        <v>3.85</v>
      </c>
      <c r="C181">
        <v>0.8</v>
      </c>
    </row>
    <row r="182">
      <c r="A182" t="str">
        <v>mat-mag-am50</v>
      </c>
      <c r="B182">
        <v>3.9</v>
      </c>
      <c r="C182">
        <v>0.8</v>
      </c>
    </row>
    <row r="183">
      <c r="A183" t="str">
        <v>mat-mag-ae44</v>
      </c>
      <c r="B183">
        <v>5.2</v>
      </c>
      <c r="C183">
        <v>0.9</v>
      </c>
    </row>
    <row r="184">
      <c r="A184" t="str">
        <v>mat-za8</v>
      </c>
      <c r="B184">
        <v>2.82</v>
      </c>
      <c r="C184">
        <v>1.25</v>
      </c>
    </row>
    <row r="185">
      <c r="A185" t="str">
        <v>mat-za27</v>
      </c>
      <c r="B185">
        <v>3.1</v>
      </c>
      <c r="C185">
        <v>1.15</v>
      </c>
    </row>
    <row r="186">
      <c r="A186" t="str">
        <v>mat-gs-c25</v>
      </c>
      <c r="B186">
        <v>2.1</v>
      </c>
      <c r="C186">
        <v>0.28</v>
      </c>
    </row>
    <row r="187">
      <c r="A187" t="str">
        <v>mat-17-4ph-cast</v>
      </c>
      <c r="B187">
        <v>9.5</v>
      </c>
      <c r="C187">
        <v>1.5</v>
      </c>
    </row>
    <row r="188">
      <c r="A188" t="str">
        <v>mat-inconel718-cast</v>
      </c>
      <c r="B188">
        <v>42</v>
      </c>
      <c r="C188">
        <v>8</v>
      </c>
    </row>
    <row r="189">
      <c r="A189" t="str">
        <v>mat-steel1020</v>
      </c>
      <c r="B189">
        <v>0.82</v>
      </c>
      <c r="C189">
        <v>0.19</v>
      </c>
    </row>
    <row r="190">
      <c r="A190" t="str">
        <v>mat-steel4340</v>
      </c>
      <c r="B190">
        <v>1.45</v>
      </c>
      <c r="C190">
        <v>0.22</v>
      </c>
    </row>
    <row r="191">
      <c r="A191" t="str">
        <v>mat-steel1141</v>
      </c>
      <c r="B191">
        <v>1.05</v>
      </c>
      <c r="C191">
        <v>0.19</v>
      </c>
    </row>
    <row r="192">
      <c r="A192" t="str">
        <v>mat-steel-38mnvs6</v>
      </c>
      <c r="B192">
        <v>1.15</v>
      </c>
      <c r="C192">
        <v>0.2</v>
      </c>
    </row>
    <row r="193">
      <c r="A193" t="str">
        <v>mat-steel4130</v>
      </c>
      <c r="B193">
        <v>1.6</v>
      </c>
      <c r="C193">
        <v>0.22</v>
      </c>
    </row>
    <row r="194">
      <c r="A194" t="str">
        <v>mat-steel8620</v>
      </c>
      <c r="B194">
        <v>1.5</v>
      </c>
      <c r="C194">
        <v>0.22</v>
      </c>
    </row>
    <row r="195">
      <c r="A195" t="str">
        <v>mat-steel-20mncr5</v>
      </c>
      <c r="B195">
        <v>1.48</v>
      </c>
      <c r="C195">
        <v>0.22</v>
      </c>
    </row>
    <row r="196">
      <c r="A196" t="str">
        <v>mat-steel-52100</v>
      </c>
      <c r="B196">
        <v>1.7</v>
      </c>
      <c r="C196">
        <v>0.22</v>
      </c>
    </row>
    <row r="197">
      <c r="A197" t="str">
        <v>mat-steel-300m</v>
      </c>
      <c r="B197">
        <v>3.8</v>
      </c>
      <c r="C197">
        <v>0.3</v>
      </c>
    </row>
    <row r="198">
      <c r="A198" t="str">
        <v>mat-ss410-bar</v>
      </c>
      <c r="B198">
        <v>3.6</v>
      </c>
      <c r="C198">
        <v>0.9</v>
      </c>
    </row>
    <row r="199">
      <c r="A199" t="str">
        <v>mat-ss304l-bar</v>
      </c>
      <c r="B199">
        <v>4.6</v>
      </c>
      <c r="C199">
        <v>1.2</v>
      </c>
    </row>
    <row r="200">
      <c r="A200" t="str">
        <v>mat-ss316l-bar</v>
      </c>
      <c r="B200">
        <v>6.2</v>
      </c>
      <c r="C200">
        <v>1.4</v>
      </c>
    </row>
    <row r="201">
      <c r="A201" t="str">
        <v>mat-ss17-4ph-bar</v>
      </c>
      <c r="B201">
        <v>9.2</v>
      </c>
      <c r="C201">
        <v>1.6</v>
      </c>
    </row>
    <row r="202">
      <c r="A202" t="str">
        <v>mat-ss15-5ph-bar</v>
      </c>
      <c r="B202">
        <v>9.8</v>
      </c>
      <c r="C202">
        <v>1.6</v>
      </c>
    </row>
    <row r="203">
      <c r="A203" t="str">
        <v>mat-al6061-forge</v>
      </c>
      <c r="B203">
        <v>3.4</v>
      </c>
      <c r="C203">
        <v>0.55</v>
      </c>
    </row>
    <row r="204">
      <c r="A204" t="str">
        <v>mat-al6082-forge</v>
      </c>
      <c r="B204">
        <v>3.3</v>
      </c>
      <c r="C204">
        <v>0.55</v>
      </c>
    </row>
    <row r="205">
      <c r="A205" t="str">
        <v>mat-al7075-forge</v>
      </c>
      <c r="B205">
        <v>4.6</v>
      </c>
      <c r="C205">
        <v>0.55</v>
      </c>
    </row>
    <row r="206">
      <c r="A206" t="str">
        <v>mat-al2618-forge</v>
      </c>
      <c r="B206">
        <v>5.2</v>
      </c>
      <c r="C206">
        <v>0.55</v>
      </c>
    </row>
    <row r="207">
      <c r="A207" t="str">
        <v>mat-ti-cp-gr2</v>
      </c>
      <c r="B207">
        <v>26</v>
      </c>
      <c r="C207">
        <v>4</v>
      </c>
    </row>
    <row r="208">
      <c r="A208" t="str">
        <v>mat-ti-6al4v-forge</v>
      </c>
      <c r="B208">
        <v>38</v>
      </c>
      <c r="C208">
        <v>5.5</v>
      </c>
    </row>
    <row r="209">
      <c r="A209" t="str">
        <v>mat-inconel718-forge</v>
      </c>
      <c r="B209">
        <v>44</v>
      </c>
      <c r="C209">
        <v>8</v>
      </c>
    </row>
    <row r="210">
      <c r="A210" t="str">
        <v>mat-waspaloy-forge</v>
      </c>
      <c r="B210">
        <v>70</v>
      </c>
      <c r="C210">
        <v>12</v>
      </c>
    </row>
    <row r="211">
      <c r="A211" t="str">
        <v>mat-inconel625-forge</v>
      </c>
      <c r="B211">
        <v>38</v>
      </c>
      <c r="C211">
        <v>7</v>
      </c>
    </row>
    <row r="212">
      <c r="A212" t="str">
        <v>mat-hastelloy-c276-forge</v>
      </c>
      <c r="B212">
        <v>55</v>
      </c>
      <c r="C212">
        <v>9</v>
      </c>
    </row>
    <row r="213">
      <c r="A213" t="str">
        <v>mat-monel400-forge</v>
      </c>
      <c r="B213">
        <v>28</v>
      </c>
      <c r="C213">
        <v>5</v>
      </c>
    </row>
    <row r="214">
      <c r="A214" t="str">
        <v>mat-ti-6242-forge</v>
      </c>
      <c r="B214">
        <v>52</v>
      </c>
      <c r="C214">
        <v>6.5</v>
      </c>
    </row>
    <row r="215">
      <c r="A215" t="str">
        <v>mat-al7050-forge</v>
      </c>
      <c r="B215">
        <v>8.5</v>
      </c>
      <c r="C215">
        <v>1.1</v>
      </c>
    </row>
    <row r="216">
      <c r="A216" t="str">
        <v>mat-mg-az31-forge</v>
      </c>
      <c r="B216">
        <v>6.5</v>
      </c>
      <c r="C216">
        <v>0.9</v>
      </c>
    </row>
    <row r="217">
      <c r="A217" t="str">
        <v>mat-brass-cz122-forge</v>
      </c>
      <c r="B217">
        <v>7.2</v>
      </c>
      <c r="C217">
        <v>3</v>
      </c>
    </row>
    <row r="218">
      <c r="A218" t="str">
        <v>mat-paint-ecoat</v>
      </c>
      <c r="B218">
        <v>3.68</v>
      </c>
      <c r="C218">
        <v>0</v>
      </c>
    </row>
    <row r="219">
      <c r="A219" t="str">
        <v>mat-paint-primer</v>
      </c>
      <c r="B219">
        <v>6.1</v>
      </c>
      <c r="C219">
        <v>0</v>
      </c>
    </row>
    <row r="220">
      <c r="A220" t="str">
        <v>mat-paint-basecoat</v>
      </c>
      <c r="B220">
        <v>8.62</v>
      </c>
      <c r="C220">
        <v>0</v>
      </c>
    </row>
    <row r="221">
      <c r="A221" t="str">
        <v>mat-paint-clearcoat</v>
      </c>
      <c r="B221">
        <v>9.98</v>
      </c>
      <c r="C221">
        <v>0</v>
      </c>
    </row>
    <row r="222">
      <c r="A222" t="str">
        <v>mat-paint-powder</v>
      </c>
      <c r="B222">
        <v>3.36</v>
      </c>
      <c r="C222">
        <v>0.5</v>
      </c>
    </row>
    <row r="223">
      <c r="A223" t="str">
        <v>mat-paint-1k-primer</v>
      </c>
      <c r="B223">
        <v>5.4</v>
      </c>
      <c r="C223">
        <v>0</v>
      </c>
    </row>
    <row r="224">
      <c r="A224" t="str">
        <v>mat-paint-sb-basecoat</v>
      </c>
      <c r="B224">
        <v>9.2</v>
      </c>
      <c r="C224">
        <v>0</v>
      </c>
    </row>
    <row r="225">
      <c r="A225" t="str">
        <v>mat-paint-uv-clear</v>
      </c>
      <c r="B225">
        <v>14.5</v>
      </c>
      <c r="C225">
        <v>0</v>
      </c>
    </row>
    <row r="226">
      <c r="A226" t="str">
        <v>mat-paint-pvc-underbody</v>
      </c>
      <c r="B226">
        <v>2.6</v>
      </c>
      <c r="C226">
        <v>0</v>
      </c>
    </row>
    <row r="227">
      <c r="A227" t="str">
        <v>mat-pp-bm</v>
      </c>
      <c r="B227">
        <v>1.08</v>
      </c>
      <c r="C227">
        <v>0.1</v>
      </c>
    </row>
    <row r="228">
      <c r="A228" t="str">
        <v>mat-petg-bm</v>
      </c>
      <c r="B228">
        <v>2.18</v>
      </c>
      <c r="C228">
        <v>0.08</v>
      </c>
    </row>
    <row r="229">
      <c r="A229" t="str">
        <v>mat-pvc-bm</v>
      </c>
      <c r="B229">
        <v>0.92</v>
      </c>
      <c r="C229">
        <v>0.05</v>
      </c>
    </row>
    <row r="230">
      <c r="A230" t="str">
        <v>mat-tpe-bm</v>
      </c>
      <c r="B230">
        <v>2.48</v>
      </c>
      <c r="C230">
        <v>0.12</v>
      </c>
    </row>
    <row r="231">
      <c r="A231" t="str">
        <v>mat-eva-bm</v>
      </c>
      <c r="B231">
        <v>1.68</v>
      </c>
      <c r="C231">
        <v>0.08</v>
      </c>
    </row>
    <row r="232">
      <c r="A232" t="str">
        <v>mat-hdpe-bm</v>
      </c>
      <c r="B232">
        <v>1.15</v>
      </c>
      <c r="C232">
        <v>0.12</v>
      </c>
    </row>
    <row r="233">
      <c r="A233" t="str">
        <v>mat-hdpe-fuel-coex</v>
      </c>
      <c r="B233">
        <v>1.55</v>
      </c>
      <c r="C233">
        <v>0.1</v>
      </c>
    </row>
    <row r="234">
      <c r="A234" t="str">
        <v>mat-pa6-bm</v>
      </c>
      <c r="B234">
        <v>3.1</v>
      </c>
      <c r="C234">
        <v>0.1</v>
      </c>
    </row>
    <row r="235">
      <c r="A235" t="str">
        <v>mat-pc-bm</v>
      </c>
      <c r="B235">
        <v>3.9</v>
      </c>
      <c r="C235">
        <v>0.08</v>
      </c>
    </row>
    <row r="236">
      <c r="A236" t="str">
        <v>mat-ldpe-bm</v>
      </c>
      <c r="B236">
        <v>0.98</v>
      </c>
      <c r="C236">
        <v>0.1</v>
      </c>
    </row>
    <row r="237">
      <c r="A237" t="str">
        <v>mat-lldpe-bm</v>
      </c>
      <c r="B237">
        <v>1.05</v>
      </c>
      <c r="C237">
        <v>0.1</v>
      </c>
    </row>
    <row r="238">
      <c r="A238" t="str">
        <v>mat-pet-preform</v>
      </c>
      <c r="B238">
        <v>1.25</v>
      </c>
      <c r="C238">
        <v>0.1</v>
      </c>
    </row>
    <row r="239">
      <c r="A239" t="str">
        <v>mat-tritan-bm</v>
      </c>
      <c r="B239">
        <v>6.5</v>
      </c>
      <c r="C239">
        <v>0.15</v>
      </c>
    </row>
    <row r="240">
      <c r="A240" t="str">
        <v>mat-biope-bm</v>
      </c>
      <c r="B240">
        <v>2.2</v>
      </c>
      <c r="C240">
        <v>0.12</v>
      </c>
    </row>
    <row r="241">
      <c r="A241" t="str">
        <v>mat-rhdpe-bm</v>
      </c>
      <c r="B241">
        <v>0.95</v>
      </c>
      <c r="C241">
        <v>0.12</v>
      </c>
    </row>
    <row r="242">
      <c r="A242" t="str">
        <v>mat-rpp-bm</v>
      </c>
      <c r="B242">
        <v>0.9</v>
      </c>
      <c r="C242">
        <v>0.1</v>
      </c>
    </row>
    <row r="243">
      <c r="A243" t="str">
        <v>mat-pe100-pipe</v>
      </c>
      <c r="B243">
        <v>1.35</v>
      </c>
      <c r="C243">
        <v>0.12</v>
      </c>
    </row>
    <row r="244">
      <c r="A244" t="str">
        <v>mat-pe80-pipe</v>
      </c>
      <c r="B244">
        <v>1.28</v>
      </c>
      <c r="C244">
        <v>0.12</v>
      </c>
    </row>
    <row r="245">
      <c r="A245" t="str">
        <v>mat-upvc-pipe</v>
      </c>
      <c r="B245">
        <v>0.9</v>
      </c>
      <c r="C245">
        <v>0.05</v>
      </c>
    </row>
    <row r="246">
      <c r="A246" t="str">
        <v>mat-pvc-cable</v>
      </c>
      <c r="B246">
        <v>1.35</v>
      </c>
      <c r="C246">
        <v>0.05</v>
      </c>
    </row>
    <row r="247">
      <c r="A247" t="str">
        <v>mat-xlpe-cable</v>
      </c>
      <c r="B247">
        <v>2.1</v>
      </c>
      <c r="C247">
        <v>0</v>
      </c>
    </row>
    <row r="248">
      <c r="A248" t="str">
        <v>mat-gpps-ext</v>
      </c>
      <c r="B248">
        <v>1.3</v>
      </c>
      <c r="C248">
        <v>0.08</v>
      </c>
    </row>
    <row r="249">
      <c r="A249" t="str">
        <v>mat-abs-ext-sheet</v>
      </c>
      <c r="B249">
        <v>1.85</v>
      </c>
      <c r="C249">
        <v>0.1</v>
      </c>
    </row>
    <row r="250">
      <c r="A250" t="str">
        <v>mat-pmma-ext-sheet</v>
      </c>
      <c r="B250">
        <v>2.6</v>
      </c>
      <c r="C250">
        <v>0.08</v>
      </c>
    </row>
    <row r="251">
      <c r="A251" t="str">
        <v>mat-pc-ext-sheet</v>
      </c>
      <c r="B251">
        <v>3.2</v>
      </c>
      <c r="C251">
        <v>0.08</v>
      </c>
    </row>
    <row r="252">
      <c r="A252" t="str">
        <v>mat-pvc-medical-tube</v>
      </c>
      <c r="B252">
        <v>1.95</v>
      </c>
      <c r="C252">
        <v>0</v>
      </c>
    </row>
    <row r="253">
      <c r="A253" t="str">
        <v>mat-tpu-medical-tube</v>
      </c>
      <c r="B253">
        <v>6.5</v>
      </c>
      <c r="C253">
        <v>0</v>
      </c>
    </row>
    <row r="254">
      <c r="A254" t="str">
        <v>mat-tpe-profile</v>
      </c>
      <c r="B254">
        <v>2.4</v>
      </c>
      <c r="C254">
        <v>0.08</v>
      </c>
    </row>
    <row r="255">
      <c r="A255" t="str">
        <v>mat-pvc-foam</v>
      </c>
      <c r="B255">
        <v>1.15</v>
      </c>
      <c r="C255">
        <v>0.03</v>
      </c>
    </row>
    <row r="256">
      <c r="A256" t="str">
        <v>mat-pp-ext-sheet</v>
      </c>
      <c r="B256">
        <v>1.15</v>
      </c>
      <c r="C256">
        <v>0.1</v>
      </c>
    </row>
    <row r="257">
      <c r="A257" t="str">
        <v>mat-pa12-ext-tube</v>
      </c>
      <c r="B257">
        <v>6.2</v>
      </c>
      <c r="C257">
        <v>0.1</v>
      </c>
    </row>
    <row r="258">
      <c r="A258" t="str">
        <v>mat-mb-colour</v>
      </c>
      <c r="B258">
        <v>4.5</v>
      </c>
      <c r="C258">
        <v>0</v>
      </c>
    </row>
    <row r="259">
      <c r="A259" t="str">
        <v>mat-mb-white-tio2</v>
      </c>
      <c r="B259">
        <v>3.2</v>
      </c>
      <c r="C259">
        <v>0</v>
      </c>
    </row>
    <row r="260">
      <c r="A260" t="str">
        <v>mat-mb-black</v>
      </c>
      <c r="B260">
        <v>2.1</v>
      </c>
      <c r="C260">
        <v>0</v>
      </c>
    </row>
    <row r="261">
      <c r="A261" t="str">
        <v>mat-add-uv</v>
      </c>
      <c r="B261">
        <v>6.8</v>
      </c>
      <c r="C261">
        <v>0</v>
      </c>
    </row>
    <row r="262">
      <c r="A262" t="str">
        <v>mat-add-antistat</v>
      </c>
      <c r="B262">
        <v>5.5</v>
      </c>
      <c r="C262">
        <v>0</v>
      </c>
    </row>
    <row r="263">
      <c r="A263" t="str">
        <v>mat-add-fr</v>
      </c>
      <c r="B263">
        <v>4.2</v>
      </c>
      <c r="C263">
        <v>0</v>
      </c>
    </row>
    <row r="264">
      <c r="A264" t="str">
        <v>mat-add-impact</v>
      </c>
      <c r="B264">
        <v>3.1</v>
      </c>
      <c r="C264">
        <v>0</v>
      </c>
    </row>
    <row r="265">
      <c r="A265" t="str">
        <v>mat-add-procaid</v>
      </c>
      <c r="B265">
        <v>8.5</v>
      </c>
      <c r="C265">
        <v>0</v>
      </c>
    </row>
    <row r="266">
      <c r="A266" t="str">
        <v>mat-hips-tf</v>
      </c>
      <c r="B266">
        <v>1.05</v>
      </c>
      <c r="C266">
        <v>0.3</v>
      </c>
    </row>
    <row r="267">
      <c r="A267" t="str">
        <v>mat-abs-tf</v>
      </c>
      <c r="B267">
        <v>2</v>
      </c>
      <c r="C267">
        <v>0.45</v>
      </c>
    </row>
    <row r="268">
      <c r="A268" t="str">
        <v>mat-petg-tf</v>
      </c>
      <c r="B268">
        <v>1.85</v>
      </c>
      <c r="C268">
        <v>0.45</v>
      </c>
    </row>
    <row r="269">
      <c r="A269" t="str">
        <v>mat-apet-tf</v>
      </c>
      <c r="B269">
        <v>1.55</v>
      </c>
      <c r="C269">
        <v>0.4</v>
      </c>
    </row>
    <row r="270">
      <c r="A270" t="str">
        <v>mat-cpet-tf</v>
      </c>
      <c r="B270">
        <v>1.75</v>
      </c>
      <c r="C270">
        <v>0.35</v>
      </c>
    </row>
    <row r="271">
      <c r="A271" t="str">
        <v>mat-rpvc-tf</v>
      </c>
      <c r="B271">
        <v>1.35</v>
      </c>
      <c r="C271">
        <v>0.2</v>
      </c>
    </row>
    <row r="272">
      <c r="A272" t="str">
        <v>mat-pp-tf</v>
      </c>
      <c r="B272">
        <v>1.3</v>
      </c>
      <c r="C272">
        <v>0.3</v>
      </c>
    </row>
    <row r="273">
      <c r="A273" t="str">
        <v>mat-hdpe-tf</v>
      </c>
      <c r="B273">
        <v>1.25</v>
      </c>
      <c r="C273">
        <v>0.35</v>
      </c>
    </row>
    <row r="274">
      <c r="A274" t="str">
        <v>mat-ldpe-tf</v>
      </c>
      <c r="B274">
        <v>1.3</v>
      </c>
      <c r="C274">
        <v>0.3</v>
      </c>
    </row>
    <row r="275">
      <c r="A275" t="str">
        <v>mat-ps-foam-tf</v>
      </c>
      <c r="B275">
        <v>1.6</v>
      </c>
      <c r="C275">
        <v>0.15</v>
      </c>
    </row>
    <row r="276">
      <c r="A276" t="str">
        <v>mat-pmma-tf</v>
      </c>
      <c r="B276">
        <v>2.9</v>
      </c>
      <c r="C276">
        <v>0.35</v>
      </c>
    </row>
    <row r="277">
      <c r="A277" t="str">
        <v>mat-pc-tf</v>
      </c>
      <c r="B277">
        <v>3.4</v>
      </c>
      <c r="C277">
        <v>0.35</v>
      </c>
    </row>
    <row r="278">
      <c r="A278" t="str">
        <v>mat-pei-tf</v>
      </c>
      <c r="B278">
        <v>28</v>
      </c>
      <c r="C278">
        <v>1</v>
      </c>
    </row>
    <row r="279">
      <c r="A279" t="str">
        <v>mat-pps-tf</v>
      </c>
      <c r="B279">
        <v>14</v>
      </c>
      <c r="C279">
        <v>0.5</v>
      </c>
    </row>
    <row r="280">
      <c r="A280" t="str">
        <v>mat-abs-pmma-tf</v>
      </c>
      <c r="B280">
        <v>2.6</v>
      </c>
      <c r="C280">
        <v>0.15</v>
      </c>
    </row>
    <row r="281">
      <c r="A281" t="str">
        <v>mat-abs-pc-tf</v>
      </c>
      <c r="B281">
        <v>3.1</v>
      </c>
      <c r="C281">
        <v>0.15</v>
      </c>
    </row>
    <row r="282">
      <c r="A282" t="str">
        <v>mat-pp-tpo-tf</v>
      </c>
      <c r="B282">
        <v>1.9</v>
      </c>
      <c r="C282">
        <v>0.2</v>
      </c>
    </row>
    <row r="283">
      <c r="A283" t="str">
        <v>mat-petg-barrier-tf</v>
      </c>
      <c r="B283">
        <v>2.4</v>
      </c>
      <c r="C283">
        <v>0.1</v>
      </c>
    </row>
    <row r="284">
      <c r="A284" t="str">
        <v>mat-lldpe-roto</v>
      </c>
      <c r="B284">
        <v>1.35</v>
      </c>
      <c r="C284">
        <v>0.1</v>
      </c>
    </row>
    <row r="285">
      <c r="A285" t="str">
        <v>mat-hdpe-roto</v>
      </c>
      <c r="B285">
        <v>1.3</v>
      </c>
      <c r="C285">
        <v>0.1</v>
      </c>
    </row>
    <row r="286">
      <c r="A286" t="str">
        <v>mat-pp-roto</v>
      </c>
      <c r="B286">
        <v>1.45</v>
      </c>
      <c r="C286">
        <v>0.1</v>
      </c>
    </row>
    <row r="287">
      <c r="A287" t="str">
        <v>mat-xlpe-roto</v>
      </c>
      <c r="B287">
        <v>1.75</v>
      </c>
      <c r="C287">
        <v>0.05</v>
      </c>
    </row>
    <row r="288">
      <c r="A288" t="str">
        <v>mat-pa12-roto</v>
      </c>
      <c r="B288">
        <v>9.5</v>
      </c>
      <c r="C288">
        <v>0.2</v>
      </c>
    </row>
    <row r="289">
      <c r="A289" t="str">
        <v>mat-fr-pe-roto</v>
      </c>
      <c r="B289">
        <v>2.6</v>
      </c>
      <c r="C289">
        <v>0.05</v>
      </c>
    </row>
    <row r="290">
      <c r="A290" t="str">
        <v>mat-foam-pe-roto</v>
      </c>
      <c r="B290">
        <v>1.9</v>
      </c>
      <c r="C290">
        <v>0.05</v>
      </c>
    </row>
    <row r="291">
      <c r="A291" t="str">
        <v>mat-cond-pe-roto</v>
      </c>
      <c r="B291">
        <v>2.4</v>
      </c>
      <c r="C291">
        <v>0.05</v>
      </c>
    </row>
    <row r="292">
      <c r="A292" t="str">
        <v>mat-rpe-roto</v>
      </c>
      <c r="B292">
        <v>0.95</v>
      </c>
      <c r="C292">
        <v>0.1</v>
      </c>
    </row>
    <row r="293">
      <c r="A293" t="str">
        <v>mat-epdm</v>
      </c>
      <c r="B293">
        <v>1.9</v>
      </c>
      <c r="C293">
        <v>0.05</v>
      </c>
    </row>
    <row r="294">
      <c r="A294" t="str">
        <v>mat-nbr</v>
      </c>
      <c r="B294">
        <v>2.32</v>
      </c>
      <c r="C294">
        <v>0.05</v>
      </c>
    </row>
    <row r="295">
      <c r="A295" t="str">
        <v>mat-silicone-hcr</v>
      </c>
      <c r="B295">
        <v>8.92</v>
      </c>
      <c r="C295">
        <v>0.1</v>
      </c>
    </row>
    <row r="296">
      <c r="A296" t="str">
        <v>mat-lsr</v>
      </c>
      <c r="B296">
        <v>15.75</v>
      </c>
      <c r="C296">
        <v>0.1</v>
      </c>
    </row>
    <row r="297">
      <c r="A297" t="str">
        <v>mat-nr</v>
      </c>
      <c r="B297">
        <v>1.72</v>
      </c>
      <c r="C297">
        <v>0.05</v>
      </c>
    </row>
    <row r="298">
      <c r="A298" t="str">
        <v>mat-viton-fkm</v>
      </c>
      <c r="B298">
        <v>23.1</v>
      </c>
      <c r="C298">
        <v>0.2</v>
      </c>
    </row>
    <row r="299">
      <c r="A299" t="str">
        <v>mat-sbr</v>
      </c>
      <c r="B299">
        <v>1.45</v>
      </c>
      <c r="C299">
        <v>0.03</v>
      </c>
    </row>
    <row r="300">
      <c r="A300" t="str">
        <v>mat-cr</v>
      </c>
      <c r="B300">
        <v>3.82</v>
      </c>
      <c r="C300">
        <v>0.05</v>
      </c>
    </row>
    <row r="301">
      <c r="A301" t="str">
        <v>mat-hnbr</v>
      </c>
      <c r="B301">
        <v>5.65</v>
      </c>
      <c r="C301">
        <v>0.08</v>
      </c>
    </row>
    <row r="302">
      <c r="A302" t="str">
        <v>mat-iir</v>
      </c>
      <c r="B302">
        <v>2.18</v>
      </c>
      <c r="C302">
        <v>0.03</v>
      </c>
    </row>
    <row r="303">
      <c r="A303" t="str">
        <v>mat-pu-elastomer</v>
      </c>
      <c r="B303">
        <v>4.25</v>
      </c>
      <c r="C303">
        <v>0.1</v>
      </c>
    </row>
    <row r="304">
      <c r="A304" t="str">
        <v>mat-fvmq</v>
      </c>
      <c r="B304">
        <v>34</v>
      </c>
      <c r="C304">
        <v>0.15</v>
      </c>
    </row>
    <row r="305">
      <c r="A305" t="str">
        <v>mat-acm</v>
      </c>
      <c r="B305">
        <v>6.8</v>
      </c>
      <c r="C305">
        <v>0.08</v>
      </c>
    </row>
    <row r="306">
      <c r="A306" t="str">
        <v>mat-aem</v>
      </c>
      <c r="B306">
        <v>9.5</v>
      </c>
      <c r="C306">
        <v>0.1</v>
      </c>
    </row>
    <row r="307">
      <c r="A307" t="str">
        <v>mat-eco</v>
      </c>
      <c r="B307">
        <v>5.9</v>
      </c>
      <c r="C307">
        <v>0.08</v>
      </c>
    </row>
    <row r="308">
      <c r="A308" t="str">
        <v>mat-csm</v>
      </c>
      <c r="B308">
        <v>6.2</v>
      </c>
      <c r="C308">
        <v>0.08</v>
      </c>
    </row>
    <row r="309">
      <c r="A309" t="str">
        <v>mat-br</v>
      </c>
      <c r="B309">
        <v>1.75</v>
      </c>
      <c r="C309">
        <v>0.04</v>
      </c>
    </row>
    <row r="310">
      <c r="A310" t="str">
        <v>mat-bromobutyl</v>
      </c>
      <c r="B310">
        <v>2.85</v>
      </c>
      <c r="C310">
        <v>0.04</v>
      </c>
    </row>
    <row r="311">
      <c r="A311" t="str">
        <v>mat-chlorobutyl</v>
      </c>
      <c r="B311">
        <v>2.75</v>
      </c>
      <c r="C311">
        <v>0.04</v>
      </c>
    </row>
    <row r="312">
      <c r="A312" t="str">
        <v>mat-ffkm</v>
      </c>
      <c r="B312">
        <v>320</v>
      </c>
      <c r="C312">
        <v>0</v>
      </c>
    </row>
    <row r="313">
      <c r="A313" t="str">
        <v>mat-nbr-high-acn</v>
      </c>
      <c r="B313">
        <v>2.55</v>
      </c>
      <c r="C313">
        <v>0.05</v>
      </c>
    </row>
    <row r="314">
      <c r="A314" t="str">
        <v>mat-epdm-peroxide</v>
      </c>
      <c r="B314">
        <v>2.15</v>
      </c>
      <c r="C314">
        <v>0.05</v>
      </c>
    </row>
    <row r="315">
      <c r="A315" t="str">
        <v>mat-silicone-medical</v>
      </c>
      <c r="B315">
        <v>16.5</v>
      </c>
      <c r="C315">
        <v>0</v>
      </c>
    </row>
    <row r="316">
      <c r="A316" t="str">
        <v>mat-cfrp-prepreg-t700</v>
      </c>
      <c r="B316">
        <v>33.6</v>
      </c>
      <c r="C316">
        <v>0.5</v>
      </c>
    </row>
    <row r="317">
      <c r="A317" t="str">
        <v>mat-gfrp-prepreg-e</v>
      </c>
      <c r="B317">
        <v>7.88</v>
      </c>
      <c r="C317">
        <v>0.1</v>
      </c>
    </row>
    <row r="318">
      <c r="A318" t="str">
        <v>mat-cf-dry-3k</v>
      </c>
      <c r="B318">
        <v>25.2</v>
      </c>
      <c r="C318">
        <v>0.5</v>
      </c>
    </row>
    <row r="319">
      <c r="A319" t="str">
        <v>mat-gf-dry-e</v>
      </c>
      <c r="B319">
        <v>3.99</v>
      </c>
      <c r="C319">
        <v>0.05</v>
      </c>
    </row>
    <row r="320">
      <c r="A320" t="str">
        <v>mat-epoxy-infusion</v>
      </c>
      <c r="B320">
        <v>13.65</v>
      </c>
      <c r="C320">
        <v>0</v>
      </c>
    </row>
    <row r="321">
      <c r="A321" t="str">
        <v>mat-vinylester-rtm</v>
      </c>
      <c r="B321">
        <v>5.46</v>
      </c>
      <c r="C321">
        <v>0</v>
      </c>
    </row>
    <row r="322">
      <c r="A322" t="str">
        <v>mat-aramid-k49</v>
      </c>
      <c r="B322">
        <v>31.5</v>
      </c>
      <c r="C322">
        <v>0.5</v>
      </c>
    </row>
    <row r="323">
      <c r="A323" t="str">
        <v>mat-cf-uni-t800</v>
      </c>
      <c r="B323">
        <v>46</v>
      </c>
      <c r="C323">
        <v>0.5</v>
      </c>
    </row>
    <row r="324">
      <c r="A324" t="str">
        <v>mat-smc-gf</v>
      </c>
      <c r="B324">
        <v>2.85</v>
      </c>
      <c r="C324">
        <v>0.1</v>
      </c>
    </row>
    <row r="325">
      <c r="A325" t="str">
        <v>mat-bmc</v>
      </c>
      <c r="B325">
        <v>3.1</v>
      </c>
      <c r="C325">
        <v>0.1</v>
      </c>
    </row>
    <row r="326">
      <c r="A326" t="str">
        <v>mat-csm-gf</v>
      </c>
      <c r="B326">
        <v>3.2</v>
      </c>
      <c r="C326">
        <v>0.05</v>
      </c>
    </row>
    <row r="327">
      <c r="A327" t="str">
        <v>mat-cf-peek-organo</v>
      </c>
      <c r="B327">
        <v>62</v>
      </c>
      <c r="C327">
        <v>1</v>
      </c>
    </row>
    <row r="328">
      <c r="A328" t="str">
        <v>mat-nomex-honeycomb</v>
      </c>
      <c r="B328">
        <v>42</v>
      </c>
      <c r="C328">
        <v>0</v>
      </c>
    </row>
    <row r="329">
      <c r="A329" t="str">
        <v>mat-pet-foam-core</v>
      </c>
      <c r="B329">
        <v>9.5</v>
      </c>
      <c r="C329">
        <v>0</v>
      </c>
    </row>
    <row r="330">
      <c r="A330" t="str">
        <v>mach-lathe-cnc</v>
      </c>
      <c r="B330">
        <v>40</v>
      </c>
      <c r="C330" t="str">
        <v/>
      </c>
    </row>
    <row r="331">
      <c r="A331" t="str">
        <v>mach-vmc3</v>
      </c>
      <c r="B331">
        <v>55</v>
      </c>
      <c r="C331" t="str">
        <v/>
      </c>
    </row>
    <row r="332">
      <c r="A332" t="str">
        <v>mach-vmc5</v>
      </c>
      <c r="B332">
        <v>85</v>
      </c>
      <c r="C332" t="str">
        <v/>
      </c>
    </row>
    <row r="333">
      <c r="A333" t="str">
        <v>mach-drill</v>
      </c>
      <c r="B333">
        <v>30</v>
      </c>
      <c r="C333" t="str">
        <v/>
      </c>
    </row>
    <row r="334">
      <c r="A334" t="str">
        <v>mach-grind</v>
      </c>
      <c r="B334">
        <v>55</v>
      </c>
      <c r="C334" t="str">
        <v/>
      </c>
    </row>
    <row r="335">
      <c r="A335" t="str">
        <v>gear-hob-small</v>
      </c>
      <c r="B335">
        <v>56.875</v>
      </c>
      <c r="C335" t="str">
        <v/>
      </c>
    </row>
    <row r="336">
      <c r="A336" t="str">
        <v>gear-hob-medium</v>
      </c>
      <c r="B336">
        <v>78.0448717948718</v>
      </c>
      <c r="C336" t="str">
        <v/>
      </c>
    </row>
    <row r="337">
      <c r="A337" t="str">
        <v>gear-hob-large</v>
      </c>
      <c r="B337">
        <v>144.3609022556391</v>
      </c>
      <c r="C337" t="str">
        <v/>
      </c>
    </row>
    <row r="338">
      <c r="A338" t="str">
        <v>gear-shaper-small</v>
      </c>
      <c r="B338">
        <v>56.89102564102564</v>
      </c>
      <c r="C338" t="str">
        <v/>
      </c>
    </row>
    <row r="339">
      <c r="A339" t="str">
        <v>gear-shaper-large</v>
      </c>
      <c r="B339">
        <v>94.5945945945946</v>
      </c>
      <c r="C339" t="str">
        <v/>
      </c>
    </row>
    <row r="340">
      <c r="A340" t="str">
        <v>gear-skive-small</v>
      </c>
      <c r="B340">
        <v>84.6875</v>
      </c>
      <c r="C340" t="str">
        <v/>
      </c>
    </row>
    <row r="341">
      <c r="A341" t="str">
        <v>gear-skive-medium</v>
      </c>
      <c r="B341">
        <v>117.94871794871794</v>
      </c>
      <c r="C341" t="str">
        <v/>
      </c>
    </row>
    <row r="342">
      <c r="A342" t="str">
        <v>gear-broach</v>
      </c>
      <c r="B342">
        <v>62.94117647058823</v>
      </c>
      <c r="C342" t="str">
        <v/>
      </c>
    </row>
    <row r="343">
      <c r="A343" t="str">
        <v>gear-grind-generating</v>
      </c>
      <c r="B343">
        <v>129.16666666666666</v>
      </c>
      <c r="C343" t="str">
        <v/>
      </c>
    </row>
    <row r="344">
      <c r="A344" t="str">
        <v>gear-grind-profile</v>
      </c>
      <c r="B344">
        <v>169.5906432748538</v>
      </c>
      <c r="C344" t="str">
        <v/>
      </c>
    </row>
    <row r="345">
      <c r="A345" t="str">
        <v>gear-shave</v>
      </c>
      <c r="B345">
        <v>46.25</v>
      </c>
      <c r="C345" t="str">
        <v/>
      </c>
    </row>
    <row r="346">
      <c r="A346" t="str">
        <v>gear-hone</v>
      </c>
      <c r="B346">
        <v>79.16666666666667</v>
      </c>
      <c r="C346" t="str">
        <v/>
      </c>
    </row>
    <row r="347">
      <c r="A347" t="str">
        <v>gear-deburr</v>
      </c>
      <c r="B347">
        <v>26.524390243902438</v>
      </c>
      <c r="C347" t="str">
        <v/>
      </c>
    </row>
    <row r="348">
      <c r="A348" t="str">
        <v>gear-induction</v>
      </c>
      <c r="B348">
        <v>54.375</v>
      </c>
      <c r="C348" t="str">
        <v/>
      </c>
    </row>
    <row r="349">
      <c r="A349" t="str">
        <v>gear-checker</v>
      </c>
      <c r="B349">
        <v>56.53846153846154</v>
      </c>
      <c r="C349" t="str">
        <v/>
      </c>
    </row>
    <row r="350">
      <c r="A350" t="str">
        <v>bench-assembly</v>
      </c>
      <c r="B350">
        <v>0.6911764705882353</v>
      </c>
      <c r="C350" t="str">
        <v/>
      </c>
    </row>
    <row r="351">
      <c r="A351" t="str">
        <v>mach-haas-vf2</v>
      </c>
      <c r="B351">
        <v>45</v>
      </c>
      <c r="C351" t="str">
        <v/>
      </c>
    </row>
    <row r="352">
      <c r="A352" t="str">
        <v>mach-dmg-dmu50</v>
      </c>
      <c r="B352">
        <v>95</v>
      </c>
      <c r="C352" t="str">
        <v/>
      </c>
    </row>
    <row r="353">
      <c r="A353" t="str">
        <v>mach-haas-umc500</v>
      </c>
      <c r="B353">
        <v>75</v>
      </c>
      <c r="C353" t="str">
        <v/>
      </c>
    </row>
    <row r="354">
      <c r="A354" t="str">
        <v>mach-mazak-qt200</v>
      </c>
      <c r="B354">
        <v>50</v>
      </c>
      <c r="C354" t="str">
        <v/>
      </c>
    </row>
    <row r="355">
      <c r="A355" t="str">
        <v>grav-die-cast-std</v>
      </c>
      <c r="B355">
        <v>38</v>
      </c>
      <c r="C355" t="str">
        <v/>
      </c>
    </row>
    <row r="356">
      <c r="A356" t="str">
        <v>invest-cast-furnace</v>
      </c>
      <c r="B356">
        <v>41.666666666666664</v>
      </c>
      <c r="C356" t="str">
        <v/>
      </c>
    </row>
    <row r="357">
      <c r="A357" t="str">
        <v>heat-treat-furnace</v>
      </c>
      <c r="B357">
        <v>17.5</v>
      </c>
      <c r="C357" t="str">
        <v/>
      </c>
    </row>
    <row r="358">
      <c r="A358" t="str">
        <v>press-100t</v>
      </c>
      <c r="B358">
        <v>15.446428571428571</v>
      </c>
      <c r="C358" t="str">
        <v/>
      </c>
    </row>
    <row r="359">
      <c r="A359" t="str">
        <v>press-200t</v>
      </c>
      <c r="B359">
        <v>23.75</v>
      </c>
      <c r="C359" t="str">
        <v/>
      </c>
    </row>
    <row r="360">
      <c r="A360" t="str">
        <v>press-400t</v>
      </c>
      <c r="B360">
        <v>38.660714285714285</v>
      </c>
      <c r="C360" t="str">
        <v/>
      </c>
    </row>
    <row r="361">
      <c r="A361" t="str">
        <v>press-630t</v>
      </c>
      <c r="B361">
        <v>59.84432234432234</v>
      </c>
      <c r="C361" t="str">
        <v/>
      </c>
    </row>
    <row r="362">
      <c r="A362" t="str">
        <v>press-800t</v>
      </c>
      <c r="B362">
        <v>71.52014652014653</v>
      </c>
      <c r="C362" t="str">
        <v/>
      </c>
    </row>
    <row r="363">
      <c r="A363" t="str">
        <v>press-1000t</v>
      </c>
      <c r="B363">
        <v>89.88095238095238</v>
      </c>
      <c r="C363" t="str">
        <v/>
      </c>
    </row>
    <row r="364">
      <c r="A364" t="str">
        <v>press-1250t</v>
      </c>
      <c r="B364">
        <v>111.76739926739927</v>
      </c>
      <c r="C364" t="str">
        <v/>
      </c>
    </row>
    <row r="365">
      <c r="A365" t="str">
        <v>press-fineblank-250t</v>
      </c>
      <c r="B365">
        <v>46.607142857142854</v>
      </c>
      <c r="C365" t="str">
        <v/>
      </c>
    </row>
    <row r="366">
      <c r="A366" t="str">
        <v>press-hotstamp-1000t</v>
      </c>
      <c r="B366">
        <v>137.71428571428572</v>
      </c>
      <c r="C366" t="str">
        <v/>
      </c>
    </row>
    <row r="367">
      <c r="A367" t="str">
        <v>furnace-roller-hearth</v>
      </c>
      <c r="B367">
        <v>52.34375</v>
      </c>
      <c r="C367" t="str">
        <v/>
      </c>
    </row>
    <row r="368">
      <c r="A368" t="str">
        <v>notching-machine</v>
      </c>
      <c r="B368">
        <v>30.666666666666668</v>
      </c>
      <c r="C368" t="str">
        <v/>
      </c>
    </row>
    <row r="369">
      <c r="A369" t="str">
        <v>lamination-anneal-furnace</v>
      </c>
      <c r="B369">
        <v>38.28125</v>
      </c>
      <c r="C369" t="str">
        <v/>
      </c>
    </row>
    <row r="370">
      <c r="A370" t="str">
        <v>backlack-bonding-oven</v>
      </c>
      <c r="B370">
        <v>37.70032051282051</v>
      </c>
      <c r="C370" t="str">
        <v/>
      </c>
    </row>
    <row r="371">
      <c r="A371" t="str">
        <v>laser-stack-welder</v>
      </c>
      <c r="B371">
        <v>54.765625</v>
      </c>
      <c r="C371" t="str">
        <v/>
      </c>
    </row>
    <row r="372">
      <c r="A372" t="str">
        <v>imm-50t</v>
      </c>
      <c r="B372">
        <v>9.4140625</v>
      </c>
      <c r="C372" t="str">
        <v/>
      </c>
    </row>
    <row r="373">
      <c r="A373" t="str">
        <v>imm-100t</v>
      </c>
      <c r="B373">
        <v>15.390625</v>
      </c>
      <c r="C373" t="str">
        <v/>
      </c>
    </row>
    <row r="374">
      <c r="A374" t="str">
        <v>imm-200t</v>
      </c>
      <c r="B374">
        <v>25.078125</v>
      </c>
      <c r="C374" t="str">
        <v/>
      </c>
    </row>
    <row r="375">
      <c r="A375" t="str">
        <v>imm-350t</v>
      </c>
      <c r="B375">
        <v>37.359375</v>
      </c>
      <c r="C375" t="str">
        <v/>
      </c>
    </row>
    <row r="376">
      <c r="A376" t="str">
        <v>imm-400t</v>
      </c>
      <c r="B376">
        <v>43.4375</v>
      </c>
      <c r="C376" t="str">
        <v/>
      </c>
    </row>
    <row r="377">
      <c r="A377" t="str">
        <v>imm-500t</v>
      </c>
      <c r="B377">
        <v>53.046875</v>
      </c>
      <c r="C377" t="str">
        <v/>
      </c>
    </row>
    <row r="378">
      <c r="A378" t="str">
        <v>imm-800t</v>
      </c>
      <c r="B378">
        <v>78.125</v>
      </c>
      <c r="C378" t="str">
        <v/>
      </c>
    </row>
    <row r="379">
      <c r="A379" t="str">
        <v>imm-1200t</v>
      </c>
      <c r="B379">
        <v>111.69871794871794</v>
      </c>
      <c r="C379" t="str">
        <v/>
      </c>
    </row>
    <row r="380">
      <c r="A380" t="str">
        <v>imm-2000t</v>
      </c>
      <c r="B380">
        <v>178.53618421052633</v>
      </c>
      <c r="C380" t="str">
        <v/>
      </c>
    </row>
    <row r="381">
      <c r="A381" t="str">
        <v>imm-3500t</v>
      </c>
      <c r="B381">
        <v>306.12331081081084</v>
      </c>
      <c r="C381" t="str">
        <v/>
      </c>
    </row>
    <row r="382">
      <c r="A382" t="str">
        <v>hpdc-500t</v>
      </c>
      <c r="B382">
        <v>52.472527472527474</v>
      </c>
      <c r="C382" t="str">
        <v/>
      </c>
    </row>
    <row r="383">
      <c r="A383" t="str">
        <v>hpdc-800t</v>
      </c>
      <c r="B383">
        <v>79.12087912087912</v>
      </c>
      <c r="C383" t="str">
        <v/>
      </c>
    </row>
    <row r="384">
      <c r="A384" t="str">
        <v>hpdc-1600t</v>
      </c>
      <c r="B384">
        <v>137.54578754578753</v>
      </c>
      <c r="C384" t="str">
        <v/>
      </c>
    </row>
    <row r="385">
      <c r="A385" t="str">
        <v>hpdc-giga-6100t</v>
      </c>
      <c r="B385">
        <v>423.4375</v>
      </c>
      <c r="C385" t="str">
        <v/>
      </c>
    </row>
    <row r="386">
      <c r="A386" t="str">
        <v>hpdc-giga-9000t</v>
      </c>
      <c r="B386">
        <v>636.71875</v>
      </c>
      <c r="C386" t="str">
        <v/>
      </c>
    </row>
    <row r="387">
      <c r="A387" t="str">
        <v>sand-cast-line</v>
      </c>
      <c r="B387">
        <v>31.666666666666668</v>
      </c>
      <c r="C387" t="str">
        <v/>
      </c>
    </row>
    <row r="388">
      <c r="A388" t="str">
        <v>hpdc-160t</v>
      </c>
      <c r="B388">
        <v>18.660714285714285</v>
      </c>
      <c r="C388" t="str">
        <v/>
      </c>
    </row>
    <row r="389">
      <c r="A389" t="str">
        <v>forge-press-500t</v>
      </c>
      <c r="B389">
        <v>54.80769230769231</v>
      </c>
      <c r="C389" t="str">
        <v/>
      </c>
    </row>
    <row r="390">
      <c r="A390" t="str">
        <v>forge-press-1600t</v>
      </c>
      <c r="B390">
        <v>97.52747252747253</v>
      </c>
      <c r="C390" t="str">
        <v/>
      </c>
    </row>
    <row r="391">
      <c r="A391" t="str">
        <v>forge-press-2500t</v>
      </c>
      <c r="B391">
        <v>139.28571428571428</v>
      </c>
      <c r="C391" t="str">
        <v/>
      </c>
    </row>
    <row r="392">
      <c r="A392" t="str">
        <v>forge-press-4000t</v>
      </c>
      <c r="B392">
        <v>208.7912087912088</v>
      </c>
      <c r="C392" t="str">
        <v/>
      </c>
    </row>
    <row r="393">
      <c r="A393" t="str">
        <v>forge-press-8000t</v>
      </c>
      <c r="B393">
        <v>404.76190476190476</v>
      </c>
      <c r="C393" t="str">
        <v/>
      </c>
    </row>
    <row r="394">
      <c r="A394" t="str">
        <v>forge-screw-1000t</v>
      </c>
      <c r="B394">
        <v>73.53479853479854</v>
      </c>
      <c r="C394" t="str">
        <v/>
      </c>
    </row>
    <row r="395">
      <c r="A395" t="str">
        <v>forge-upsetter-1000t</v>
      </c>
      <c r="B395">
        <v>59.15750915750916</v>
      </c>
      <c r="C395" t="str">
        <v/>
      </c>
    </row>
    <row r="396">
      <c r="A396" t="str">
        <v>forge-hammer-2t</v>
      </c>
      <c r="B396">
        <v>28.021978021978022</v>
      </c>
      <c r="C396" t="str">
        <v/>
      </c>
    </row>
    <row r="397">
      <c r="A397" t="str">
        <v>forge-hammer-5t</v>
      </c>
      <c r="B397">
        <v>46.29120879120879</v>
      </c>
      <c r="C397" t="str">
        <v/>
      </c>
    </row>
    <row r="398">
      <c r="A398" t="str">
        <v>forge-hammer-10t</v>
      </c>
      <c r="B398">
        <v>74.9084249084249</v>
      </c>
      <c r="C398" t="str">
        <v/>
      </c>
    </row>
    <row r="399">
      <c r="A399" t="str">
        <v>forge-ring-mill</v>
      </c>
      <c r="B399">
        <v>122.71062271062272</v>
      </c>
      <c r="C399" t="str">
        <v/>
      </c>
    </row>
    <row r="400">
      <c r="A400" t="str">
        <v>paint-line-std</v>
      </c>
      <c r="B400">
        <v>102.13414634146342</v>
      </c>
      <c r="C400" t="str">
        <v/>
      </c>
    </row>
    <row r="401">
      <c r="A401" t="str">
        <v>plating-line-barrel</v>
      </c>
      <c r="B401">
        <v>46.25</v>
      </c>
      <c r="C401" t="str">
        <v/>
      </c>
    </row>
    <row r="402">
      <c r="A402" t="str">
        <v>plating-line-rack</v>
      </c>
      <c r="B402">
        <v>67.3076923076923</v>
      </c>
      <c r="C402" t="str">
        <v/>
      </c>
    </row>
    <row r="403">
      <c r="A403" t="str">
        <v>blast-machine</v>
      </c>
      <c r="B403">
        <v>25.78125</v>
      </c>
      <c r="C403" t="str">
        <v/>
      </c>
    </row>
    <row r="404">
      <c r="A404" t="str">
        <v>mass-finish-bowl</v>
      </c>
      <c r="B404">
        <v>15.8</v>
      </c>
      <c r="C404" t="str">
        <v/>
      </c>
    </row>
    <row r="405">
      <c r="A405" t="str">
        <v>galvanising-kettle</v>
      </c>
      <c r="B405">
        <v>173.5</v>
      </c>
      <c r="C405" t="str">
        <v/>
      </c>
    </row>
    <row r="406">
      <c r="A406" t="str">
        <v>impregnation-plant</v>
      </c>
      <c r="B406">
        <v>25.384615384615383</v>
      </c>
      <c r="C406" t="str">
        <v/>
      </c>
    </row>
    <row r="407">
      <c r="A407" t="str">
        <v>robot-weld-station</v>
      </c>
      <c r="B407">
        <v>22.67530487804878</v>
      </c>
      <c r="C407" t="str">
        <v/>
      </c>
    </row>
    <row r="408">
      <c r="A408" t="str">
        <v>smt-line</v>
      </c>
      <c r="B408">
        <v>53.353658536585364</v>
      </c>
      <c r="C408" t="str">
        <v/>
      </c>
    </row>
    <row r="409">
      <c r="A409" t="str">
        <v>smt-high-speed-line</v>
      </c>
      <c r="B409">
        <v>150</v>
      </c>
      <c r="C409" t="str">
        <v/>
      </c>
    </row>
    <row r="410">
      <c r="A410" t="str">
        <v>laser-drill-75um</v>
      </c>
      <c r="B410">
        <v>120</v>
      </c>
      <c r="C410" t="str">
        <v/>
      </c>
    </row>
    <row r="411">
      <c r="A411" t="str">
        <v>xray-bga-inspection</v>
      </c>
      <c r="B411">
        <v>90</v>
      </c>
      <c r="C411" t="str">
        <v/>
      </c>
    </row>
    <row r="412">
      <c r="A412" t="str">
        <v>ict-automotive</v>
      </c>
      <c r="B412">
        <v>110.2439024390244</v>
      </c>
      <c r="C412" t="str">
        <v/>
      </c>
    </row>
    <row r="413">
      <c r="A413" t="str">
        <v>blow-ebm-100l</v>
      </c>
      <c r="B413">
        <v>21.6015625</v>
      </c>
      <c r="C413" t="str">
        <v/>
      </c>
    </row>
    <row r="414">
      <c r="A414" t="str">
        <v>blow-ebm-500l</v>
      </c>
      <c r="B414">
        <v>38.0078125</v>
      </c>
      <c r="C414" t="str">
        <v/>
      </c>
    </row>
    <row r="415">
      <c r="A415" t="str">
        <v>blow-ebm-2head</v>
      </c>
      <c r="B415">
        <v>25.228658536585368</v>
      </c>
      <c r="C415" t="str">
        <v/>
      </c>
    </row>
    <row r="416">
      <c r="A416" t="str">
        <v>blow-ebm-coex3</v>
      </c>
      <c r="B416">
        <v>48.55769230769231</v>
      </c>
      <c r="C416" t="str">
        <v/>
      </c>
    </row>
    <row r="417">
      <c r="A417" t="str">
        <v>blow-ebm-coex5</v>
      </c>
      <c r="B417">
        <v>80.16666666666667</v>
      </c>
      <c r="C417" t="str">
        <v/>
      </c>
    </row>
    <row r="418">
      <c r="A418" t="str">
        <v>blow-ebm-large</v>
      </c>
      <c r="B418">
        <v>61.607142857142854</v>
      </c>
      <c r="C418" t="str">
        <v/>
      </c>
    </row>
    <row r="419">
      <c r="A419" t="str">
        <v>blow-ibm-rotary</v>
      </c>
      <c r="B419">
        <v>39.54545454545455</v>
      </c>
      <c r="C419" t="str">
        <v/>
      </c>
    </row>
    <row r="420">
      <c r="A420" t="str">
        <v>blow-ibm-linear</v>
      </c>
      <c r="B420">
        <v>32.64705882352941</v>
      </c>
      <c r="C420" t="str">
        <v/>
      </c>
    </row>
    <row r="421">
      <c r="A421" t="str">
        <v>blow-sbm-1stage</v>
      </c>
      <c r="B421">
        <v>44.201388888888886</v>
      </c>
      <c r="C421" t="str">
        <v/>
      </c>
    </row>
    <row r="422">
      <c r="A422" t="str">
        <v>blow-sbm-2stage</v>
      </c>
      <c r="B422">
        <v>38.93518518518518</v>
      </c>
      <c r="C422" t="str">
        <v/>
      </c>
    </row>
    <row r="423">
      <c r="A423" t="str">
        <v>blow-deflash-trimmer</v>
      </c>
      <c r="B423">
        <v>11.727941176470589</v>
      </c>
      <c r="C423" t="str">
        <v/>
      </c>
    </row>
    <row r="424">
      <c r="A424" t="str">
        <v>extruder-75mm</v>
      </c>
      <c r="B424">
        <v>18.170731707317074</v>
      </c>
      <c r="C424" t="str">
        <v/>
      </c>
    </row>
    <row r="425">
      <c r="A425" t="str">
        <v>extruder-150mm</v>
      </c>
      <c r="B425">
        <v>55</v>
      </c>
      <c r="C425" t="str">
        <v/>
      </c>
    </row>
    <row r="426">
      <c r="A426" t="str">
        <v>extruder-pipe-line</v>
      </c>
      <c r="B426">
        <v>27.84313725490196</v>
      </c>
      <c r="C426" t="str">
        <v/>
      </c>
    </row>
    <row r="427">
      <c r="A427" t="str">
        <v>extruder-profile-line</v>
      </c>
      <c r="B427">
        <v>22.954545454545453</v>
      </c>
      <c r="C427" t="str">
        <v/>
      </c>
    </row>
    <row r="428">
      <c r="A428" t="str">
        <v>extruder-sheet-line</v>
      </c>
      <c r="B428">
        <v>51.6260162601626</v>
      </c>
      <c r="C428" t="str">
        <v/>
      </c>
    </row>
    <row r="429">
      <c r="A429" t="str">
        <v>extruder-cable-line</v>
      </c>
      <c r="B429">
        <v>22.081447963800905</v>
      </c>
      <c r="C429" t="str">
        <v/>
      </c>
    </row>
    <row r="430">
      <c r="A430" t="str">
        <v>extruder-coex-3</v>
      </c>
      <c r="B430">
        <v>64.79166666666667</v>
      </c>
      <c r="C430" t="str">
        <v/>
      </c>
    </row>
    <row r="431">
      <c r="A431" t="str">
        <v>extruder-micro-tube</v>
      </c>
      <c r="B431">
        <v>36</v>
      </c>
      <c r="C431" t="str">
        <v/>
      </c>
    </row>
    <row r="432">
      <c r="A432" t="str">
        <v>extrusion-finish-qa</v>
      </c>
      <c r="B432">
        <v>4.21875</v>
      </c>
      <c r="C432" t="str">
        <v/>
      </c>
    </row>
    <row r="433">
      <c r="A433" t="str">
        <v>extrusion-leak-test</v>
      </c>
      <c r="B433">
        <v>5.642857142857143</v>
      </c>
      <c r="C433" t="str">
        <v/>
      </c>
    </row>
    <row r="434">
      <c r="A434" t="str">
        <v>thermoform-small</v>
      </c>
      <c r="B434">
        <v>13.0859375</v>
      </c>
      <c r="C434" t="str">
        <v/>
      </c>
    </row>
    <row r="435">
      <c r="A435" t="str">
        <v>thermoform-large</v>
      </c>
      <c r="B435">
        <v>35.2515243902439</v>
      </c>
      <c r="C435" t="str">
        <v/>
      </c>
    </row>
    <row r="436">
      <c r="A436" t="str">
        <v>thermoform-pressure</v>
      </c>
      <c r="B436">
        <v>26.5625</v>
      </c>
      <c r="C436" t="str">
        <v/>
      </c>
    </row>
    <row r="437">
      <c r="A437" t="str">
        <v>thermoform-twinsheet</v>
      </c>
      <c r="B437">
        <v>50.48076923076923</v>
      </c>
      <c r="C437" t="str">
        <v/>
      </c>
    </row>
    <row r="438">
      <c r="A438" t="str">
        <v>thermoform-rollfed</v>
      </c>
      <c r="B438">
        <v>51.8235294117647</v>
      </c>
      <c r="C438" t="str">
        <v/>
      </c>
    </row>
    <row r="439">
      <c r="A439" t="str">
        <v>thermoform-oven</v>
      </c>
      <c r="B439">
        <v>10.9765625</v>
      </c>
      <c r="C439" t="str">
        <v/>
      </c>
    </row>
    <row r="440">
      <c r="A440" t="str">
        <v>thermoform-trim-router</v>
      </c>
      <c r="B440">
        <v>16.171875</v>
      </c>
      <c r="C440" t="str">
        <v/>
      </c>
    </row>
    <row r="441">
      <c r="A441" t="str">
        <v>rotomould-biaxial</v>
      </c>
      <c r="B441">
        <v>44.095238095238095</v>
      </c>
      <c r="C441" t="str">
        <v/>
      </c>
    </row>
    <row r="442">
      <c r="A442" t="str">
        <v>rotomould-lab-1arm</v>
      </c>
      <c r="B442">
        <v>19.560439560439562</v>
      </c>
      <c r="C442" t="str">
        <v/>
      </c>
    </row>
    <row r="443">
      <c r="A443" t="str">
        <v>rotomould-shuttle</v>
      </c>
      <c r="B443">
        <v>40.17857142857143</v>
      </c>
      <c r="C443" t="str">
        <v/>
      </c>
    </row>
    <row r="444">
      <c r="A444" t="str">
        <v>rotomould-rocknroll</v>
      </c>
      <c r="B444">
        <v>34.02777777777778</v>
      </c>
      <c r="C444" t="str">
        <v/>
      </c>
    </row>
    <row r="445">
      <c r="A445" t="str">
        <v>rotomould-carousel-4arm</v>
      </c>
      <c r="B445">
        <v>62.5</v>
      </c>
      <c r="C445" t="str">
        <v/>
      </c>
    </row>
    <row r="446">
      <c r="A446" t="str">
        <v>ultrasonic-welder</v>
      </c>
      <c r="B446">
        <v>5.46875</v>
      </c>
      <c r="C446" t="str">
        <v/>
      </c>
    </row>
    <row r="447">
      <c r="A447" t="str">
        <v>hot-plate-welder</v>
      </c>
      <c r="B447">
        <v>8.125</v>
      </c>
      <c r="C447" t="str">
        <v/>
      </c>
    </row>
    <row r="448">
      <c r="A448" t="str">
        <v>vibration-welder</v>
      </c>
      <c r="B448">
        <v>12.265625</v>
      </c>
      <c r="C448" t="str">
        <v/>
      </c>
    </row>
    <row r="449">
      <c r="A449" t="str">
        <v>laser-trumpf-3030</v>
      </c>
      <c r="B449">
        <v>85</v>
      </c>
      <c r="C449" t="str">
        <v/>
      </c>
    </row>
    <row r="450">
      <c r="A450" t="str">
        <v>laser-bystronic-3015</v>
      </c>
      <c r="B450">
        <v>70</v>
      </c>
      <c r="C450" t="str">
        <v/>
      </c>
    </row>
    <row r="451">
      <c r="A451" t="str">
        <v>punch-amada-emz3610</v>
      </c>
      <c r="B451">
        <v>65.2014652014652</v>
      </c>
      <c r="C451" t="str">
        <v/>
      </c>
    </row>
    <row r="452">
      <c r="A452" t="str">
        <v>punch-trumpf-5000</v>
      </c>
      <c r="B452">
        <v>76.92307692307692</v>
      </c>
      <c r="C452" t="str">
        <v/>
      </c>
    </row>
    <row r="453">
      <c r="A453" t="str">
        <v>brake-amada-hfe100</v>
      </c>
      <c r="B453">
        <v>55.23809523809524</v>
      </c>
      <c r="C453" t="str">
        <v/>
      </c>
    </row>
    <row r="454">
      <c r="A454" t="str">
        <v>brake-trumpf-5230</v>
      </c>
      <c r="B454">
        <v>70.0952380952381</v>
      </c>
      <c r="C454" t="str">
        <v/>
      </c>
    </row>
    <row r="455">
      <c r="A455" t="str">
        <v>press-schuler-400t</v>
      </c>
      <c r="B455">
        <v>150</v>
      </c>
      <c r="C455" t="str">
        <v/>
      </c>
    </row>
    <row r="456">
      <c r="A456" t="str">
        <v>press-aida-200t</v>
      </c>
      <c r="B456">
        <v>120.14652014652015</v>
      </c>
      <c r="C456" t="str">
        <v/>
      </c>
    </row>
    <row r="457">
      <c r="A457" t="str">
        <v>rollform-dimeco-20st</v>
      </c>
      <c r="B457">
        <v>111.25</v>
      </c>
      <c r="C457" t="str">
        <v/>
      </c>
    </row>
    <row r="458">
      <c r="A458" t="str">
        <v>robot-spotweld-kuka</v>
      </c>
      <c r="B458">
        <v>90</v>
      </c>
      <c r="C458" t="str">
        <v/>
      </c>
    </row>
    <row r="459">
      <c r="A459" t="str">
        <v>mig-welder-manual</v>
      </c>
      <c r="B459">
        <v>4.833333333333333</v>
      </c>
      <c r="C459" t="str">
        <v/>
      </c>
    </row>
    <row r="460">
      <c r="A460" t="str">
        <v>tig-welder-manual</v>
      </c>
      <c r="B460">
        <v>5.233333333333333</v>
      </c>
      <c r="C460" t="str">
        <v/>
      </c>
    </row>
    <row r="461">
      <c r="A461" t="str">
        <v>laser-trumpf-5030</v>
      </c>
      <c r="B461">
        <v>119.23076923076923</v>
      </c>
      <c r="C461" t="str">
        <v/>
      </c>
    </row>
    <row r="462">
      <c r="A462" t="str">
        <v>laser-amada-ensis-3015</v>
      </c>
      <c r="B462">
        <v>67.76315789473684</v>
      </c>
      <c r="C462" t="str">
        <v/>
      </c>
    </row>
    <row r="463">
      <c r="A463" t="str">
        <v>plasma-hypertherm-xpr300</v>
      </c>
      <c r="B463">
        <v>39.84375</v>
      </c>
      <c r="C463" t="str">
        <v/>
      </c>
    </row>
    <row r="464">
      <c r="A464" t="str">
        <v>plasma-kjellberg-hifocus280</v>
      </c>
      <c r="B464">
        <v>35.15625</v>
      </c>
      <c r="C464" t="str">
        <v/>
      </c>
    </row>
    <row r="465">
      <c r="A465" t="str">
        <v>waterjet-flow-mach500</v>
      </c>
      <c r="B465">
        <v>50</v>
      </c>
      <c r="C465" t="str">
        <v/>
      </c>
    </row>
    <row r="466">
      <c r="A466" t="str">
        <v>waterjet-omax-80x</v>
      </c>
      <c r="B466">
        <v>43.166666666666664</v>
      </c>
      <c r="C466" t="str">
        <v/>
      </c>
    </row>
    <row r="467">
      <c r="A467" t="str">
        <v>shear-hydraulic-3m</v>
      </c>
      <c r="B467">
        <v>14.464285714285714</v>
      </c>
      <c r="C467" t="str">
        <v/>
      </c>
    </row>
    <row r="468">
      <c r="A468" t="str">
        <v>shear-guillotine-6mm</v>
      </c>
      <c r="B468">
        <v>19.821428571428573</v>
      </c>
      <c r="C468" t="str">
        <v/>
      </c>
    </row>
    <row r="469">
      <c r="A469" t="str">
        <v>brake-amada-hfe170</v>
      </c>
      <c r="B469">
        <v>68.57142857142857</v>
      </c>
      <c r="C469" t="str">
        <v/>
      </c>
    </row>
    <row r="470">
      <c r="A470" t="str">
        <v>brake-trumpf-trubend3100</v>
      </c>
      <c r="B470">
        <v>51.42857142857143</v>
      </c>
      <c r="C470" t="str">
        <v/>
      </c>
    </row>
    <row r="471">
      <c r="A471" t="str">
        <v>brake-lvd-ppeb135</v>
      </c>
      <c r="B471">
        <v>59.42857142857143</v>
      </c>
      <c r="C471" t="str">
        <v/>
      </c>
    </row>
    <row r="472">
      <c r="A472" t="str">
        <v>spotweld-gun-manual</v>
      </c>
      <c r="B472">
        <v>6.875</v>
      </c>
      <c r="C472" t="str">
        <v/>
      </c>
    </row>
    <row r="473">
      <c r="A473" t="str">
        <v>robot-mig-cell</v>
      </c>
      <c r="B473">
        <v>67.6829268292683</v>
      </c>
      <c r="C473" t="str">
        <v/>
      </c>
    </row>
    <row r="474">
      <c r="A474" t="str">
        <v>compression-mould-std</v>
      </c>
      <c r="B474">
        <v>16.875</v>
      </c>
      <c r="C474" t="str">
        <v/>
      </c>
    </row>
    <row r="475">
      <c r="A475" t="str">
        <v>transfer-mould-std</v>
      </c>
      <c r="B475">
        <v>21.153846153846153</v>
      </c>
      <c r="C475" t="str">
        <v/>
      </c>
    </row>
    <row r="476">
      <c r="A476" t="str">
        <v>lsr-injection-machine</v>
      </c>
      <c r="B476">
        <v>27.3046875</v>
      </c>
      <c r="C476" t="str">
        <v/>
      </c>
    </row>
    <row r="477">
      <c r="A477" t="str">
        <v>cure-oven-rubber</v>
      </c>
      <c r="B477">
        <v>12.012195121951219</v>
      </c>
      <c r="C477" t="str">
        <v/>
      </c>
    </row>
    <row r="478">
      <c r="A478" t="str">
        <v>extruder-rubber-60mm</v>
      </c>
      <c r="B478">
        <v>12.09375</v>
      </c>
      <c r="C478" t="str">
        <v/>
      </c>
    </row>
    <row r="479">
      <c r="A479" t="str">
        <v>die-cut-press-rubber</v>
      </c>
      <c r="B479">
        <v>6.617647058823529</v>
      </c>
      <c r="C479" t="str">
        <v/>
      </c>
    </row>
    <row r="480">
      <c r="A480" t="str">
        <v>autoclave-1200mm</v>
      </c>
      <c r="B480">
        <v>63.392857142857146</v>
      </c>
      <c r="C480" t="str">
        <v/>
      </c>
    </row>
    <row r="481">
      <c r="A481" t="str">
        <v>oven-composite-cure</v>
      </c>
      <c r="B481">
        <v>19.533333333333335</v>
      </c>
      <c r="C481" t="str">
        <v/>
      </c>
    </row>
    <row r="482">
      <c r="A482" t="str">
        <v>rtm-press-std</v>
      </c>
      <c r="B482">
        <v>21.886446886446887</v>
      </c>
      <c r="C482" t="str">
        <v/>
      </c>
    </row>
    <row r="483">
      <c r="A483" t="str">
        <v>waterjet-5ax-composite</v>
      </c>
      <c r="B483">
        <v>31.791666666666668</v>
      </c>
      <c r="C483" t="str">
        <v/>
      </c>
    </row>
    <row r="484">
      <c r="A484" t="str">
        <v>mach-afp-atl</v>
      </c>
      <c r="B484">
        <v>280</v>
      </c>
      <c r="C484" t="str">
        <v/>
      </c>
    </row>
    <row r="485">
      <c r="A485" t="str">
        <v>harness-test-sys</v>
      </c>
      <c r="B485">
        <v>11.640625</v>
      </c>
      <c r="C485" t="str">
        <v/>
      </c>
    </row>
    <row r="486">
      <c r="A486" t="str">
        <v>mach-vmc3-cn</v>
      </c>
      <c r="B486">
        <v>10.095588235294118</v>
      </c>
      <c r="C486" t="str">
        <v/>
      </c>
    </row>
    <row r="487">
      <c r="A487" t="str">
        <v>mach-vmc3-in</v>
      </c>
      <c r="B487">
        <v>9.838235294117647</v>
      </c>
      <c r="C487" t="str">
        <v/>
      </c>
    </row>
    <row r="488">
      <c r="A488" t="str">
        <v>mach-vmc3-de</v>
      </c>
      <c r="B488">
        <v>16.29310344827586</v>
      </c>
      <c r="C488" t="str">
        <v/>
      </c>
    </row>
    <row r="489">
      <c r="A489" t="str">
        <v>mach-vmc3-pl</v>
      </c>
      <c r="B489">
        <v>11.367647058823529</v>
      </c>
      <c r="C489" t="str">
        <v/>
      </c>
    </row>
    <row r="490">
      <c r="A490" t="str">
        <v>mach-vmc3-mx</v>
      </c>
      <c r="B490">
        <v>10.338235294117647</v>
      </c>
      <c r="C490" t="str">
        <v/>
      </c>
    </row>
    <row r="491">
      <c r="A491" t="str">
        <v>imm-200t-cn</v>
      </c>
      <c r="B491">
        <v>10.91764705882353</v>
      </c>
      <c r="C491" t="str">
        <v/>
      </c>
    </row>
    <row r="492">
      <c r="A492" t="str">
        <v>imm-200t-in</v>
      </c>
      <c r="B492">
        <v>11.108433734939759</v>
      </c>
      <c r="C492" t="str">
        <v/>
      </c>
    </row>
    <row r="493">
      <c r="A493" t="str">
        <v>imm-200t-de</v>
      </c>
      <c r="B493">
        <v>21.085057471264367</v>
      </c>
      <c r="C493" t="str">
        <v/>
      </c>
    </row>
    <row r="494">
      <c r="A494" t="str">
        <v>imm-200t-pl</v>
      </c>
      <c r="B494">
        <v>13.604705882352942</v>
      </c>
      <c r="C494" t="str">
        <v/>
      </c>
    </row>
    <row r="495">
      <c r="A495" t="str">
        <v>imm-200t-mx</v>
      </c>
      <c r="B495">
        <v>11.628571428571428</v>
      </c>
      <c r="C495" t="str">
        <v/>
      </c>
    </row>
    <row r="496">
      <c r="A496" t="str">
        <v>hpdc-500t-cn</v>
      </c>
      <c r="B496">
        <v>28.84375</v>
      </c>
      <c r="C496" t="str">
        <v/>
      </c>
    </row>
    <row r="497">
      <c r="A497" t="str">
        <v>hpdc-500t-in</v>
      </c>
      <c r="B497">
        <v>29.246794871794872</v>
      </c>
      <c r="C497" t="str">
        <v/>
      </c>
    </row>
    <row r="498">
      <c r="A498" t="str">
        <v>hpdc-500t-mx</v>
      </c>
      <c r="B498">
        <v>30.296875</v>
      </c>
      <c r="C498" t="str">
        <v/>
      </c>
    </row>
    <row r="499">
      <c r="A499" t="str">
        <v>press-400t-cn</v>
      </c>
      <c r="B499">
        <v>19.451219512195124</v>
      </c>
      <c r="C499" t="str">
        <v/>
      </c>
    </row>
    <row r="500">
      <c r="A500" t="str">
        <v>press-400t-in</v>
      </c>
      <c r="B500">
        <v>19.625</v>
      </c>
      <c r="C500" t="str">
        <v/>
      </c>
    </row>
    <row r="501">
      <c r="A501" t="str">
        <v>press-400t-pl</v>
      </c>
      <c r="B501">
        <v>22.95731707317073</v>
      </c>
      <c r="C501" t="str">
        <v/>
      </c>
    </row>
    <row r="502">
      <c r="A502" t="str">
        <v>press-400t-mx</v>
      </c>
      <c r="B502">
        <v>20.548780487804876</v>
      </c>
      <c r="C502" t="str">
        <v/>
      </c>
    </row>
    <row r="503">
      <c r="A503" t="str">
        <v>bench-assembly-cn</v>
      </c>
      <c r="B503">
        <v>1.4592592592592593</v>
      </c>
      <c r="C503" t="str">
        <v/>
      </c>
    </row>
    <row r="504">
      <c r="A504" t="str">
        <v>bench-assembly-in</v>
      </c>
      <c r="B504">
        <v>1.3580246913580247</v>
      </c>
      <c r="C504" t="str">
        <v/>
      </c>
    </row>
    <row r="505">
      <c r="A505" t="str">
        <v>bench-assembly-mx</v>
      </c>
      <c r="B505">
        <v>1.5407407407407407</v>
      </c>
      <c r="C505" t="str">
        <v/>
      </c>
    </row>
    <row r="506">
      <c r="A506" t="str">
        <v>bench-assembly-vn</v>
      </c>
      <c r="B506">
        <v>1.1689311594202898</v>
      </c>
      <c r="C506" t="str">
        <v/>
      </c>
    </row>
    <row r="507">
      <c r="A507" t="str">
        <v>bench-assembly-pl</v>
      </c>
      <c r="B507">
        <v>1.7837037037037038</v>
      </c>
      <c r="C507" t="str">
        <v/>
      </c>
    </row>
    <row r="508">
      <c r="A508" t="str">
        <v>lab-uk-skilled</v>
      </c>
      <c r="B508">
        <v>26</v>
      </c>
      <c r="C508" t="str">
        <v/>
      </c>
    </row>
    <row r="509">
      <c r="A509" t="str">
        <v>lab-uk-semiskilled</v>
      </c>
      <c r="B509">
        <v>19.8</v>
      </c>
      <c r="C509" t="str">
        <v/>
      </c>
    </row>
    <row r="510">
      <c r="A510" t="str">
        <v>lab-uk-engineer</v>
      </c>
      <c r="B510">
        <v>42.5</v>
      </c>
      <c r="C510" t="str">
        <v/>
      </c>
    </row>
    <row r="511">
      <c r="A511" t="str">
        <v>lab-in-skilled</v>
      </c>
      <c r="B511">
        <v>5.1</v>
      </c>
      <c r="C511" t="str">
        <v/>
      </c>
    </row>
    <row r="512">
      <c r="A512" t="str">
        <v>lab-cn-skilled</v>
      </c>
      <c r="B512">
        <v>7.9</v>
      </c>
      <c r="C512" t="str">
        <v/>
      </c>
    </row>
    <row r="513">
      <c r="A513" t="str">
        <v>lab-uk-foundry</v>
      </c>
      <c r="B513">
        <v>18.5</v>
      </c>
      <c r="C513" t="str">
        <v/>
      </c>
    </row>
    <row r="514">
      <c r="A514" t="str">
        <v>lab-uk-inspector</v>
      </c>
      <c r="B514">
        <v>27.5</v>
      </c>
      <c r="C514" t="str">
        <v/>
      </c>
    </row>
    <row r="515">
      <c r="A515" t="str">
        <v>lab-uk-technician</v>
      </c>
      <c r="B515">
        <v>28.6</v>
      </c>
      <c r="C515" t="str">
        <v/>
      </c>
    </row>
    <row r="516">
      <c r="A516" t="str">
        <v>lab-uk-supervisor</v>
      </c>
      <c r="B516">
        <v>35.1</v>
      </c>
      <c r="C516" t="str">
        <v/>
      </c>
    </row>
    <row r="517">
      <c r="A517" t="str">
        <v>lab-uk-forge</v>
      </c>
      <c r="B517">
        <v>24</v>
      </c>
      <c r="C517" t="str">
        <v/>
      </c>
    </row>
    <row r="518">
      <c r="A518" t="str">
        <v>lab-uk-furnace</v>
      </c>
      <c r="B518">
        <v>22</v>
      </c>
      <c r="C518" t="str">
        <v/>
      </c>
    </row>
    <row r="519">
      <c r="A519" t="str">
        <v>lab-uk-blow</v>
      </c>
      <c r="B519">
        <v>20.5</v>
      </c>
      <c r="C519" t="str">
        <v/>
      </c>
    </row>
    <row r="520">
      <c r="A520" t="str">
        <v>lab-uk-roto</v>
      </c>
      <c r="B520">
        <v>20</v>
      </c>
      <c r="C520" t="str">
        <v/>
      </c>
    </row>
    <row r="521">
      <c r="A521" t="str">
        <v>lab-uk-thermoform</v>
      </c>
      <c r="B521">
        <v>19.5</v>
      </c>
      <c r="C521" t="str">
        <v/>
      </c>
    </row>
    <row r="522">
      <c r="A522" t="str">
        <v>lab-uk-trim-router</v>
      </c>
      <c r="B522">
        <v>22.5</v>
      </c>
      <c r="C522" t="str">
        <v/>
      </c>
    </row>
    <row r="523">
      <c r="A523" t="str">
        <v>lab-de-skilled</v>
      </c>
      <c r="B523">
        <v>40.5</v>
      </c>
      <c r="C523" t="str">
        <v/>
      </c>
    </row>
    <row r="524">
      <c r="A524" t="str">
        <v>lab-pl-skilled</v>
      </c>
      <c r="B524">
        <v>12</v>
      </c>
      <c r="C524" t="str">
        <v/>
      </c>
    </row>
    <row r="525">
      <c r="A525" t="str">
        <v>lab-mx-skilled</v>
      </c>
      <c r="B525">
        <v>7.5</v>
      </c>
      <c r="C525" t="str">
        <v/>
      </c>
    </row>
    <row r="526">
      <c r="A526" t="str">
        <v>lab-uk-electronics</v>
      </c>
      <c r="B526">
        <v>17.5</v>
      </c>
      <c r="C526" t="str">
        <v/>
      </c>
    </row>
    <row r="527">
      <c r="A527" t="str">
        <v>lab-de-semiskilled</v>
      </c>
      <c r="B527">
        <v>32</v>
      </c>
      <c r="C527" t="str">
        <v/>
      </c>
    </row>
    <row r="528">
      <c r="A528" t="str">
        <v>lab-de-foundry</v>
      </c>
      <c r="B528">
        <v>35</v>
      </c>
      <c r="C528" t="str">
        <v/>
      </c>
    </row>
    <row r="529">
      <c r="A529" t="str">
        <v>lab-de-electronics</v>
      </c>
      <c r="B529">
        <v>30</v>
      </c>
      <c r="C529" t="str">
        <v/>
      </c>
    </row>
    <row r="530">
      <c r="A530" t="str">
        <v>lab-de-engineer</v>
      </c>
      <c r="B530">
        <v>65</v>
      </c>
      <c r="C530" t="str">
        <v/>
      </c>
    </row>
    <row r="531">
      <c r="A531" t="str">
        <v>lab-pl-semiskilled</v>
      </c>
      <c r="B531">
        <v>9</v>
      </c>
      <c r="C531" t="str">
        <v/>
      </c>
    </row>
    <row r="532">
      <c r="A532" t="str">
        <v>lab-pl-electronics</v>
      </c>
      <c r="B532">
        <v>10.5</v>
      </c>
      <c r="C532" t="str">
        <v/>
      </c>
    </row>
    <row r="533">
      <c r="A533" t="str">
        <v>lab-pl-foundry</v>
      </c>
      <c r="B533">
        <v>10</v>
      </c>
      <c r="C533" t="str">
        <v/>
      </c>
    </row>
    <row r="534">
      <c r="A534" t="str">
        <v>lab-cn-semiskilled</v>
      </c>
      <c r="B534">
        <v>5.5</v>
      </c>
      <c r="C534" t="str">
        <v/>
      </c>
    </row>
    <row r="535">
      <c r="A535" t="str">
        <v>lab-cn-electronics</v>
      </c>
      <c r="B535">
        <v>6.5</v>
      </c>
      <c r="C535" t="str">
        <v/>
      </c>
    </row>
    <row r="536">
      <c r="A536" t="str">
        <v>lab-cn-engineer</v>
      </c>
      <c r="B536">
        <v>18</v>
      </c>
      <c r="C536" t="str">
        <v/>
      </c>
    </row>
    <row r="537">
      <c r="A537" t="str">
        <v>lab-in-semiskilled</v>
      </c>
      <c r="B537">
        <v>3.5</v>
      </c>
      <c r="C537" t="str">
        <v/>
      </c>
    </row>
    <row r="538">
      <c r="A538" t="str">
        <v>lab-in-electronics</v>
      </c>
      <c r="B538">
        <v>4.5</v>
      </c>
      <c r="C538" t="str">
        <v/>
      </c>
    </row>
    <row r="539">
      <c r="A539" t="str">
        <v>lab-in-engineer</v>
      </c>
      <c r="B539">
        <v>12</v>
      </c>
      <c r="C539" t="str">
        <v/>
      </c>
    </row>
    <row r="540">
      <c r="A540" t="str">
        <v>lab-mx-semiskilled</v>
      </c>
      <c r="B540">
        <v>5.8</v>
      </c>
      <c r="C540" t="str">
        <v/>
      </c>
    </row>
    <row r="541">
      <c r="A541" t="str">
        <v>lab-mx-electronics</v>
      </c>
      <c r="B541">
        <v>6.5</v>
      </c>
      <c r="C541" t="str">
        <v/>
      </c>
    </row>
    <row r="542">
      <c r="A542" t="str">
        <v>lab-tr-skilled</v>
      </c>
      <c r="B542">
        <v>8.5</v>
      </c>
      <c r="C542" t="str">
        <v/>
      </c>
    </row>
    <row r="543">
      <c r="A543" t="str">
        <v>lab-tr-semiskilled</v>
      </c>
      <c r="B543">
        <v>6</v>
      </c>
      <c r="C543" t="str">
        <v/>
      </c>
    </row>
    <row r="544">
      <c r="A544" t="str">
        <v>lab-vn-skilled</v>
      </c>
      <c r="B544">
        <v>4</v>
      </c>
      <c r="C544" t="str">
        <v/>
      </c>
    </row>
    <row r="545">
      <c r="A545" t="str">
        <v>lab-vn-semiskilled</v>
      </c>
      <c r="B545">
        <v>2.8</v>
      </c>
      <c r="C545" t="str">
        <v/>
      </c>
    </row>
    <row r="546">
      <c r="A546" t="str">
        <v>lab-kr-skilled</v>
      </c>
      <c r="B546">
        <v>22</v>
      </c>
      <c r="C546" t="str">
        <v/>
      </c>
    </row>
    <row r="547">
      <c r="A547" t="str">
        <v>lab-kr-electronics</v>
      </c>
      <c r="B547">
        <v>18.5</v>
      </c>
      <c r="C547" t="str">
        <v/>
      </c>
    </row>
    <row r="548">
      <c r="A548" t="str">
        <v>lab-ro-skilled</v>
      </c>
      <c r="B548">
        <v>8</v>
      </c>
      <c r="C548" t="str">
        <v/>
      </c>
    </row>
    <row r="549">
      <c r="A549" t="str">
        <v>lab-ro-semiskilled</v>
      </c>
      <c r="B549">
        <v>6.5</v>
      </c>
      <c r="C549" t="str">
        <v/>
      </c>
    </row>
  </sheetData>
  <ignoredErrors>
    <ignoredError numberStoredAsText="1" sqref="A1:C549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L329"/>
  <sheetViews>
    <sheetView workbookViewId="0"/>
  </sheetViews>
  <cols>
    <col min="1" max="1" width="22.83203125" customWidth="1"/>
    <col min="2" max="2" width="24.83203125" customWidth="1"/>
    <col min="3" max="3" width="16.83203125" customWidth="1"/>
    <col min="4" max="4" width="12.83203125" customWidth="1"/>
    <col min="5" max="5" width="22.83203125" customWidth="1"/>
    <col min="6" max="6" width="14.83203125" customWidth="1"/>
    <col min="7" max="7" width="10.83203125" customWidth="1"/>
    <col min="8" max="8" width="14.83203125" customWidth="1"/>
    <col min="9" max="9" width="36.83203125" customWidth="1"/>
    <col min="10" max="10" width="12.83203125" customWidth="1"/>
    <col min="11" max="11" width="16.83203125" customWidth="1"/>
    <col min="12" max="12" width="16.83203125" customWidth="1"/>
  </cols>
  <sheetData>
    <row r="1">
      <c r="A1" t="str">
        <v>id</v>
      </c>
      <c r="B1" t="str">
        <v>grade</v>
      </c>
      <c r="C1" t="str">
        <v>category</v>
      </c>
      <c r="D1" t="str">
        <v>pricePerKg</v>
      </c>
      <c r="E1" t="str">
        <v>scrapRecoveryPricePerKg</v>
      </c>
      <c r="F1" t="str">
        <v>densityKgPerM3</v>
      </c>
      <c r="G1" t="str">
        <v>region</v>
      </c>
      <c r="H1" t="str">
        <v>effectiveDate</v>
      </c>
      <c r="I1" t="str">
        <v>sourceNote</v>
      </c>
      <c r="J1" t="str">
        <v>confidence</v>
      </c>
      <c r="K1" t="str">
        <v>JLR price found</v>
      </c>
      <c r="L1" t="str">
        <v>JLR scrap found</v>
      </c>
    </row>
    <row r="2">
      <c r="A2" t="str">
        <v>mat-al6061</v>
      </c>
      <c r="B2" t="str">
        <v>6061-T6</v>
      </c>
      <c r="C2" t="str">
        <v>Aluminium</v>
      </c>
      <c r="D2">
        <f>IF($K2&gt;0,$K2,3.62)</f>
        <v>3.62</v>
      </c>
      <c r="E2">
        <f>IF($L2&gt;0,$L2,0.55)</f>
        <v>0.55</v>
      </c>
      <c r="F2">
        <v>2700</v>
      </c>
      <c r="G2" t="str">
        <v>UK</v>
      </c>
      <c r="H2" t="str">
        <v>2026-07</v>
      </c>
      <c r="I2" t="str">
        <v>LME + UK processor premium, Jun 2026. Index-anchored 2026-07 refresh.</v>
      </c>
      <c r="J2" t="str">
        <v>Medium</v>
      </c>
      <c r="K2">
        <f>IFERROR(IF(OR(INDEX(Mapping!$C:$C,MATCH($A2,Mapping!$A:$A,0))="",INDEX(JLRrates!$C:$C,MATCH(INDEX(Mapping!$C:$C,MATCH($A2,Mapping!$A:$A,0)),JLRrates!$B:$B,0))=""),0,INDEX(JLRrates!$C:$C,MATCH(INDEX(Mapping!$C:$C,MATCH($A2,Mapping!$A:$A,0)),JLRrates!$B:$B,0))),0)</f>
        <v>0</v>
      </c>
      <c r="L2">
        <f>IFERROR(IF(OR(INDEX(Mapping!$C:$C,MATCH($A2,Mapping!$A:$A,0))="",INDEX(JLRrates!$D:$D,MATCH(INDEX(Mapping!$C:$C,MATCH($A2,Mapping!$A:$A,0)),JLRrates!$B:$B,0))=""),0,INDEX(JLRrates!$D:$D,MATCH(INDEX(Mapping!$C:$C,MATCH($A2,Mapping!$A:$A,0)),JLRrates!$B:$B,0))),0)</f>
        <v>0</v>
      </c>
    </row>
    <row r="3">
      <c r="A3" t="str">
        <v>mat-steel1045</v>
      </c>
      <c r="B3" t="str">
        <v>1045 / C45 / 080M46 (Medium-Carbon Steel)</v>
      </c>
      <c r="C3" t="str">
        <v>Carbon Steel</v>
      </c>
      <c r="D3">
        <f>IF($K3&gt;0,$K3,0.95)</f>
        <v>0.95</v>
      </c>
      <c r="E3">
        <f>IF($L3&gt;0,$L3,0.22)</f>
        <v>0.22</v>
      </c>
      <c r="F3">
        <v>7850</v>
      </c>
      <c r="G3" t="str">
        <v>UK</v>
      </c>
      <c r="H3" t="str">
        <v>2026-07</v>
      </c>
      <c r="I3" t="str">
        <v>UK steel stockholder, Jun 2026. Index-anchored 2026-07 refresh.</v>
      </c>
      <c r="J3" t="str">
        <v>Medium</v>
      </c>
      <c r="K3">
        <f>IFERROR(IF(OR(INDEX(Mapping!$C:$C,MATCH($A3,Mapping!$A:$A,0))="",INDEX(JLRrates!$C:$C,MATCH(INDEX(Mapping!$C:$C,MATCH($A3,Mapping!$A:$A,0)),JLRrates!$B:$B,0))=""),0,INDEX(JLRrates!$C:$C,MATCH(INDEX(Mapping!$C:$C,MATCH($A3,Mapping!$A:$A,0)),JLRrates!$B:$B,0))),0)</f>
        <v>0</v>
      </c>
      <c r="L3">
        <f>IFERROR(IF(OR(INDEX(Mapping!$C:$C,MATCH($A3,Mapping!$A:$A,0))="",INDEX(JLRrates!$D:$D,MATCH(INDEX(Mapping!$C:$C,MATCH($A3,Mapping!$A:$A,0)),JLRrates!$B:$B,0))=""),0,INDEX(JLRrates!$D:$D,MATCH(INDEX(Mapping!$C:$C,MATCH($A3,Mapping!$A:$A,0)),JLRrates!$B:$B,0))),0)</f>
        <v>0</v>
      </c>
    </row>
    <row r="4">
      <c r="A4" t="str">
        <v>mat-ss316l</v>
      </c>
      <c r="B4" t="str">
        <v>316L</v>
      </c>
      <c r="C4" t="str">
        <v>Stainless Steel</v>
      </c>
      <c r="D4">
        <f>IF($K4&gt;0,$K4,3.82)</f>
        <v>3.82</v>
      </c>
      <c r="E4">
        <f>IF($L4&gt;0,$L4,0.85)</f>
        <v>0.85</v>
      </c>
      <c r="F4">
        <v>7990</v>
      </c>
      <c r="G4" t="str">
        <v>UK</v>
      </c>
      <c r="H4" t="str">
        <v>2026-07</v>
      </c>
      <c r="I4" t="str">
        <v>UK stainless distributor, Jun 2026. Index-anchored 2026-07 refresh.</v>
      </c>
      <c r="J4" t="str">
        <v>Medium</v>
      </c>
      <c r="K4">
        <f>IFERROR(IF(OR(INDEX(Mapping!$C:$C,MATCH($A4,Mapping!$A:$A,0))="",INDEX(JLRrates!$C:$C,MATCH(INDEX(Mapping!$C:$C,MATCH($A4,Mapping!$A:$A,0)),JLRrates!$B:$B,0))=""),0,INDEX(JLRrates!$C:$C,MATCH(INDEX(Mapping!$C:$C,MATCH($A4,Mapping!$A:$A,0)),JLRrates!$B:$B,0))),0)</f>
        <v>0</v>
      </c>
      <c r="L4">
        <f>IFERROR(IF(OR(INDEX(Mapping!$C:$C,MATCH($A4,Mapping!$A:$A,0))="",INDEX(JLRrates!$D:$D,MATCH(INDEX(Mapping!$C:$C,MATCH($A4,Mapping!$A:$A,0)),JLRrates!$B:$B,0))=""),0,INDEX(JLRrates!$D:$D,MATCH(INDEX(Mapping!$C:$C,MATCH($A4,Mapping!$A:$A,0)),JLRrates!$B:$B,0))),0)</f>
        <v>0</v>
      </c>
    </row>
    <row r="5">
      <c r="A5" t="str">
        <v>mat-steel4140</v>
      </c>
      <c r="B5" t="str">
        <v>4140 / 42CrMo4 / EN19 (Chromoly Alloy Steel)</v>
      </c>
      <c r="C5" t="str">
        <v>Alloy Steel</v>
      </c>
      <c r="D5">
        <f>IF($K5&gt;0,$K5,1.21)</f>
        <v>1.21</v>
      </c>
      <c r="E5">
        <f>IF($L5&gt;0,$L5,0.22)</f>
        <v>0.22</v>
      </c>
      <c r="F5">
        <v>7850</v>
      </c>
      <c r="G5" t="str">
        <v>UK</v>
      </c>
      <c r="H5" t="str">
        <v>2026-07</v>
      </c>
      <c r="I5" t="str">
        <v>UK steel stockholder, Jun 2026. Index-anchored 2026-07 refresh.</v>
      </c>
      <c r="J5" t="str">
        <v>Medium</v>
      </c>
      <c r="K5">
        <f>IFERROR(IF(OR(INDEX(Mapping!$C:$C,MATCH($A5,Mapping!$A:$A,0))="",INDEX(JLRrates!$C:$C,MATCH(INDEX(Mapping!$C:$C,MATCH($A5,Mapping!$A:$A,0)),JLRrates!$B:$B,0))=""),0,INDEX(JLRrates!$C:$C,MATCH(INDEX(Mapping!$C:$C,MATCH($A5,Mapping!$A:$A,0)),JLRrates!$B:$B,0))),0)</f>
        <v>0</v>
      </c>
      <c r="L5">
        <f>IFERROR(IF(OR(INDEX(Mapping!$C:$C,MATCH($A5,Mapping!$A:$A,0))="",INDEX(JLRrates!$D:$D,MATCH(INDEX(Mapping!$C:$C,MATCH($A5,Mapping!$A:$A,0)),JLRrates!$B:$B,0))=""),0,INDEX(JLRrates!$D:$D,MATCH(INDEX(Mapping!$C:$C,MATCH($A5,Mapping!$A:$A,0)),JLRrates!$B:$B,0))),0)</f>
        <v>0</v>
      </c>
    </row>
    <row r="6">
      <c r="A6" t="str">
        <v>mat-ti6al4v</v>
      </c>
      <c r="B6" t="str">
        <v>Ti-6Al-4V</v>
      </c>
      <c r="C6" t="str">
        <v>Titanium</v>
      </c>
      <c r="D6">
        <f>IF($K6&gt;0,$K6,47.5)</f>
        <v>47.5</v>
      </c>
      <c r="E6">
        <f>IF($L6&gt;0,$L6,16)</f>
        <v>16</v>
      </c>
      <c r="F6">
        <v>4430</v>
      </c>
      <c r="G6" t="str">
        <v>UK</v>
      </c>
      <c r="H6" t="str">
        <v>2026-07</v>
      </c>
      <c r="I6" t="str">
        <v>Titanium distributor UK, Jun 2026. Index-anchored 2026-07 refresh.</v>
      </c>
      <c r="J6" t="str">
        <v>Low</v>
      </c>
      <c r="K6">
        <f>IFERROR(IF(OR(INDEX(Mapping!$C:$C,MATCH($A6,Mapping!$A:$A,0))="",INDEX(JLRrates!$C:$C,MATCH(INDEX(Mapping!$C:$C,MATCH($A6,Mapping!$A:$A,0)),JLRrates!$B:$B,0))=""),0,INDEX(JLRrates!$C:$C,MATCH(INDEX(Mapping!$C:$C,MATCH($A6,Mapping!$A:$A,0)),JLRrates!$B:$B,0))),0)</f>
        <v>0</v>
      </c>
      <c r="L6">
        <f>IFERROR(IF(OR(INDEX(Mapping!$C:$C,MATCH($A6,Mapping!$A:$A,0))="",INDEX(JLRrates!$D:$D,MATCH(INDEX(Mapping!$C:$C,MATCH($A6,Mapping!$A:$A,0)),JLRrates!$B:$B,0))=""),0,INDEX(JLRrates!$D:$D,MATCH(INDEX(Mapping!$C:$C,MATCH($A6,Mapping!$A:$A,0)),JLRrates!$B:$B,0))),0)</f>
        <v>0</v>
      </c>
    </row>
    <row r="7">
      <c r="A7" t="str">
        <v>mat-virtual</v>
      </c>
      <c r="B7" t="str">
        <v>Virtual / Pass-through</v>
      </c>
      <c r="C7" t="str">
        <v>Virtual</v>
      </c>
      <c r="D7">
        <f>IF($K7&gt;0,$K7,1)</f>
        <v>1</v>
      </c>
      <c r="E7">
        <f>IF($L7&gt;0,$L7,0)</f>
        <v>0</v>
      </c>
      <c r="F7">
        <v>1000</v>
      </c>
      <c r="G7" t="str">
        <v>UK</v>
      </c>
      <c r="H7" t="str">
        <v>2026-06-14</v>
      </c>
      <c r="I7" t="str">
        <v>Placeholder for directCost modules (painting, BIW, PCB, PCBA). Price is irrelevant — directCost overrides.</v>
      </c>
      <c r="J7" t="str">
        <v>Medium</v>
      </c>
      <c r="K7">
        <f>IFERROR(IF(OR(INDEX(Mapping!$C:$C,MATCH($A7,Mapping!$A:$A,0))="",INDEX(JLRrates!$C:$C,MATCH(INDEX(Mapping!$C:$C,MATCH($A7,Mapping!$A:$A,0)),JLRrates!$B:$B,0))=""),0,INDEX(JLRrates!$C:$C,MATCH(INDEX(Mapping!$C:$C,MATCH($A7,Mapping!$A:$A,0)),JLRrates!$B:$B,0))),0)</f>
        <v>0</v>
      </c>
      <c r="L7">
        <f>IFERROR(IF(OR(INDEX(Mapping!$C:$C,MATCH($A7,Mapping!$A:$A,0))="",INDEX(JLRrates!$D:$D,MATCH(INDEX(Mapping!$C:$C,MATCH($A7,Mapping!$A:$A,0)),JLRrates!$B:$B,0))=""),0,INDEX(JLRrates!$D:$D,MATCH(INDEX(Mapping!$C:$C,MATCH($A7,Mapping!$A:$A,0)),JLRrates!$B:$B,0))),0)</f>
        <v>0</v>
      </c>
    </row>
    <row r="8">
      <c r="A8" t="str">
        <v>mat-en8</v>
      </c>
      <c r="B8" t="str">
        <v>EN8 / 080M40 (Medium Carbon)</v>
      </c>
      <c r="C8" t="str">
        <v>Carbon Steel</v>
      </c>
      <c r="D8">
        <f>IF($K8&gt;0,$K8,0.98)</f>
        <v>0.98</v>
      </c>
      <c r="E8">
        <f>IF($L8&gt;0,$L8,0.22)</f>
        <v>0.22</v>
      </c>
      <c r="F8">
        <v>7850</v>
      </c>
      <c r="G8" t="str">
        <v>UK</v>
      </c>
      <c r="H8" t="str">
        <v>2026-07</v>
      </c>
      <c r="I8" t="str">
        <v>Index-anchored 2026-07 refresh. General medium-carbon machining bar — shafts, studs, general engineering.</v>
      </c>
      <c r="J8" t="str">
        <v>Medium</v>
      </c>
      <c r="K8">
        <f>IFERROR(IF(OR(INDEX(Mapping!$C:$C,MATCH($A8,Mapping!$A:$A,0))="",INDEX(JLRrates!$C:$C,MATCH(INDEX(Mapping!$C:$C,MATCH($A8,Mapping!$A:$A,0)),JLRrates!$B:$B,0))=""),0,INDEX(JLRrates!$C:$C,MATCH(INDEX(Mapping!$C:$C,MATCH($A8,Mapping!$A:$A,0)),JLRrates!$B:$B,0))),0)</f>
        <v>0</v>
      </c>
      <c r="L8">
        <f>IFERROR(IF(OR(INDEX(Mapping!$C:$C,MATCH($A8,Mapping!$A:$A,0))="",INDEX(JLRrates!$D:$D,MATCH(INDEX(Mapping!$C:$C,MATCH($A8,Mapping!$A:$A,0)),JLRrates!$B:$B,0))=""),0,INDEX(JLRrates!$D:$D,MATCH(INDEX(Mapping!$C:$C,MATCH($A8,Mapping!$A:$A,0)),JLRrates!$B:$B,0))),0)</f>
        <v>0</v>
      </c>
    </row>
    <row r="9">
      <c r="A9" t="str">
        <v>mat-ss304-bar</v>
      </c>
      <c r="B9" t="str">
        <v>304 Stainless Bar</v>
      </c>
      <c r="C9" t="str">
        <v>Stainless Steel</v>
      </c>
      <c r="D9">
        <f>IF($K9&gt;0,$K9,3.4)</f>
        <v>3.4</v>
      </c>
      <c r="E9">
        <f>IF($L9&gt;0,$L9,0.8)</f>
        <v>0.8</v>
      </c>
      <c r="F9">
        <v>8000</v>
      </c>
      <c r="G9" t="str">
        <v>UK</v>
      </c>
      <c r="H9" t="str">
        <v>2026-07</v>
      </c>
      <c r="I9" t="str">
        <v>Index-anchored 2026-07 refresh. General austenitic machining bar — fittings, shafts, food/chemical.</v>
      </c>
      <c r="J9" t="str">
        <v>Medium</v>
      </c>
      <c r="K9">
        <f>IFERROR(IF(OR(INDEX(Mapping!$C:$C,MATCH($A9,Mapping!$A:$A,0))="",INDEX(JLRrates!$C:$C,MATCH(INDEX(Mapping!$C:$C,MATCH($A9,Mapping!$A:$A,0)),JLRrates!$B:$B,0))=""),0,INDEX(JLRrates!$C:$C,MATCH(INDEX(Mapping!$C:$C,MATCH($A9,Mapping!$A:$A,0)),JLRrates!$B:$B,0))),0)</f>
        <v>0</v>
      </c>
      <c r="L9">
        <f>IFERROR(IF(OR(INDEX(Mapping!$C:$C,MATCH($A9,Mapping!$A:$A,0))="",INDEX(JLRrates!$D:$D,MATCH(INDEX(Mapping!$C:$C,MATCH($A9,Mapping!$A:$A,0)),JLRrates!$B:$B,0))=""),0,INDEX(JLRrates!$D:$D,MATCH(INDEX(Mapping!$C:$C,MATCH($A9,Mapping!$A:$A,0)),JLRrates!$B:$B,0))),0)</f>
        <v>0</v>
      </c>
    </row>
    <row r="10">
      <c r="A10" t="str">
        <v>mat-ss303</v>
      </c>
      <c r="B10" t="str">
        <v>303 Free-Machining Stainless Bar</v>
      </c>
      <c r="C10" t="str">
        <v>Stainless Steel</v>
      </c>
      <c r="D10">
        <f>IF($K10&gt;0,$K10,3.7)</f>
        <v>3.7</v>
      </c>
      <c r="E10">
        <f>IF($L10&gt;0,$L10,0.8)</f>
        <v>0.8</v>
      </c>
      <c r="F10">
        <v>8000</v>
      </c>
      <c r="G10" t="str">
        <v>UK</v>
      </c>
      <c r="H10" t="str">
        <v>2026-07</v>
      </c>
      <c r="I10" t="str">
        <v>Index-anchored 2026-07 refresh. Sulphur-added free-machining austenitic — high-volume turned parts, fasteners.</v>
      </c>
      <c r="J10" t="str">
        <v>Medium</v>
      </c>
      <c r="K10">
        <f>IFERROR(IF(OR(INDEX(Mapping!$C:$C,MATCH($A10,Mapping!$A:$A,0))="",INDEX(JLRrates!$C:$C,MATCH(INDEX(Mapping!$C:$C,MATCH($A10,Mapping!$A:$A,0)),JLRrates!$B:$B,0))=""),0,INDEX(JLRrates!$C:$C,MATCH(INDEX(Mapping!$C:$C,MATCH($A10,Mapping!$A:$A,0)),JLRrates!$B:$B,0))),0)</f>
        <v>0</v>
      </c>
      <c r="L10">
        <f>IFERROR(IF(OR(INDEX(Mapping!$C:$C,MATCH($A10,Mapping!$A:$A,0))="",INDEX(JLRrates!$D:$D,MATCH(INDEX(Mapping!$C:$C,MATCH($A10,Mapping!$A:$A,0)),JLRrates!$B:$B,0))=""),0,INDEX(JLRrates!$D:$D,MATCH(INDEX(Mapping!$C:$C,MATCH($A10,Mapping!$A:$A,0)),JLRrates!$B:$B,0))),0)</f>
        <v>0</v>
      </c>
    </row>
    <row r="11">
      <c r="A11" t="str">
        <v>mat-al6082-bar</v>
      </c>
      <c r="B11" t="str">
        <v>6082-T6 Aluminium Bar</v>
      </c>
      <c r="C11" t="str">
        <v>Aluminium</v>
      </c>
      <c r="D11">
        <f>IF($K11&gt;0,$K11,3.55)</f>
        <v>3.55</v>
      </c>
      <c r="E11">
        <f>IF($L11&gt;0,$L11,0.55)</f>
        <v>0.55</v>
      </c>
      <c r="F11">
        <v>2700</v>
      </c>
      <c r="G11" t="str">
        <v>UK</v>
      </c>
      <c r="H11" t="str">
        <v>2026-07</v>
      </c>
      <c r="I11" t="str">
        <v>Index-anchored 2026-07 refresh. Structural 6xxx machining bar/plate — brackets, jigs, structural parts.</v>
      </c>
      <c r="J11" t="str">
        <v>Medium</v>
      </c>
      <c r="K11">
        <f>IFERROR(IF(OR(INDEX(Mapping!$C:$C,MATCH($A11,Mapping!$A:$A,0))="",INDEX(JLRrates!$C:$C,MATCH(INDEX(Mapping!$C:$C,MATCH($A11,Mapping!$A:$A,0)),JLRrates!$B:$B,0))=""),0,INDEX(JLRrates!$C:$C,MATCH(INDEX(Mapping!$C:$C,MATCH($A11,Mapping!$A:$A,0)),JLRrates!$B:$B,0))),0)</f>
        <v>0</v>
      </c>
      <c r="L11">
        <f>IFERROR(IF(OR(INDEX(Mapping!$C:$C,MATCH($A11,Mapping!$A:$A,0))="",INDEX(JLRrates!$D:$D,MATCH(INDEX(Mapping!$C:$C,MATCH($A11,Mapping!$A:$A,0)),JLRrates!$B:$B,0))=""),0,INDEX(JLRrates!$D:$D,MATCH(INDEX(Mapping!$C:$C,MATCH($A11,Mapping!$A:$A,0)),JLRrates!$B:$B,0))),0)</f>
        <v>0</v>
      </c>
    </row>
    <row r="12">
      <c r="A12" t="str">
        <v>mat-al2011</v>
      </c>
      <c r="B12" t="str">
        <v>2011-T3 Free-Machining Al Bar</v>
      </c>
      <c r="C12" t="str">
        <v>Aluminium</v>
      </c>
      <c r="D12">
        <f>IF($K12&gt;0,$K12,3.95)</f>
        <v>3.95</v>
      </c>
      <c r="E12">
        <f>IF($L12&gt;0,$L12,0.55)</f>
        <v>0.55</v>
      </c>
      <c r="F12">
        <v>2830</v>
      </c>
      <c r="G12" t="str">
        <v>UK</v>
      </c>
      <c r="H12" t="str">
        <v>2026-07</v>
      </c>
      <c r="I12" t="str">
        <v>Index-anchored 2026-07 refresh. Free-machining Al-Cu-Pb — high-speed screw-machine parts, fittings.</v>
      </c>
      <c r="J12" t="str">
        <v>Low</v>
      </c>
      <c r="K12">
        <f>IFERROR(IF(OR(INDEX(Mapping!$C:$C,MATCH($A12,Mapping!$A:$A,0))="",INDEX(JLRrates!$C:$C,MATCH(INDEX(Mapping!$C:$C,MATCH($A12,Mapping!$A:$A,0)),JLRrates!$B:$B,0))=""),0,INDEX(JLRrates!$C:$C,MATCH(INDEX(Mapping!$C:$C,MATCH($A12,Mapping!$A:$A,0)),JLRrates!$B:$B,0))),0)</f>
        <v>0</v>
      </c>
      <c r="L12">
        <f>IFERROR(IF(OR(INDEX(Mapping!$C:$C,MATCH($A12,Mapping!$A:$A,0))="",INDEX(JLRrates!$D:$D,MATCH(INDEX(Mapping!$C:$C,MATCH($A12,Mapping!$A:$A,0)),JLRrates!$B:$B,0))=""),0,INDEX(JLRrates!$D:$D,MATCH(INDEX(Mapping!$C:$C,MATCH($A12,Mapping!$A:$A,0)),JLRrates!$B:$B,0))),0)</f>
        <v>0</v>
      </c>
    </row>
    <row r="13">
      <c r="A13" t="str">
        <v>mat-brass-cz121</v>
      </c>
      <c r="B13" t="str">
        <v>CZ121 / CW614N Free-Machining Brass</v>
      </c>
      <c r="C13" t="str">
        <v>Copper Alloy</v>
      </c>
      <c r="D13">
        <f>IF($K13&gt;0,$K13,7)</f>
        <v>7</v>
      </c>
      <c r="E13">
        <f>IF($L13&gt;0,$L13,3)</f>
        <v>3</v>
      </c>
      <c r="F13">
        <v>8490</v>
      </c>
      <c r="G13" t="str">
        <v>UK</v>
      </c>
      <c r="H13" t="str">
        <v>2026-07</v>
      </c>
      <c r="I13" t="str">
        <v>Index-anchored 2026-07 refresh. Standard free-machining brass bar — fittings, valve parts, connectors.</v>
      </c>
      <c r="J13" t="str">
        <v>Low</v>
      </c>
      <c r="K13">
        <f>IFERROR(IF(OR(INDEX(Mapping!$C:$C,MATCH($A13,Mapping!$A:$A,0))="",INDEX(JLRrates!$C:$C,MATCH(INDEX(Mapping!$C:$C,MATCH($A13,Mapping!$A:$A,0)),JLRrates!$B:$B,0))=""),0,INDEX(JLRrates!$C:$C,MATCH(INDEX(Mapping!$C:$C,MATCH($A13,Mapping!$A:$A,0)),JLRrates!$B:$B,0))),0)</f>
        <v>0</v>
      </c>
      <c r="L13">
        <f>IFERROR(IF(OR(INDEX(Mapping!$C:$C,MATCH($A13,Mapping!$A:$A,0))="",INDEX(JLRrates!$D:$D,MATCH(INDEX(Mapping!$C:$C,MATCH($A13,Mapping!$A:$A,0)),JLRrates!$B:$B,0))=""),0,INDEX(JLRrates!$D:$D,MATCH(INDEX(Mapping!$C:$C,MATCH($A13,Mapping!$A:$A,0)),JLRrates!$B:$B,0))),0)</f>
        <v>0</v>
      </c>
    </row>
    <row r="14">
      <c r="A14" t="str">
        <v>mat-bronze-pb1</v>
      </c>
      <c r="B14" t="str">
        <v>PB1 Phosphor Bronze Bar</v>
      </c>
      <c r="C14" t="str">
        <v>Copper Alloy</v>
      </c>
      <c r="D14">
        <f>IF($K14&gt;0,$K14,9.2)</f>
        <v>9.2</v>
      </c>
      <c r="E14">
        <f>IF($L14&gt;0,$L14,2.8)</f>
        <v>2.8</v>
      </c>
      <c r="F14">
        <v>8800</v>
      </c>
      <c r="G14" t="str">
        <v>UK</v>
      </c>
      <c r="H14" t="str">
        <v>2026-07</v>
      </c>
      <c r="I14" t="str">
        <v>Index-anchored 2026-07 refresh. Phosphor bronze bar — bearings, bushes, worm wheels, high-load sliding.</v>
      </c>
      <c r="J14" t="str">
        <v>Low</v>
      </c>
      <c r="K14">
        <f>IFERROR(IF(OR(INDEX(Mapping!$C:$C,MATCH($A14,Mapping!$A:$A,0))="",INDEX(JLRrates!$C:$C,MATCH(INDEX(Mapping!$C:$C,MATCH($A14,Mapping!$A:$A,0)),JLRrates!$B:$B,0))=""),0,INDEX(JLRrates!$C:$C,MATCH(INDEX(Mapping!$C:$C,MATCH($A14,Mapping!$A:$A,0)),JLRrates!$B:$B,0))),0)</f>
        <v>0</v>
      </c>
      <c r="L14">
        <f>IFERROR(IF(OR(INDEX(Mapping!$C:$C,MATCH($A14,Mapping!$A:$A,0))="",INDEX(JLRrates!$D:$D,MATCH(INDEX(Mapping!$C:$C,MATCH($A14,Mapping!$A:$A,0)),JLRrates!$B:$B,0))=""),0,INDEX(JLRrates!$D:$D,MATCH(INDEX(Mapping!$C:$C,MATCH($A14,Mapping!$A:$A,0)),JLRrates!$B:$B,0))),0)</f>
        <v>0</v>
      </c>
    </row>
    <row r="15">
      <c r="A15" t="str">
        <v>mat-pom-c</v>
      </c>
      <c r="B15" t="str">
        <v>POM-C (Acetal / Delrin Stock)</v>
      </c>
      <c r="C15" t="str">
        <v>Engineering Plastic (Stock)</v>
      </c>
      <c r="D15">
        <f>IF($K15&gt;0,$K15,3.1)</f>
        <v>3.1</v>
      </c>
      <c r="E15">
        <f>IF($L15&gt;0,$L15,0.1)</f>
        <v>0.1</v>
      </c>
      <c r="F15">
        <v>1410</v>
      </c>
      <c r="G15" t="str">
        <v>UK</v>
      </c>
      <c r="H15" t="str">
        <v>2026-07</v>
      </c>
      <c r="I15" t="str">
        <v>Index-anchored 2026-07. Acetal copolymer rod/sheet — precision gears, bushes, manifolds; excellent machinability.</v>
      </c>
      <c r="J15" t="str">
        <v>Medium</v>
      </c>
      <c r="K15">
        <f>IFERROR(IF(OR(INDEX(Mapping!$C:$C,MATCH($A15,Mapping!$A:$A,0))="",INDEX(JLRrates!$C:$C,MATCH(INDEX(Mapping!$C:$C,MATCH($A15,Mapping!$A:$A,0)),JLRrates!$B:$B,0))=""),0,INDEX(JLRrates!$C:$C,MATCH(INDEX(Mapping!$C:$C,MATCH($A15,Mapping!$A:$A,0)),JLRrates!$B:$B,0))),0)</f>
        <v>0</v>
      </c>
      <c r="L15">
        <f>IFERROR(IF(OR(INDEX(Mapping!$C:$C,MATCH($A15,Mapping!$A:$A,0))="",INDEX(JLRrates!$D:$D,MATCH(INDEX(Mapping!$C:$C,MATCH($A15,Mapping!$A:$A,0)),JLRrates!$B:$B,0))=""),0,INDEX(JLRrates!$D:$D,MATCH(INDEX(Mapping!$C:$C,MATCH($A15,Mapping!$A:$A,0)),JLRrates!$B:$B,0))),0)</f>
        <v>0</v>
      </c>
    </row>
    <row r="16">
      <c r="A16" t="str">
        <v>mat-pa6-cast</v>
      </c>
      <c r="B16" t="str">
        <v>Nylon 6 (Cast PA6 Stock)</v>
      </c>
      <c r="C16" t="str">
        <v>Engineering Plastic (Stock)</v>
      </c>
      <c r="D16">
        <f>IF($K16&gt;0,$K16,4.2)</f>
        <v>4.2</v>
      </c>
      <c r="E16">
        <f>IF($L16&gt;0,$L16,0.1)</f>
        <v>0.1</v>
      </c>
      <c r="F16">
        <v>1150</v>
      </c>
      <c r="G16" t="str">
        <v>UK</v>
      </c>
      <c r="H16" t="str">
        <v>2026-07</v>
      </c>
      <c r="I16" t="str">
        <v>Index-anchored 2026-07. Cast nylon rod/slab — wear pads, sprockets, rollers, guide rails.</v>
      </c>
      <c r="J16" t="str">
        <v>Medium</v>
      </c>
      <c r="K16">
        <f>IFERROR(IF(OR(INDEX(Mapping!$C:$C,MATCH($A16,Mapping!$A:$A,0))="",INDEX(JLRrates!$C:$C,MATCH(INDEX(Mapping!$C:$C,MATCH($A16,Mapping!$A:$A,0)),JLRrates!$B:$B,0))=""),0,INDEX(JLRrates!$C:$C,MATCH(INDEX(Mapping!$C:$C,MATCH($A16,Mapping!$A:$A,0)),JLRrates!$B:$B,0))),0)</f>
        <v>0</v>
      </c>
      <c r="L16">
        <f>IFERROR(IF(OR(INDEX(Mapping!$C:$C,MATCH($A16,Mapping!$A:$A,0))="",INDEX(JLRrates!$D:$D,MATCH(INDEX(Mapping!$C:$C,MATCH($A16,Mapping!$A:$A,0)),JLRrates!$B:$B,0))=""),0,INDEX(JLRrates!$D:$D,MATCH(INDEX(Mapping!$C:$C,MATCH($A16,Mapping!$A:$A,0)),JLRrates!$B:$B,0))),0)</f>
        <v>0</v>
      </c>
    </row>
    <row r="17">
      <c r="A17" t="str">
        <v>mat-ptfe</v>
      </c>
      <c r="B17" t="str">
        <v>PTFE (Virgin Stock)</v>
      </c>
      <c r="C17" t="str">
        <v>Engineering Plastic (Stock)</v>
      </c>
      <c r="D17">
        <f>IF($K17&gt;0,$K17,12.5)</f>
        <v>12.5</v>
      </c>
      <c r="E17">
        <f>IF($L17&gt;0,$L17,0.2)</f>
        <v>0.2</v>
      </c>
      <c r="F17">
        <v>2170</v>
      </c>
      <c r="G17" t="str">
        <v>UK</v>
      </c>
      <c r="H17" t="str">
        <v>2026-07</v>
      </c>
      <c r="I17" t="str">
        <v>Index-anchored 2026-07. Virgin PTFE rod/sheet — seals, insulators, chemical/low-friction parts.</v>
      </c>
      <c r="J17" t="str">
        <v>Low</v>
      </c>
      <c r="K17">
        <f>IFERROR(IF(OR(INDEX(Mapping!$C:$C,MATCH($A17,Mapping!$A:$A,0))="",INDEX(JLRrates!$C:$C,MATCH(INDEX(Mapping!$C:$C,MATCH($A17,Mapping!$A:$A,0)),JLRrates!$B:$B,0))=""),0,INDEX(JLRrates!$C:$C,MATCH(INDEX(Mapping!$C:$C,MATCH($A17,Mapping!$A:$A,0)),JLRrates!$B:$B,0))),0)</f>
        <v>0</v>
      </c>
      <c r="L17">
        <f>IFERROR(IF(OR(INDEX(Mapping!$C:$C,MATCH($A17,Mapping!$A:$A,0))="",INDEX(JLRrates!$D:$D,MATCH(INDEX(Mapping!$C:$C,MATCH($A17,Mapping!$A:$A,0)),JLRrates!$B:$B,0))=""),0,INDEX(JLRrates!$D:$D,MATCH(INDEX(Mapping!$C:$C,MATCH($A17,Mapping!$A:$A,0)),JLRrates!$B:$B,0))),0)</f>
        <v>0</v>
      </c>
    </row>
    <row r="18">
      <c r="A18" t="str">
        <v>mat-peek-stock</v>
      </c>
      <c r="B18" t="str">
        <v>PEEK (Unfilled Stock)</v>
      </c>
      <c r="C18" t="str">
        <v>Engineering Plastic (Stock)</v>
      </c>
      <c r="D18">
        <f>IF($K18&gt;0,$K18,95)</f>
        <v>95</v>
      </c>
      <c r="E18">
        <f>IF($L18&gt;0,$L18,0.5)</f>
        <v>0.5</v>
      </c>
      <c r="F18">
        <v>1300</v>
      </c>
      <c r="G18" t="str">
        <v>UK</v>
      </c>
      <c r="H18" t="str">
        <v>2026-07</v>
      </c>
      <c r="I18" t="str">
        <v>Index-anchored 2026-07. Unfilled PEEK rod/plate — high-temp/chemical machined parts, medical, aerospace.</v>
      </c>
      <c r="J18" t="str">
        <v>Low</v>
      </c>
      <c r="K18">
        <f>IFERROR(IF(OR(INDEX(Mapping!$C:$C,MATCH($A18,Mapping!$A:$A,0))="",INDEX(JLRrates!$C:$C,MATCH(INDEX(Mapping!$C:$C,MATCH($A18,Mapping!$A:$A,0)),JLRrates!$B:$B,0))=""),0,INDEX(JLRrates!$C:$C,MATCH(INDEX(Mapping!$C:$C,MATCH($A18,Mapping!$A:$A,0)),JLRrates!$B:$B,0))),0)</f>
        <v>0</v>
      </c>
      <c r="L18">
        <f>IFERROR(IF(OR(INDEX(Mapping!$C:$C,MATCH($A18,Mapping!$A:$A,0))="",INDEX(JLRrates!$D:$D,MATCH(INDEX(Mapping!$C:$C,MATCH($A18,Mapping!$A:$A,0)),JLRrates!$B:$B,0))=""),0,INDEX(JLRrates!$D:$D,MATCH(INDEX(Mapping!$C:$C,MATCH($A18,Mapping!$A:$A,0)),JLRrates!$B:$B,0))),0)</f>
        <v>0</v>
      </c>
    </row>
    <row r="19">
      <c r="A19" t="str">
        <v>mat-acrylic-cast</v>
      </c>
      <c r="B19" t="str">
        <v>Cast Acrylic (PMMA Stock)</v>
      </c>
      <c r="C19" t="str">
        <v>Engineering Plastic (Stock)</v>
      </c>
      <c r="D19">
        <f>IF($K19&gt;0,$K19,4.8)</f>
        <v>4.8</v>
      </c>
      <c r="E19">
        <f>IF($L19&gt;0,$L19,0.05)</f>
        <v>0.05</v>
      </c>
      <c r="F19">
        <v>1190</v>
      </c>
      <c r="G19" t="str">
        <v>UK</v>
      </c>
      <c r="H19" t="str">
        <v>2026-07</v>
      </c>
      <c r="I19" t="str">
        <v>Index-anchored 2026-07. Cast acrylic sheet/rod — optical, signage, machined transparent parts.</v>
      </c>
      <c r="J19" t="str">
        <v>Low</v>
      </c>
      <c r="K19">
        <f>IFERROR(IF(OR(INDEX(Mapping!$C:$C,MATCH($A19,Mapping!$A:$A,0))="",INDEX(JLRrates!$C:$C,MATCH(INDEX(Mapping!$C:$C,MATCH($A19,Mapping!$A:$A,0)),JLRrates!$B:$B,0))=""),0,INDEX(JLRrates!$C:$C,MATCH(INDEX(Mapping!$C:$C,MATCH($A19,Mapping!$A:$A,0)),JLRrates!$B:$B,0))),0)</f>
        <v>0</v>
      </c>
      <c r="L19">
        <f>IFERROR(IF(OR(INDEX(Mapping!$C:$C,MATCH($A19,Mapping!$A:$A,0))="",INDEX(JLRrates!$D:$D,MATCH(INDEX(Mapping!$C:$C,MATCH($A19,Mapping!$A:$A,0)),JLRrates!$B:$B,0))=""),0,INDEX(JLRrates!$D:$D,MATCH(INDEX(Mapping!$C:$C,MATCH($A19,Mapping!$A:$A,0)),JLRrates!$B:$B,0))),0)</f>
        <v>0</v>
      </c>
    </row>
    <row r="20">
      <c r="A20" t="str">
        <v>mat-uhmwpe</v>
      </c>
      <c r="B20" t="str">
        <v>UHMW-PE (Stock)</v>
      </c>
      <c r="C20" t="str">
        <v>Engineering Plastic (Stock)</v>
      </c>
      <c r="D20">
        <f>IF($K20&gt;0,$K20,3.4)</f>
        <v>3.4</v>
      </c>
      <c r="E20">
        <f>IF($L20&gt;0,$L20,0.08)</f>
        <v>0.08</v>
      </c>
      <c r="F20">
        <v>940</v>
      </c>
      <c r="G20" t="str">
        <v>UK</v>
      </c>
      <c r="H20" t="str">
        <v>2026-07</v>
      </c>
      <c r="I20" t="str">
        <v>Index-anchored 2026-07. Ultra-high-molecular-weight PE sheet — wear strips, chute liners, guides.</v>
      </c>
      <c r="J20" t="str">
        <v>Low</v>
      </c>
      <c r="K20">
        <f>IFERROR(IF(OR(INDEX(Mapping!$C:$C,MATCH($A20,Mapping!$A:$A,0))="",INDEX(JLRrates!$C:$C,MATCH(INDEX(Mapping!$C:$C,MATCH($A20,Mapping!$A:$A,0)),JLRrates!$B:$B,0))=""),0,INDEX(JLRrates!$C:$C,MATCH(INDEX(Mapping!$C:$C,MATCH($A20,Mapping!$A:$A,0)),JLRrates!$B:$B,0))),0)</f>
        <v>0</v>
      </c>
      <c r="L20">
        <f>IFERROR(IF(OR(INDEX(Mapping!$C:$C,MATCH($A20,Mapping!$A:$A,0))="",INDEX(JLRrates!$D:$D,MATCH(INDEX(Mapping!$C:$C,MATCH($A20,Mapping!$A:$A,0)),JLRrates!$B:$B,0))=""),0,INDEX(JLRrates!$D:$D,MATCH(INDEX(Mapping!$C:$C,MATCH($A20,Mapping!$A:$A,0)),JLRrates!$B:$B,0))),0)</f>
        <v>0</v>
      </c>
    </row>
    <row r="21">
      <c r="A21" t="str">
        <v>mat-dc01</v>
      </c>
      <c r="B21" t="str">
        <v>DC01</v>
      </c>
      <c r="C21" t="str">
        <v>Mild Steel Sheet</v>
      </c>
      <c r="D21">
        <f>IF($K21&gt;0,$K21,0.86)</f>
        <v>0.86</v>
      </c>
      <c r="E21">
        <f>IF($L21&gt;0,$L21,0.2)</f>
        <v>0.2</v>
      </c>
      <c r="F21">
        <v>7850</v>
      </c>
      <c r="G21" t="str">
        <v>UK</v>
      </c>
      <c r="H21" t="str">
        <v>2026-07</v>
      </c>
      <c r="I21" t="str">
        <v>UK CR mild sheet, delivered small-lot. Index-anchored: CRC €781/t → £0.67/kg mill + £0.19/kg stockholder premium. Basis: Fastmarkets EU HRC €691/t May-26 +€90 CRC, FX 0.855. Yield ~140 MPa.</v>
      </c>
      <c r="J21" t="str">
        <v>Medium</v>
      </c>
      <c r="K21">
        <f>IFERROR(IF(OR(INDEX(Mapping!$C:$C,MATCH($A21,Mapping!$A:$A,0))="",INDEX(JLRrates!$C:$C,MATCH(INDEX(Mapping!$C:$C,MATCH($A21,Mapping!$A:$A,0)),JLRrates!$B:$B,0))=""),0,INDEX(JLRrates!$C:$C,MATCH(INDEX(Mapping!$C:$C,MATCH($A21,Mapping!$A:$A,0)),JLRrates!$B:$B,0))),0)</f>
        <v>0</v>
      </c>
      <c r="L21">
        <f>IFERROR(IF(OR(INDEX(Mapping!$C:$C,MATCH($A21,Mapping!$A:$A,0))="",INDEX(JLRrates!$D:$D,MATCH(INDEX(Mapping!$C:$C,MATCH($A21,Mapping!$A:$A,0)),JLRrates!$B:$B,0))=""),0,INDEX(JLRrates!$D:$D,MATCH(INDEX(Mapping!$C:$C,MATCH($A21,Mapping!$A:$A,0)),JLRrates!$B:$B,0))),0)</f>
        <v>0</v>
      </c>
    </row>
    <row r="22">
      <c r="A22" t="str">
        <v>mat-dc01-gi</v>
      </c>
      <c r="B22" t="str">
        <v>DC01 GI (Hot-dip Galvanised)</v>
      </c>
      <c r="C22" t="str">
        <v>Galvanised Steel Sheet</v>
      </c>
      <c r="D22">
        <f>IF($K22&gt;0,$K22,1.06)</f>
        <v>1.06</v>
      </c>
      <c r="E22">
        <f>IF($L22&gt;0,$L22,0.2)</f>
        <v>0.2</v>
      </c>
      <c r="F22">
        <v>7850</v>
      </c>
      <c r="G22" t="str">
        <v>UK</v>
      </c>
      <c r="H22" t="str">
        <v>2026-07</v>
      </c>
      <c r="I22" t="str">
        <v>UK galv coil, BIW bodywork standard. Jun 2026 Index-anchored 2026-07 (see PRICING BASIS).</v>
      </c>
      <c r="J22" t="str">
        <v>Medium</v>
      </c>
      <c r="K22">
        <f>IFERROR(IF(OR(INDEX(Mapping!$C:$C,MATCH($A22,Mapping!$A:$A,0))="",INDEX(JLRrates!$C:$C,MATCH(INDEX(Mapping!$C:$C,MATCH($A22,Mapping!$A:$A,0)),JLRrates!$B:$B,0))=""),0,INDEX(JLRrates!$C:$C,MATCH(INDEX(Mapping!$C:$C,MATCH($A22,Mapping!$A:$A,0)),JLRrates!$B:$B,0))),0)</f>
        <v>0</v>
      </c>
      <c r="L22">
        <f>IFERROR(IF(OR(INDEX(Mapping!$C:$C,MATCH($A22,Mapping!$A:$A,0))="",INDEX(JLRrates!$D:$D,MATCH(INDEX(Mapping!$C:$C,MATCH($A22,Mapping!$A:$A,0)),JLRrates!$B:$B,0))=""),0,INDEX(JLRrates!$D:$D,MATCH(INDEX(Mapping!$C:$C,MATCH($A22,Mapping!$A:$A,0)),JLRrates!$B:$B,0))),0)</f>
        <v>0</v>
      </c>
    </row>
    <row r="23">
      <c r="A23" t="str">
        <v>mat-dc03-ga</v>
      </c>
      <c r="B23" t="str">
        <v>DC03 GA (Galvannealed)</v>
      </c>
      <c r="C23" t="str">
        <v>Galvanised Steel Sheet</v>
      </c>
      <c r="D23">
        <f>IF($K23&gt;0,$K23,1.1)</f>
        <v>1.1</v>
      </c>
      <c r="E23">
        <f>IF($L23&gt;0,$L23,0.2)</f>
        <v>0.2</v>
      </c>
      <c r="F23">
        <v>7850</v>
      </c>
      <c r="G23" t="str">
        <v>UK</v>
      </c>
      <c r="H23" t="str">
        <v>2026-07</v>
      </c>
      <c r="I23" t="str">
        <v>UK galvannealed coil, standard BIW inner panels. Jun 2026 Index-anchored 2026-07 (see PRICING BASIS).</v>
      </c>
      <c r="J23" t="str">
        <v>Medium</v>
      </c>
      <c r="K23">
        <f>IFERROR(IF(OR(INDEX(Mapping!$C:$C,MATCH($A23,Mapping!$A:$A,0))="",INDEX(JLRrates!$C:$C,MATCH(INDEX(Mapping!$C:$C,MATCH($A23,Mapping!$A:$A,0)),JLRrates!$B:$B,0))=""),0,INDEX(JLRrates!$C:$C,MATCH(INDEX(Mapping!$C:$C,MATCH($A23,Mapping!$A:$A,0)),JLRrates!$B:$B,0))),0)</f>
        <v>0</v>
      </c>
      <c r="L23">
        <f>IFERROR(IF(OR(INDEX(Mapping!$C:$C,MATCH($A23,Mapping!$A:$A,0))="",INDEX(JLRrates!$D:$D,MATCH(INDEX(Mapping!$C:$C,MATCH($A23,Mapping!$A:$A,0)),JLRrates!$B:$B,0))=""),0,INDEX(JLRrates!$D:$D,MATCH(INDEX(Mapping!$C:$C,MATCH($A23,Mapping!$A:$A,0)),JLRrates!$B:$B,0))),0)</f>
        <v>0</v>
      </c>
    </row>
    <row r="24">
      <c r="A24" t="str">
        <v>mat-dp600</v>
      </c>
      <c r="B24" t="str">
        <v>DP600</v>
      </c>
      <c r="C24" t="str">
        <v>AHSS Sheet</v>
      </c>
      <c r="D24">
        <f>IF($K24&gt;0,$K24,1.25)</f>
        <v>1.25</v>
      </c>
      <c r="E24">
        <f>IF($L24&gt;0,$L24,0.22)</f>
        <v>0.22</v>
      </c>
      <c r="F24">
        <v>7850</v>
      </c>
      <c r="G24" t="str">
        <v>UK</v>
      </c>
      <c r="H24" t="str">
        <v>2026-07</v>
      </c>
      <c r="I24" t="str">
        <v>UK AHSS coil, Jun 2026 Index-anchored 2026-07 (see PRICING BASIS).</v>
      </c>
      <c r="J24" t="str">
        <v>Medium</v>
      </c>
      <c r="K24">
        <f>IFERROR(IF(OR(INDEX(Mapping!$C:$C,MATCH($A24,Mapping!$A:$A,0))="",INDEX(JLRrates!$C:$C,MATCH(INDEX(Mapping!$C:$C,MATCH($A24,Mapping!$A:$A,0)),JLRrates!$B:$B,0))=""),0,INDEX(JLRrates!$C:$C,MATCH(INDEX(Mapping!$C:$C,MATCH($A24,Mapping!$A:$A,0)),JLRrates!$B:$B,0))),0)</f>
        <v>0</v>
      </c>
      <c r="L24">
        <f>IFERROR(IF(OR(INDEX(Mapping!$C:$C,MATCH($A24,Mapping!$A:$A,0))="",INDEX(JLRrates!$D:$D,MATCH(INDEX(Mapping!$C:$C,MATCH($A24,Mapping!$A:$A,0)),JLRrates!$B:$B,0))=""),0,INDEX(JLRrates!$D:$D,MATCH(INDEX(Mapping!$C:$C,MATCH($A24,Mapping!$A:$A,0)),JLRrates!$B:$B,0))),0)</f>
        <v>0</v>
      </c>
    </row>
    <row r="25">
      <c r="A25" t="str">
        <v>mat-hsla340</v>
      </c>
      <c r="B25" t="str">
        <v>HSLA 340</v>
      </c>
      <c r="C25" t="str">
        <v>High Strength Steel Sheet</v>
      </c>
      <c r="D25">
        <f>IF($K25&gt;0,$K25,1.14)</f>
        <v>1.14</v>
      </c>
      <c r="E25">
        <f>IF($L25&gt;0,$L25,0.21)</f>
        <v>0.21</v>
      </c>
      <c r="F25">
        <v>7850</v>
      </c>
      <c r="G25" t="str">
        <v>UK</v>
      </c>
      <c r="H25" t="str">
        <v>2026-07</v>
      </c>
      <c r="I25" t="str">
        <v>UK HSLA coil, Jun 2026 Index-anchored 2026-07 (see PRICING BASIS).</v>
      </c>
      <c r="J25" t="str">
        <v>Medium</v>
      </c>
      <c r="K25">
        <f>IFERROR(IF(OR(INDEX(Mapping!$C:$C,MATCH($A25,Mapping!$A:$A,0))="",INDEX(JLRrates!$C:$C,MATCH(INDEX(Mapping!$C:$C,MATCH($A25,Mapping!$A:$A,0)),JLRrates!$B:$B,0))=""),0,INDEX(JLRrates!$C:$C,MATCH(INDEX(Mapping!$C:$C,MATCH($A25,Mapping!$A:$A,0)),JLRrates!$B:$B,0))),0)</f>
        <v>0</v>
      </c>
      <c r="L25">
        <f>IFERROR(IF(OR(INDEX(Mapping!$C:$C,MATCH($A25,Mapping!$A:$A,0))="",INDEX(JLRrates!$D:$D,MATCH(INDEX(Mapping!$C:$C,MATCH($A25,Mapping!$A:$A,0)),JLRrates!$B:$B,0))=""),0,INDEX(JLRrates!$D:$D,MATCH(INDEX(Mapping!$C:$C,MATCH($A25,Mapping!$A:$A,0)),JLRrates!$B:$B,0))),0)</f>
        <v>0</v>
      </c>
    </row>
    <row r="26">
      <c r="A26" t="str">
        <v>mat-22mnb5</v>
      </c>
      <c r="B26" t="str">
        <v>22MnB5 (Hot Press Forming / Boron Steel)</v>
      </c>
      <c r="C26" t="str">
        <v>Ultra-High Strength Steel</v>
      </c>
      <c r="D26">
        <f>IF($K26&gt;0,$K26,1.74)</f>
        <v>1.74</v>
      </c>
      <c r="E26">
        <f>IF($L26&gt;0,$L26,0.22)</f>
        <v>0.22</v>
      </c>
      <c r="F26">
        <v>7850</v>
      </c>
      <c r="G26" t="str">
        <v>UK</v>
      </c>
      <c r="H26" t="str">
        <v>2026-07</v>
      </c>
      <c r="I26" t="str">
        <v>UK PHS coil for hot stamping (A/B-pillar, roof rail). Jun 2026 Index-anchored 2026-07 (see PRICING BASIS).</v>
      </c>
      <c r="J26" t="str">
        <v>Low</v>
      </c>
      <c r="K26">
        <f>IFERROR(IF(OR(INDEX(Mapping!$C:$C,MATCH($A26,Mapping!$A:$A,0))="",INDEX(JLRrates!$C:$C,MATCH(INDEX(Mapping!$C:$C,MATCH($A26,Mapping!$A:$A,0)),JLRrates!$B:$B,0))=""),0,INDEX(JLRrates!$C:$C,MATCH(INDEX(Mapping!$C:$C,MATCH($A26,Mapping!$A:$A,0)),JLRrates!$B:$B,0))),0)</f>
        <v>0</v>
      </c>
      <c r="L26">
        <f>IFERROR(IF(OR(INDEX(Mapping!$C:$C,MATCH($A26,Mapping!$A:$A,0))="",INDEX(JLRrates!$D:$D,MATCH(INDEX(Mapping!$C:$C,MATCH($A26,Mapping!$A:$A,0)),JLRrates!$B:$B,0))=""),0,INDEX(JLRrates!$D:$D,MATCH(INDEX(Mapping!$C:$C,MATCH($A26,Mapping!$A:$A,0)),JLRrates!$B:$B,0))),0)</f>
        <v>0</v>
      </c>
    </row>
    <row r="27">
      <c r="A27" t="str">
        <v>mat-aa5182</v>
      </c>
      <c r="B27" t="str">
        <v>AA5182</v>
      </c>
      <c r="C27" t="str">
        <v>Aluminium Sheet</v>
      </c>
      <c r="D27">
        <f>IF($K27&gt;0,$K27,3.25)</f>
        <v>3.25</v>
      </c>
      <c r="E27">
        <f>IF($L27&gt;0,$L27,0.5)</f>
        <v>0.5</v>
      </c>
      <c r="F27">
        <v>2700</v>
      </c>
      <c r="G27" t="str">
        <v>UK</v>
      </c>
      <c r="H27" t="str">
        <v>2026-07</v>
      </c>
      <c r="I27" t="str">
        <v>UK Al sheet, Jun 2026 Index-anchored 2026-07 (see PRICING BASIS).</v>
      </c>
      <c r="J27" t="str">
        <v>Medium</v>
      </c>
      <c r="K27">
        <f>IFERROR(IF(OR(INDEX(Mapping!$C:$C,MATCH($A27,Mapping!$A:$A,0))="",INDEX(JLRrates!$C:$C,MATCH(INDEX(Mapping!$C:$C,MATCH($A27,Mapping!$A:$A,0)),JLRrates!$B:$B,0))=""),0,INDEX(JLRrates!$C:$C,MATCH(INDEX(Mapping!$C:$C,MATCH($A27,Mapping!$A:$A,0)),JLRrates!$B:$B,0))),0)</f>
        <v>0</v>
      </c>
      <c r="L27">
        <f>IFERROR(IF(OR(INDEX(Mapping!$C:$C,MATCH($A27,Mapping!$A:$A,0))="",INDEX(JLRrates!$D:$D,MATCH(INDEX(Mapping!$C:$C,MATCH($A27,Mapping!$A:$A,0)),JLRrates!$B:$B,0))=""),0,INDEX(JLRrates!$D:$D,MATCH(INDEX(Mapping!$C:$C,MATCH($A27,Mapping!$A:$A,0)),JLRrates!$B:$B,0))),0)</f>
        <v>0</v>
      </c>
    </row>
    <row r="28">
      <c r="A28" t="str">
        <v>mat-ss304-sheet</v>
      </c>
      <c r="B28" t="str">
        <v>304L Stainless Sheet</v>
      </c>
      <c r="C28" t="str">
        <v>Stainless Steel Sheet</v>
      </c>
      <c r="D28">
        <f>IF($K28&gt;0,$K28,3.36)</f>
        <v>3.36</v>
      </c>
      <c r="E28">
        <f>IF($L28&gt;0,$L28,0.8)</f>
        <v>0.8</v>
      </c>
      <c r="F28">
        <v>7900</v>
      </c>
      <c r="G28" t="str">
        <v>UK</v>
      </c>
      <c r="H28" t="str">
        <v>2026-07</v>
      </c>
      <c r="I28" t="str">
        <v>UK stainless coil, food/pharma stampings. Jun 2026 Index-anchored 2026-07 (see PRICING BASIS).</v>
      </c>
      <c r="J28" t="str">
        <v>Medium</v>
      </c>
      <c r="K28">
        <f>IFERROR(IF(OR(INDEX(Mapping!$C:$C,MATCH($A28,Mapping!$A:$A,0))="",INDEX(JLRrates!$C:$C,MATCH(INDEX(Mapping!$C:$C,MATCH($A28,Mapping!$A:$A,0)),JLRrates!$B:$B,0))=""),0,INDEX(JLRrates!$C:$C,MATCH(INDEX(Mapping!$C:$C,MATCH($A28,Mapping!$A:$A,0)),JLRrates!$B:$B,0))),0)</f>
        <v>0</v>
      </c>
      <c r="L28">
        <f>IFERROR(IF(OR(INDEX(Mapping!$C:$C,MATCH($A28,Mapping!$A:$A,0))="",INDEX(JLRrates!$D:$D,MATCH(INDEX(Mapping!$C:$C,MATCH($A28,Mapping!$A:$A,0)),JLRrates!$B:$B,0))=""),0,INDEX(JLRrates!$D:$D,MATCH(INDEX(Mapping!$C:$C,MATCH($A28,Mapping!$A:$A,0)),JLRrates!$B:$B,0))),0)</f>
        <v>0</v>
      </c>
    </row>
    <row r="29">
      <c r="A29" t="str">
        <v>mat-aa5052</v>
      </c>
      <c r="B29" t="str">
        <v>AA5052-H32 Sheet</v>
      </c>
      <c r="C29" t="str">
        <v>Aluminium Sheet</v>
      </c>
      <c r="D29">
        <f>IF($K29&gt;0,$K29,3.25)</f>
        <v>3.25</v>
      </c>
      <c r="E29">
        <f>IF($L29&gt;0,$L29,0.5)</f>
        <v>0.5</v>
      </c>
      <c r="F29">
        <v>2680</v>
      </c>
      <c r="G29" t="str">
        <v>UK</v>
      </c>
      <c r="H29" t="str">
        <v>2026-07</v>
      </c>
      <c r="I29" t="str">
        <v>UK Al sheet stockholder Jun 2026. 5xxx series — marine/vehicle panels, excellent corrosion resistance. Yield 195 MPa. Index-anchored 2026-07 (see PRICING BASIS).</v>
      </c>
      <c r="J29" t="str">
        <v>Medium</v>
      </c>
      <c r="K29">
        <f>IFERROR(IF(OR(INDEX(Mapping!$C:$C,MATCH($A29,Mapping!$A:$A,0))="",INDEX(JLRrates!$C:$C,MATCH(INDEX(Mapping!$C:$C,MATCH($A29,Mapping!$A:$A,0)),JLRrates!$B:$B,0))=""),0,INDEX(JLRrates!$C:$C,MATCH(INDEX(Mapping!$C:$C,MATCH($A29,Mapping!$A:$A,0)),JLRrates!$B:$B,0))),0)</f>
        <v>0</v>
      </c>
      <c r="L29">
        <f>IFERROR(IF(OR(INDEX(Mapping!$C:$C,MATCH($A29,Mapping!$A:$A,0))="",INDEX(JLRrates!$D:$D,MATCH(INDEX(Mapping!$C:$C,MATCH($A29,Mapping!$A:$A,0)),JLRrates!$B:$B,0))=""),0,INDEX(JLRrates!$D:$D,MATCH(INDEX(Mapping!$C:$C,MATCH($A29,Mapping!$A:$A,0)),JLRrates!$B:$B,0))),0)</f>
        <v>0</v>
      </c>
    </row>
    <row r="30">
      <c r="A30" t="str">
        <v>mat-aa5083</v>
      </c>
      <c r="B30" t="str">
        <v>AA5083-H111 Sheet</v>
      </c>
      <c r="C30" t="str">
        <v>Aluminium Sheet</v>
      </c>
      <c r="D30">
        <f>IF($K30&gt;0,$K30,3.46)</f>
        <v>3.46</v>
      </c>
      <c r="E30">
        <f>IF($L30&gt;0,$L30,0.5)</f>
        <v>0.5</v>
      </c>
      <c r="F30">
        <v>2660</v>
      </c>
      <c r="G30" t="str">
        <v>UK</v>
      </c>
      <c r="H30" t="str">
        <v>2026-07</v>
      </c>
      <c r="I30" t="str">
        <v>UK Al sheet stockholder Jun 2026. 5xxx series — marine structures, shipbuilding. Higher strength than 5052. Yield 228 MPa. Index-anchored 2026-07 (see PRICING BASIS).</v>
      </c>
      <c r="J30" t="str">
        <v>Medium</v>
      </c>
      <c r="K30">
        <f>IFERROR(IF(OR(INDEX(Mapping!$C:$C,MATCH($A30,Mapping!$A:$A,0))="",INDEX(JLRrates!$C:$C,MATCH(INDEX(Mapping!$C:$C,MATCH($A30,Mapping!$A:$A,0)),JLRrates!$B:$B,0))=""),0,INDEX(JLRrates!$C:$C,MATCH(INDEX(Mapping!$C:$C,MATCH($A30,Mapping!$A:$A,0)),JLRrates!$B:$B,0))),0)</f>
        <v>0</v>
      </c>
      <c r="L30">
        <f>IFERROR(IF(OR(INDEX(Mapping!$C:$C,MATCH($A30,Mapping!$A:$A,0))="",INDEX(JLRrates!$D:$D,MATCH(INDEX(Mapping!$C:$C,MATCH($A30,Mapping!$A:$A,0)),JLRrates!$B:$B,0))=""),0,INDEX(JLRrates!$D:$D,MATCH(INDEX(Mapping!$C:$C,MATCH($A30,Mapping!$A:$A,0)),JLRrates!$B:$B,0))),0)</f>
        <v>0</v>
      </c>
    </row>
    <row r="31">
      <c r="A31" t="str">
        <v>mat-aa6082-sheet</v>
      </c>
      <c r="B31" t="str">
        <v>AA6082-T6 Sheet</v>
      </c>
      <c r="C31" t="str">
        <v>Aluminium Sheet</v>
      </c>
      <c r="D31">
        <f>IF($K31&gt;0,$K31,3.62)</f>
        <v>3.62</v>
      </c>
      <c r="E31">
        <f>IF($L31&gt;0,$L31,0.5)</f>
        <v>0.5</v>
      </c>
      <c r="F31">
        <v>2700</v>
      </c>
      <c r="G31" t="str">
        <v>UK</v>
      </c>
      <c r="H31" t="str">
        <v>2026-07</v>
      </c>
      <c r="I31" t="str">
        <v>UK Al sheet/plate stockholder Jun 2026. 6xxx series structural alloy — frames, structural parts. Yield 250 MPa. Index-anchored 2026-07 (see PRICING BASIS).</v>
      </c>
      <c r="J31" t="str">
        <v>Low</v>
      </c>
      <c r="K31">
        <f>IFERROR(IF(OR(INDEX(Mapping!$C:$C,MATCH($A31,Mapping!$A:$A,0))="",INDEX(JLRrates!$C:$C,MATCH(INDEX(Mapping!$C:$C,MATCH($A31,Mapping!$A:$A,0)),JLRrates!$B:$B,0))=""),0,INDEX(JLRrates!$C:$C,MATCH(INDEX(Mapping!$C:$C,MATCH($A31,Mapping!$A:$A,0)),JLRrates!$B:$B,0))),0)</f>
        <v>0</v>
      </c>
      <c r="L31">
        <f>IFERROR(IF(OR(INDEX(Mapping!$C:$C,MATCH($A31,Mapping!$A:$A,0))="",INDEX(JLRrates!$D:$D,MATCH(INDEX(Mapping!$C:$C,MATCH($A31,Mapping!$A:$A,0)),JLRrates!$B:$B,0))=""),0,INDEX(JLRrates!$D:$D,MATCH(INDEX(Mapping!$C:$C,MATCH($A31,Mapping!$A:$A,0)),JLRrates!$B:$B,0))),0)</f>
        <v>0</v>
      </c>
    </row>
    <row r="32">
      <c r="A32" t="str">
        <v>mat-aisi430</v>
      </c>
      <c r="B32" t="str">
        <v>AISI 430 Ferritic SS Sheet</v>
      </c>
      <c r="C32" t="str">
        <v>Stainless Steel Sheet</v>
      </c>
      <c r="D32">
        <f>IF($K32&gt;0,$K32,2.94)</f>
        <v>2.94</v>
      </c>
      <c r="E32">
        <f>IF($L32&gt;0,$L32,0.7)</f>
        <v>0.7</v>
      </c>
      <c r="F32">
        <v>7700</v>
      </c>
      <c r="G32" t="str">
        <v>UK</v>
      </c>
      <c r="H32" t="str">
        <v>2026-07</v>
      </c>
      <c r="I32" t="str">
        <v>UK SS stockholder Jun 2026. Ferritic (magnetic) stainless — appliance panels, automotive trim. Moderate corrosion resistance. Yield 250 MPa. Index-anchored 2026-07 (see PRICING BASIS).</v>
      </c>
      <c r="J32" t="str">
        <v>Low</v>
      </c>
      <c r="K32">
        <f>IFERROR(IF(OR(INDEX(Mapping!$C:$C,MATCH($A32,Mapping!$A:$A,0))="",INDEX(JLRrates!$C:$C,MATCH(INDEX(Mapping!$C:$C,MATCH($A32,Mapping!$A:$A,0)),JLRrates!$B:$B,0))=""),0,INDEX(JLRrates!$C:$C,MATCH(INDEX(Mapping!$C:$C,MATCH($A32,Mapping!$A:$A,0)),JLRrates!$B:$B,0))),0)</f>
        <v>0</v>
      </c>
      <c r="L32">
        <f>IFERROR(IF(OR(INDEX(Mapping!$C:$C,MATCH($A32,Mapping!$A:$A,0))="",INDEX(JLRrates!$D:$D,MATCH(INDEX(Mapping!$C:$C,MATCH($A32,Mapping!$A:$A,0)),JLRrates!$B:$B,0))=""),0,INDEX(JLRrates!$D:$D,MATCH(INDEX(Mapping!$C:$C,MATCH($A32,Mapping!$A:$A,0)),JLRrates!$B:$B,0))),0)</f>
        <v>0</v>
      </c>
    </row>
    <row r="33">
      <c r="A33" t="str">
        <v>mat-ss316-sheet</v>
      </c>
      <c r="B33" t="str">
        <v>AISI 316L Stainless Sheet</v>
      </c>
      <c r="C33" t="str">
        <v>Stainless Steel Sheet</v>
      </c>
      <c r="D33">
        <f>IF($K33&gt;0,$K33,4.41)</f>
        <v>4.41</v>
      </c>
      <c r="E33">
        <f>IF($L33&gt;0,$L33,0.9)</f>
        <v>0.9</v>
      </c>
      <c r="F33">
        <v>7990</v>
      </c>
      <c r="G33" t="str">
        <v>UK</v>
      </c>
      <c r="H33" t="str">
        <v>2026-07</v>
      </c>
      <c r="I33" t="str">
        <v>UK SS stockholder Jun 2026. 316L — food processing, medical, marine (Mo addition gives better chloride resistance than 304). Yield 170 MPa. Index-anchored 2026-07 (see PRICING BASIS).</v>
      </c>
      <c r="J33" t="str">
        <v>Medium</v>
      </c>
      <c r="K33">
        <f>IFERROR(IF(OR(INDEX(Mapping!$C:$C,MATCH($A33,Mapping!$A:$A,0))="",INDEX(JLRrates!$C:$C,MATCH(INDEX(Mapping!$C:$C,MATCH($A33,Mapping!$A:$A,0)),JLRrates!$B:$B,0))=""),0,INDEX(JLRrates!$C:$C,MATCH(INDEX(Mapping!$C:$C,MATCH($A33,Mapping!$A:$A,0)),JLRrates!$B:$B,0))),0)</f>
        <v>0</v>
      </c>
      <c r="L33">
        <f>IFERROR(IF(OR(INDEX(Mapping!$C:$C,MATCH($A33,Mapping!$A:$A,0))="",INDEX(JLRrates!$D:$D,MATCH(INDEX(Mapping!$C:$C,MATCH($A33,Mapping!$A:$A,0)),JLRrates!$B:$B,0))=""),0,INDEX(JLRrates!$D:$D,MATCH(INDEX(Mapping!$C:$C,MATCH($A33,Mapping!$A:$A,0)),JLRrates!$B:$B,0))),0)</f>
        <v>0</v>
      </c>
    </row>
    <row r="34">
      <c r="A34" t="str">
        <v>mat-dc01-ze</v>
      </c>
      <c r="B34" t="str">
        <v>DC01+ZE (Electrogalvanised)</v>
      </c>
      <c r="C34" t="str">
        <v>Electrogalvanised Steel Sheet</v>
      </c>
      <c r="D34">
        <f>IF($K34&gt;0,$K34,0.93)</f>
        <v>0.93</v>
      </c>
      <c r="E34">
        <f>IF($L34&gt;0,$L34,0.2)</f>
        <v>0.2</v>
      </c>
      <c r="F34">
        <v>7850</v>
      </c>
      <c r="G34" t="str">
        <v>UK</v>
      </c>
      <c r="H34" t="str">
        <v>2026-07</v>
      </c>
      <c r="I34" t="str">
        <v>UK steel coil Jun 2026. Thin zinc coating — automotive body, appliance housings. Better paintability than hot-dip. Yield 140 MPa. Index-anchored 2026-07 (see PRICING BASIS).</v>
      </c>
      <c r="J34" t="str">
        <v>Medium</v>
      </c>
      <c r="K34">
        <f>IFERROR(IF(OR(INDEX(Mapping!$C:$C,MATCH($A34,Mapping!$A:$A,0))="",INDEX(JLRrates!$C:$C,MATCH(INDEX(Mapping!$C:$C,MATCH($A34,Mapping!$A:$A,0)),JLRrates!$B:$B,0))=""),0,INDEX(JLRrates!$C:$C,MATCH(INDEX(Mapping!$C:$C,MATCH($A34,Mapping!$A:$A,0)),JLRrates!$B:$B,0))),0)</f>
        <v>0</v>
      </c>
      <c r="L34">
        <f>IFERROR(IF(OR(INDEX(Mapping!$C:$C,MATCH($A34,Mapping!$A:$A,0))="",INDEX(JLRrates!$D:$D,MATCH(INDEX(Mapping!$C:$C,MATCH($A34,Mapping!$A:$A,0)),JLRrates!$B:$B,0))=""),0,INDEX(JLRrates!$D:$D,MATCH(INDEX(Mapping!$C:$C,MATCH($A34,Mapping!$A:$A,0)),JLRrates!$B:$B,0))),0)</f>
        <v>0</v>
      </c>
    </row>
    <row r="35">
      <c r="A35" t="str">
        <v>mat-hsla420</v>
      </c>
      <c r="B35" t="str">
        <v>HSLA 420 Sheet</v>
      </c>
      <c r="C35" t="str">
        <v>High Strength Steel Sheet</v>
      </c>
      <c r="D35">
        <f>IF($K35&gt;0,$K35,1.24)</f>
        <v>1.24</v>
      </c>
      <c r="E35">
        <f>IF($L35&gt;0,$L35,0.22)</f>
        <v>0.22</v>
      </c>
      <c r="F35">
        <v>7850</v>
      </c>
      <c r="G35" t="str">
        <v>UK</v>
      </c>
      <c r="H35" t="str">
        <v>2026-07</v>
      </c>
      <c r="I35" t="str">
        <v>UK HSLA coil Jun 2026. 420 MPa min yield — structural reinforcements, crash components. Higher strength premium over HSLA 340. Index-anchored 2026-07 (see PRICING BASIS).</v>
      </c>
      <c r="J35" t="str">
        <v>Low</v>
      </c>
      <c r="K35">
        <f>IFERROR(IF(OR(INDEX(Mapping!$C:$C,MATCH($A35,Mapping!$A:$A,0))="",INDEX(JLRrates!$C:$C,MATCH(INDEX(Mapping!$C:$C,MATCH($A35,Mapping!$A:$A,0)),JLRrates!$B:$B,0))=""),0,INDEX(JLRrates!$C:$C,MATCH(INDEX(Mapping!$C:$C,MATCH($A35,Mapping!$A:$A,0)),JLRrates!$B:$B,0))),0)</f>
        <v>0</v>
      </c>
      <c r="L35">
        <f>IFERROR(IF(OR(INDEX(Mapping!$C:$C,MATCH($A35,Mapping!$A:$A,0))="",INDEX(JLRrates!$D:$D,MATCH(INDEX(Mapping!$C:$C,MATCH($A35,Mapping!$A:$A,0)),JLRrates!$B:$B,0))=""),0,INDEX(JLRrates!$D:$D,MATCH(INDEX(Mapping!$C:$C,MATCH($A35,Mapping!$A:$A,0)),JLRrates!$B:$B,0))),0)</f>
        <v>0</v>
      </c>
    </row>
    <row r="36">
      <c r="A36" t="str">
        <v>mat-hrpo</v>
      </c>
      <c r="B36" t="str">
        <v>HRPO (Hot Rolled Pickled &amp; Oiled)</v>
      </c>
      <c r="C36" t="str">
        <v>Mild Steel Sheet</v>
      </c>
      <c r="D36">
        <f>IF($K36&gt;0,$K36,0.72)</f>
        <v>0.72</v>
      </c>
      <c r="E36">
        <f>IF($L36&gt;0,$L36,0.18)</f>
        <v>0.18</v>
      </c>
      <c r="F36">
        <v>7850</v>
      </c>
      <c r="G36" t="str">
        <v>UK</v>
      </c>
      <c r="H36" t="str">
        <v>2026-07</v>
      </c>
      <c r="I36" t="str">
        <v>UK steel coil Jun 2026. Hot-rolled, pickled and oiled — structural fabrication, heavy-gauge brackets, lower cost than CR. Yield 250 MPa. Index-anchored 2026-07 (see PRICING BASIS).</v>
      </c>
      <c r="J36" t="str">
        <v>Medium</v>
      </c>
      <c r="K36">
        <f>IFERROR(IF(OR(INDEX(Mapping!$C:$C,MATCH($A36,Mapping!$A:$A,0))="",INDEX(JLRrates!$C:$C,MATCH(INDEX(Mapping!$C:$C,MATCH($A36,Mapping!$A:$A,0)),JLRrates!$B:$B,0))=""),0,INDEX(JLRrates!$C:$C,MATCH(INDEX(Mapping!$C:$C,MATCH($A36,Mapping!$A:$A,0)),JLRrates!$B:$B,0))),0)</f>
        <v>0</v>
      </c>
      <c r="L36">
        <f>IFERROR(IF(OR(INDEX(Mapping!$C:$C,MATCH($A36,Mapping!$A:$A,0))="",INDEX(JLRrates!$D:$D,MATCH(INDEX(Mapping!$C:$C,MATCH($A36,Mapping!$A:$A,0)),JLRrates!$B:$B,0))=""),0,INDEX(JLRrates!$D:$D,MATCH(INDEX(Mapping!$C:$C,MATCH($A36,Mapping!$A:$A,0)),JLRrates!$B:$B,0))),0)</f>
        <v>0</v>
      </c>
    </row>
    <row r="37">
      <c r="A37" t="str">
        <v>mat-aa5754-sheet</v>
      </c>
      <c r="B37" t="str">
        <v>AA5754-H22 Sheet</v>
      </c>
      <c r="C37" t="str">
        <v>Aluminium Sheet</v>
      </c>
      <c r="D37">
        <f>IF($K37&gt;0,$K37,3.38)</f>
        <v>3.38</v>
      </c>
      <c r="E37">
        <f>IF($L37&gt;0,$L37,0.5)</f>
        <v>0.5</v>
      </c>
      <c r="F37">
        <v>2660</v>
      </c>
      <c r="G37" t="str">
        <v>UK</v>
      </c>
      <c r="H37" t="str">
        <v>2026-07</v>
      </c>
      <c r="I37" t="str">
        <v>UK Al sheet stockholder Jun 2026. 5754 H22 — automotive body closures, truck panels. Excellent formability. Yield 140 MPa. Index-anchored 2026-07 (see PRICING BASIS).</v>
      </c>
      <c r="J37" t="str">
        <v>Medium</v>
      </c>
      <c r="K37">
        <f>IFERROR(IF(OR(INDEX(Mapping!$C:$C,MATCH($A37,Mapping!$A:$A,0))="",INDEX(JLRrates!$C:$C,MATCH(INDEX(Mapping!$C:$C,MATCH($A37,Mapping!$A:$A,0)),JLRrates!$B:$B,0))=""),0,INDEX(JLRrates!$C:$C,MATCH(INDEX(Mapping!$C:$C,MATCH($A37,Mapping!$A:$A,0)),JLRrates!$B:$B,0))),0)</f>
        <v>0</v>
      </c>
      <c r="L37">
        <f>IFERROR(IF(OR(INDEX(Mapping!$C:$C,MATCH($A37,Mapping!$A:$A,0))="",INDEX(JLRrates!$D:$D,MATCH(INDEX(Mapping!$C:$C,MATCH($A37,Mapping!$A:$A,0)),JLRrates!$B:$B,0))=""),0,INDEX(JLRrates!$D:$D,MATCH(INDEX(Mapping!$C:$C,MATCH($A37,Mapping!$A:$A,0)),JLRrates!$B:$B,0))),0)</f>
        <v>0</v>
      </c>
    </row>
    <row r="38">
      <c r="A38" t="str">
        <v>mat-aa6061-sheet</v>
      </c>
      <c r="B38" t="str">
        <v>AA6061-T6 Sheet/Plate</v>
      </c>
      <c r="C38" t="str">
        <v>Aluminium Sheet</v>
      </c>
      <c r="D38">
        <f>IF($K38&gt;0,$K38,3.72)</f>
        <v>3.72</v>
      </c>
      <c r="E38">
        <f>IF($L38&gt;0,$L38,0.5)</f>
        <v>0.5</v>
      </c>
      <c r="F38">
        <v>2700</v>
      </c>
      <c r="G38" t="str">
        <v>UK</v>
      </c>
      <c r="H38" t="str">
        <v>2026-07</v>
      </c>
      <c r="I38" t="str">
        <v>UK Al sheet stockholder Jun 2026. 6061 T6 — general structural, aerospace, vehicle frames. Yield 276 MPa. Good weldability. Index-anchored 2026-07 (see PRICING BASIS).</v>
      </c>
      <c r="J38" t="str">
        <v>Medium</v>
      </c>
      <c r="K38">
        <f>IFERROR(IF(OR(INDEX(Mapping!$C:$C,MATCH($A38,Mapping!$A:$A,0))="",INDEX(JLRrates!$C:$C,MATCH(INDEX(Mapping!$C:$C,MATCH($A38,Mapping!$A:$A,0)),JLRrates!$B:$B,0))=""),0,INDEX(JLRrates!$C:$C,MATCH(INDEX(Mapping!$C:$C,MATCH($A38,Mapping!$A:$A,0)),JLRrates!$B:$B,0))),0)</f>
        <v>0</v>
      </c>
      <c r="L38">
        <f>IFERROR(IF(OR(INDEX(Mapping!$C:$C,MATCH($A38,Mapping!$A:$A,0))="",INDEX(JLRrates!$D:$D,MATCH(INDEX(Mapping!$C:$C,MATCH($A38,Mapping!$A:$A,0)),JLRrates!$B:$B,0))=""),0,INDEX(JLRrates!$D:$D,MATCH(INDEX(Mapping!$C:$C,MATCH($A38,Mapping!$A:$A,0)),JLRrates!$B:$B,0))),0)</f>
        <v>0</v>
      </c>
    </row>
    <row r="39">
      <c r="A39" t="str">
        <v>mat-aa6063-sheet</v>
      </c>
      <c r="B39" t="str">
        <v>AA6063-T5 Sheet</v>
      </c>
      <c r="C39" t="str">
        <v>Aluminium Sheet</v>
      </c>
      <c r="D39">
        <f>IF($K39&gt;0,$K39,3.55)</f>
        <v>3.55</v>
      </c>
      <c r="E39">
        <f>IF($L39&gt;0,$L39,0.5)</f>
        <v>0.5</v>
      </c>
      <c r="F39">
        <v>2690</v>
      </c>
      <c r="G39" t="str">
        <v>UK</v>
      </c>
      <c r="H39" t="str">
        <v>2026-07</v>
      </c>
      <c r="I39" t="str">
        <v>UK Al sheet stockholder Jun 2026. 6063 T5 — architectural panels, window frames, radiators. Yield 145 MPa. Anodises well. Index-anchored 2026-07 (see PRICING BASIS).</v>
      </c>
      <c r="J39" t="str">
        <v>Low</v>
      </c>
      <c r="K39">
        <f>IFERROR(IF(OR(INDEX(Mapping!$C:$C,MATCH($A39,Mapping!$A:$A,0))="",INDEX(JLRrates!$C:$C,MATCH(INDEX(Mapping!$C:$C,MATCH($A39,Mapping!$A:$A,0)),JLRrates!$B:$B,0))=""),0,INDEX(JLRrates!$C:$C,MATCH(INDEX(Mapping!$C:$C,MATCH($A39,Mapping!$A:$A,0)),JLRrates!$B:$B,0))),0)</f>
        <v>0</v>
      </c>
      <c r="L39">
        <f>IFERROR(IF(OR(INDEX(Mapping!$C:$C,MATCH($A39,Mapping!$A:$A,0))="",INDEX(JLRrates!$D:$D,MATCH(INDEX(Mapping!$C:$C,MATCH($A39,Mapping!$A:$A,0)),JLRrates!$B:$B,0))=""),0,INDEX(JLRrates!$D:$D,MATCH(INDEX(Mapping!$C:$C,MATCH($A39,Mapping!$A:$A,0)),JLRrates!$B:$B,0))),0)</f>
        <v>0</v>
      </c>
    </row>
    <row r="40">
      <c r="A40" t="str">
        <v>mat-aa3003-sheet</v>
      </c>
      <c r="B40" t="str">
        <v>AA3003-H14 Sheet</v>
      </c>
      <c r="C40" t="str">
        <v>Aluminium Sheet</v>
      </c>
      <c r="D40">
        <f>IF($K40&gt;0,$K40,3.05)</f>
        <v>3.05</v>
      </c>
      <c r="E40">
        <f>IF($L40&gt;0,$L40,0.48)</f>
        <v>0.48</v>
      </c>
      <c r="F40">
        <v>2730</v>
      </c>
      <c r="G40" t="str">
        <v>UK</v>
      </c>
      <c r="H40" t="str">
        <v>2026-07</v>
      </c>
      <c r="I40" t="str">
        <v>UK Al sheet stockholder Jun 2026. 3003 H14 — heat exchangers, chemical equipment, fuel tanks, cookware. Best formability of common Al alloys. Yield 145 MPa. Index-anchored 2026-07 (see PRICING BASIS).</v>
      </c>
      <c r="J40" t="str">
        <v>Low</v>
      </c>
      <c r="K40">
        <f>IFERROR(IF(OR(INDEX(Mapping!$C:$C,MATCH($A40,Mapping!$A:$A,0))="",INDEX(JLRrates!$C:$C,MATCH(INDEX(Mapping!$C:$C,MATCH($A40,Mapping!$A:$A,0)),JLRrates!$B:$B,0))=""),0,INDEX(JLRrates!$C:$C,MATCH(INDEX(Mapping!$C:$C,MATCH($A40,Mapping!$A:$A,0)),JLRrates!$B:$B,0))),0)</f>
        <v>0</v>
      </c>
      <c r="L40">
        <f>IFERROR(IF(OR(INDEX(Mapping!$C:$C,MATCH($A40,Mapping!$A:$A,0))="",INDEX(JLRrates!$D:$D,MATCH(INDEX(Mapping!$C:$C,MATCH($A40,Mapping!$A:$A,0)),JLRrates!$B:$B,0))=""),0,INDEX(JLRrates!$D:$D,MATCH(INDEX(Mapping!$C:$C,MATCH($A40,Mapping!$A:$A,0)),JLRrates!$B:$B,0))),0)</f>
        <v>0</v>
      </c>
    </row>
    <row r="41">
      <c r="A41" t="str">
        <v>mat-c110-copper</v>
      </c>
      <c r="B41" t="str">
        <v>C110 ETP Copper Sheet</v>
      </c>
      <c r="C41" t="str">
        <v>Copper &amp; Brass Sheet</v>
      </c>
      <c r="D41">
        <f>IF($K41&gt;0,$K41,9.85)</f>
        <v>9.85</v>
      </c>
      <c r="E41">
        <f>IF($L41&gt;0,$L41,5.5)</f>
        <v>5.5</v>
      </c>
      <c r="F41">
        <v>8940</v>
      </c>
      <c r="G41" t="str">
        <v>UK</v>
      </c>
      <c r="H41" t="str">
        <v>2026-07</v>
      </c>
      <c r="I41" t="str">
        <v>UK copper stockholder Jun 2026. C110 ETP copper — busbars, electrical contacts, heat sinks, roofing. 99.9% Cu, 100% IACS. Yield 70 MPa. Index-anchored 2026-07 (see PRICING BASIS).</v>
      </c>
      <c r="J41" t="str">
        <v>Medium</v>
      </c>
      <c r="K41">
        <f>IFERROR(IF(OR(INDEX(Mapping!$C:$C,MATCH($A41,Mapping!$A:$A,0))="",INDEX(JLRrates!$C:$C,MATCH(INDEX(Mapping!$C:$C,MATCH($A41,Mapping!$A:$A,0)),JLRrates!$B:$B,0))=""),0,INDEX(JLRrates!$C:$C,MATCH(INDEX(Mapping!$C:$C,MATCH($A41,Mapping!$A:$A,0)),JLRrates!$B:$B,0))),0)</f>
        <v>0</v>
      </c>
      <c r="L41">
        <f>IFERROR(IF(OR(INDEX(Mapping!$C:$C,MATCH($A41,Mapping!$A:$A,0))="",INDEX(JLRrates!$D:$D,MATCH(INDEX(Mapping!$C:$C,MATCH($A41,Mapping!$A:$A,0)),JLRrates!$B:$B,0))=""),0,INDEX(JLRrates!$D:$D,MATCH(INDEX(Mapping!$C:$C,MATCH($A41,Mapping!$A:$A,0)),JLRrates!$B:$B,0))),0)</f>
        <v>0</v>
      </c>
    </row>
    <row r="42">
      <c r="A42" t="str">
        <v>mat-cz108-brass</v>
      </c>
      <c r="B42" t="str">
        <v>CZ108 Brass Sheet (70/30)</v>
      </c>
      <c r="C42" t="str">
        <v>Copper &amp; Brass Sheet</v>
      </c>
      <c r="D42">
        <f>IF($K42&gt;0,$K42,7.42)</f>
        <v>7.42</v>
      </c>
      <c r="E42">
        <f>IF($L42&gt;0,$L42,4.2)</f>
        <v>4.2</v>
      </c>
      <c r="F42">
        <v>8530</v>
      </c>
      <c r="G42" t="str">
        <v>UK</v>
      </c>
      <c r="H42" t="str">
        <v>2026-07</v>
      </c>
      <c r="I42" t="str">
        <v>UK brass stockholder Jun 2026. CZ108 70/30 cartridge brass — decorative panels, heat exchangers, plumbing fittings. Excellent cold formability. Yield 105 MPa. Index-anchored 2026-07 (see PRICING BASIS).</v>
      </c>
      <c r="J42" t="str">
        <v>Medium</v>
      </c>
      <c r="K42">
        <f>IFERROR(IF(OR(INDEX(Mapping!$C:$C,MATCH($A42,Mapping!$A:$A,0))="",INDEX(JLRrates!$C:$C,MATCH(INDEX(Mapping!$C:$C,MATCH($A42,Mapping!$A:$A,0)),JLRrates!$B:$B,0))=""),0,INDEX(JLRrates!$C:$C,MATCH(INDEX(Mapping!$C:$C,MATCH($A42,Mapping!$A:$A,0)),JLRrates!$B:$B,0))),0)</f>
        <v>0</v>
      </c>
      <c r="L42">
        <f>IFERROR(IF(OR(INDEX(Mapping!$C:$C,MATCH($A42,Mapping!$A:$A,0))="",INDEX(JLRrates!$D:$D,MATCH(INDEX(Mapping!$C:$C,MATCH($A42,Mapping!$A:$A,0)),JLRrates!$B:$B,0))=""),0,INDEX(JLRrates!$D:$D,MATCH(INDEX(Mapping!$C:$C,MATCH($A42,Mapping!$A:$A,0)),JLRrates!$B:$B,0))),0)</f>
        <v>0</v>
      </c>
    </row>
    <row r="43">
      <c r="A43" t="str">
        <v>mat-dp780</v>
      </c>
      <c r="B43" t="str">
        <v>DP780</v>
      </c>
      <c r="C43" t="str">
        <v>AHSS Sheet</v>
      </c>
      <c r="D43">
        <f>IF($K43&gt;0,$K43,1.32)</f>
        <v>1.32</v>
      </c>
      <c r="E43">
        <f>IF($L43&gt;0,$L43,0.22)</f>
        <v>0.22</v>
      </c>
      <c r="F43">
        <v>7850</v>
      </c>
      <c r="G43" t="str">
        <v>UK</v>
      </c>
      <c r="H43" t="str">
        <v>2026-07</v>
      </c>
      <c r="I43" t="str">
        <v>UK AHSS coil Jul 2026. Dual-phase 780 MPa UTS — crash rails, seat structures. Needs ~1.6× press tonnage &amp; extra restrike vs DP600; springback compensation in die. Yield ~450 MPa.</v>
      </c>
      <c r="J43" t="str">
        <v>Low</v>
      </c>
      <c r="K43">
        <f>IFERROR(IF(OR(INDEX(Mapping!$C:$C,MATCH($A43,Mapping!$A:$A,0))="",INDEX(JLRrates!$C:$C,MATCH(INDEX(Mapping!$C:$C,MATCH($A43,Mapping!$A:$A,0)),JLRrates!$B:$B,0))=""),0,INDEX(JLRrates!$C:$C,MATCH(INDEX(Mapping!$C:$C,MATCH($A43,Mapping!$A:$A,0)),JLRrates!$B:$B,0))),0)</f>
        <v>0</v>
      </c>
      <c r="L43">
        <f>IFERROR(IF(OR(INDEX(Mapping!$C:$C,MATCH($A43,Mapping!$A:$A,0))="",INDEX(JLRrates!$D:$D,MATCH(INDEX(Mapping!$C:$C,MATCH($A43,Mapping!$A:$A,0)),JLRrates!$B:$B,0))=""),0,INDEX(JLRrates!$D:$D,MATCH(INDEX(Mapping!$C:$C,MATCH($A43,Mapping!$A:$A,0)),JLRrates!$B:$B,0))),0)</f>
        <v>0</v>
      </c>
    </row>
    <row r="44">
      <c r="A44" t="str">
        <v>mat-dp980</v>
      </c>
      <c r="B44" t="str">
        <v>DP980</v>
      </c>
      <c r="C44" t="str">
        <v>AHSS Sheet</v>
      </c>
      <c r="D44">
        <f>IF($K44&gt;0,$K44,1.45)</f>
        <v>1.45</v>
      </c>
      <c r="E44">
        <f>IF($L44&gt;0,$L44,0.22)</f>
        <v>0.22</v>
      </c>
      <c r="F44">
        <v>7850</v>
      </c>
      <c r="G44" t="str">
        <v>UK</v>
      </c>
      <c r="H44" t="str">
        <v>2026-07</v>
      </c>
      <c r="I44" t="str">
        <v>UK AHSS coil Jul 2026. Dual-phase 980 MPa UTS — B-pillar reinforcements, longitudinals. High die wear, significant springback, limited formability. Yield ~600 MPa.</v>
      </c>
      <c r="J44" t="str">
        <v>Low</v>
      </c>
      <c r="K44">
        <f>IFERROR(IF(OR(INDEX(Mapping!$C:$C,MATCH($A44,Mapping!$A:$A,0))="",INDEX(JLRrates!$C:$C,MATCH(INDEX(Mapping!$C:$C,MATCH($A44,Mapping!$A:$A,0)),JLRrates!$B:$B,0))=""),0,INDEX(JLRrates!$C:$C,MATCH(INDEX(Mapping!$C:$C,MATCH($A44,Mapping!$A:$A,0)),JLRrates!$B:$B,0))),0)</f>
        <v>0</v>
      </c>
      <c r="L44">
        <f>IFERROR(IF(OR(INDEX(Mapping!$C:$C,MATCH($A44,Mapping!$A:$A,0))="",INDEX(JLRrates!$D:$D,MATCH(INDEX(Mapping!$C:$C,MATCH($A44,Mapping!$A:$A,0)),JLRrates!$B:$B,0))=""),0,INDEX(JLRrates!$D:$D,MATCH(INDEX(Mapping!$C:$C,MATCH($A44,Mapping!$A:$A,0)),JLRrates!$B:$B,0))),0)</f>
        <v>0</v>
      </c>
    </row>
    <row r="45">
      <c r="A45" t="str">
        <v>mat-dp1000</v>
      </c>
      <c r="B45" t="str">
        <v>DP1000</v>
      </c>
      <c r="C45" t="str">
        <v>AHSS Sheet</v>
      </c>
      <c r="D45">
        <f>IF($K45&gt;0,$K45,1.52)</f>
        <v>1.52</v>
      </c>
      <c r="E45">
        <f>IF($L45&gt;0,$L45,0.22)</f>
        <v>0.22</v>
      </c>
      <c r="F45">
        <v>7850</v>
      </c>
      <c r="G45" t="str">
        <v>UK</v>
      </c>
      <c r="H45" t="str">
        <v>2026-07</v>
      </c>
      <c r="I45" t="str">
        <v>UK AHSS coil Jul 2026. Dual-phase 1000 MPa UTS — cold-formed crash structures. Yield ~700 MPa.</v>
      </c>
      <c r="J45" t="str">
        <v>Low</v>
      </c>
      <c r="K45">
        <f>IFERROR(IF(OR(INDEX(Mapping!$C:$C,MATCH($A45,Mapping!$A:$A,0))="",INDEX(JLRrates!$C:$C,MATCH(INDEX(Mapping!$C:$C,MATCH($A45,Mapping!$A:$A,0)),JLRrates!$B:$B,0))=""),0,INDEX(JLRrates!$C:$C,MATCH(INDEX(Mapping!$C:$C,MATCH($A45,Mapping!$A:$A,0)),JLRrates!$B:$B,0))),0)</f>
        <v>0</v>
      </c>
      <c r="L45">
        <f>IFERROR(IF(OR(INDEX(Mapping!$C:$C,MATCH($A45,Mapping!$A:$A,0))="",INDEX(JLRrates!$D:$D,MATCH(INDEX(Mapping!$C:$C,MATCH($A45,Mapping!$A:$A,0)),JLRrates!$B:$B,0))=""),0,INDEX(JLRrates!$D:$D,MATCH(INDEX(Mapping!$C:$C,MATCH($A45,Mapping!$A:$A,0)),JLRrates!$B:$B,0))),0)</f>
        <v>0</v>
      </c>
    </row>
    <row r="46">
      <c r="A46" t="str">
        <v>mat-trip780</v>
      </c>
      <c r="B46" t="str">
        <v>TRIP780</v>
      </c>
      <c r="C46" t="str">
        <v>AHSS Sheet</v>
      </c>
      <c r="D46">
        <f>IF($K46&gt;0,$K46,1.4)</f>
        <v>1.4</v>
      </c>
      <c r="E46">
        <f>IF($L46&gt;0,$L46,0.22)</f>
        <v>0.22</v>
      </c>
      <c r="F46">
        <v>7850</v>
      </c>
      <c r="G46" t="str">
        <v>UK</v>
      </c>
      <c r="H46" t="str">
        <v>2026-07</v>
      </c>
      <c r="I46" t="str">
        <v>UK AHSS coil Jul 2026. Transformation-induced plasticity 780 — best strength/formability balance, energy-absorbing members. Retained austenite. Yield ~440 MPa.</v>
      </c>
      <c r="J46" t="str">
        <v>Low</v>
      </c>
      <c r="K46">
        <f>IFERROR(IF(OR(INDEX(Mapping!$C:$C,MATCH($A46,Mapping!$A:$A,0))="",INDEX(JLRrates!$C:$C,MATCH(INDEX(Mapping!$C:$C,MATCH($A46,Mapping!$A:$A,0)),JLRrates!$B:$B,0))=""),0,INDEX(JLRrates!$C:$C,MATCH(INDEX(Mapping!$C:$C,MATCH($A46,Mapping!$A:$A,0)),JLRrates!$B:$B,0))),0)</f>
        <v>0</v>
      </c>
      <c r="L46">
        <f>IFERROR(IF(OR(INDEX(Mapping!$C:$C,MATCH($A46,Mapping!$A:$A,0))="",INDEX(JLRrates!$D:$D,MATCH(INDEX(Mapping!$C:$C,MATCH($A46,Mapping!$A:$A,0)),JLRrates!$B:$B,0))=""),0,INDEX(JLRrates!$D:$D,MATCH(INDEX(Mapping!$C:$C,MATCH($A46,Mapping!$A:$A,0)),JLRrates!$B:$B,0))),0)</f>
        <v>0</v>
      </c>
    </row>
    <row r="47">
      <c r="A47" t="str">
        <v>mat-cp800</v>
      </c>
      <c r="B47" t="str">
        <v>CP800 (Complex Phase)</v>
      </c>
      <c r="C47" t="str">
        <v>AHSS Sheet</v>
      </c>
      <c r="D47">
        <f>IF($K47&gt;0,$K47,1.38)</f>
        <v>1.38</v>
      </c>
      <c r="E47">
        <f>IF($L47&gt;0,$L47,0.22)</f>
        <v>0.22</v>
      </c>
      <c r="F47">
        <v>7850</v>
      </c>
      <c r="G47" t="str">
        <v>UK</v>
      </c>
      <c r="H47" t="str">
        <v>2026-07</v>
      </c>
      <c r="I47" t="str">
        <v>UK AHSS coil Jul 2026. Complex-phase 800 — high yield, good edge-stretch/hole expansion for chassis &amp; suspension parts. Yield ~680 MPa.</v>
      </c>
      <c r="J47" t="str">
        <v>Low</v>
      </c>
      <c r="K47">
        <f>IFERROR(IF(OR(INDEX(Mapping!$C:$C,MATCH($A47,Mapping!$A:$A,0))="",INDEX(JLRrates!$C:$C,MATCH(INDEX(Mapping!$C:$C,MATCH($A47,Mapping!$A:$A,0)),JLRrates!$B:$B,0))=""),0,INDEX(JLRrates!$C:$C,MATCH(INDEX(Mapping!$C:$C,MATCH($A47,Mapping!$A:$A,0)),JLRrates!$B:$B,0))),0)</f>
        <v>0</v>
      </c>
      <c r="L47">
        <f>IFERROR(IF(OR(INDEX(Mapping!$C:$C,MATCH($A47,Mapping!$A:$A,0))="",INDEX(JLRrates!$D:$D,MATCH(INDEX(Mapping!$C:$C,MATCH($A47,Mapping!$A:$A,0)),JLRrates!$B:$B,0))=""),0,INDEX(JLRrates!$D:$D,MATCH(INDEX(Mapping!$C:$C,MATCH($A47,Mapping!$A:$A,0)),JLRrates!$B:$B,0))),0)</f>
        <v>0</v>
      </c>
    </row>
    <row r="48">
      <c r="A48" t="str">
        <v>mat-ms1200</v>
      </c>
      <c r="B48" t="str">
        <v>MS1200 (Martensitic)</v>
      </c>
      <c r="C48" t="str">
        <v>Ultra-High Strength Steel</v>
      </c>
      <c r="D48">
        <f>IF($K48&gt;0,$K48,1.55)</f>
        <v>1.55</v>
      </c>
      <c r="E48">
        <f>IF($L48&gt;0,$L48,0.22)</f>
        <v>0.22</v>
      </c>
      <c r="F48">
        <v>7850</v>
      </c>
      <c r="G48" t="str">
        <v>UK</v>
      </c>
      <c r="H48" t="str">
        <v>2026-07</v>
      </c>
      <c r="I48" t="str">
        <v>UK UHSS coil Jul 2026. Martensitic 1200 MPa — roll-formed bumper beams, door beams. Very low formability, roll-form only. Yield ~950 MPa.</v>
      </c>
      <c r="J48" t="str">
        <v>Low</v>
      </c>
      <c r="K48">
        <f>IFERROR(IF(OR(INDEX(Mapping!$C:$C,MATCH($A48,Mapping!$A:$A,0))="",INDEX(JLRrates!$C:$C,MATCH(INDEX(Mapping!$C:$C,MATCH($A48,Mapping!$A:$A,0)),JLRrates!$B:$B,0))=""),0,INDEX(JLRrates!$C:$C,MATCH(INDEX(Mapping!$C:$C,MATCH($A48,Mapping!$A:$A,0)),JLRrates!$B:$B,0))),0)</f>
        <v>0</v>
      </c>
      <c r="L48">
        <f>IFERROR(IF(OR(INDEX(Mapping!$C:$C,MATCH($A48,Mapping!$A:$A,0))="",INDEX(JLRrates!$D:$D,MATCH(INDEX(Mapping!$C:$C,MATCH($A48,Mapping!$A:$A,0)),JLRrates!$B:$B,0))=""),0,INDEX(JLRrates!$D:$D,MATCH(INDEX(Mapping!$C:$C,MATCH($A48,Mapping!$A:$A,0)),JLRrates!$B:$B,0))),0)</f>
        <v>0</v>
      </c>
    </row>
    <row r="49">
      <c r="A49" t="str">
        <v>mat-ms1500</v>
      </c>
      <c r="B49" t="str">
        <v>MS1500 (Martensitic)</v>
      </c>
      <c r="C49" t="str">
        <v>Ultra-High Strength Steel</v>
      </c>
      <c r="D49">
        <f>IF($K49&gt;0,$K49,1.72)</f>
        <v>1.72</v>
      </c>
      <c r="E49">
        <f>IF($L49&gt;0,$L49,0.22)</f>
        <v>0.22</v>
      </c>
      <c r="F49">
        <v>7850</v>
      </c>
      <c r="G49" t="str">
        <v>UK</v>
      </c>
      <c r="H49" t="str">
        <v>2026-07</v>
      </c>
      <c r="I49" t="str">
        <v>UK UHSS coil Jul 2026. Martensitic 1500 MPa — bumper beams, intrusion beams. Roll-forming or hot forming only. Yield ~1200 MPa.</v>
      </c>
      <c r="J49" t="str">
        <v>Low</v>
      </c>
      <c r="K49">
        <f>IFERROR(IF(OR(INDEX(Mapping!$C:$C,MATCH($A49,Mapping!$A:$A,0))="",INDEX(JLRrates!$C:$C,MATCH(INDEX(Mapping!$C:$C,MATCH($A49,Mapping!$A:$A,0)),JLRrates!$B:$B,0))=""),0,INDEX(JLRrates!$C:$C,MATCH(INDEX(Mapping!$C:$C,MATCH($A49,Mapping!$A:$A,0)),JLRrates!$B:$B,0))),0)</f>
        <v>0</v>
      </c>
      <c r="L49">
        <f>IFERROR(IF(OR(INDEX(Mapping!$C:$C,MATCH($A49,Mapping!$A:$A,0))="",INDEX(JLRrates!$D:$D,MATCH(INDEX(Mapping!$C:$C,MATCH($A49,Mapping!$A:$A,0)),JLRrates!$B:$B,0))=""),0,INDEX(JLRrates!$D:$D,MATCH(INDEX(Mapping!$C:$C,MATCH($A49,Mapping!$A:$A,0)),JLRrates!$B:$B,0))),0)</f>
        <v>0</v>
      </c>
    </row>
    <row r="50">
      <c r="A50" t="str">
        <v>mat-usibor1500</v>
      </c>
      <c r="B50" t="str">
        <v>Usibor 1500 (AlSi-coated 22MnB5)</v>
      </c>
      <c r="C50" t="str">
        <v>Press-Hardening Steel</v>
      </c>
      <c r="D50">
        <f>IF($K50&gt;0,$K50,1.95)</f>
        <v>1.95</v>
      </c>
      <c r="E50">
        <f>IF($L50&gt;0,$L50,0.22)</f>
        <v>0.22</v>
      </c>
      <c r="F50">
        <v>7850</v>
      </c>
      <c r="G50" t="str">
        <v>UK</v>
      </c>
      <c r="H50" t="str">
        <v>2026-07</v>
      </c>
      <c r="I50" t="str">
        <v>UK PHS coil Jul 2026. AlSi-coated boron for hot stamping — A/B-pillar, rocker, roof rail. ~1500 MPa after press-hardening quench. Requires ~900°C furnace + water-cooled dies. Yield ~1100 MPa.</v>
      </c>
      <c r="J50" t="str">
        <v>Low</v>
      </c>
      <c r="K50">
        <f>IFERROR(IF(OR(INDEX(Mapping!$C:$C,MATCH($A50,Mapping!$A:$A,0))="",INDEX(JLRrates!$C:$C,MATCH(INDEX(Mapping!$C:$C,MATCH($A50,Mapping!$A:$A,0)),JLRrates!$B:$B,0))=""),0,INDEX(JLRrates!$C:$C,MATCH(INDEX(Mapping!$C:$C,MATCH($A50,Mapping!$A:$A,0)),JLRrates!$B:$B,0))),0)</f>
        <v>0</v>
      </c>
      <c r="L50">
        <f>IFERROR(IF(OR(INDEX(Mapping!$C:$C,MATCH($A50,Mapping!$A:$A,0))="",INDEX(JLRrates!$D:$D,MATCH(INDEX(Mapping!$C:$C,MATCH($A50,Mapping!$A:$A,0)),JLRrates!$B:$B,0))=""),0,INDEX(JLRrates!$D:$D,MATCH(INDEX(Mapping!$C:$C,MATCH($A50,Mapping!$A:$A,0)),JLRrates!$B:$B,0))),0)</f>
        <v>0</v>
      </c>
    </row>
    <row r="51">
      <c r="A51" t="str">
        <v>mat-usibor2000</v>
      </c>
      <c r="B51" t="str">
        <v>Usibor 2000</v>
      </c>
      <c r="C51" t="str">
        <v>Press-Hardening Steel</v>
      </c>
      <c r="D51">
        <f>IF($K51&gt;0,$K51,2.35)</f>
        <v>2.35</v>
      </c>
      <c r="E51">
        <f>IF($L51&gt;0,$L51,0.22)</f>
        <v>0.22</v>
      </c>
      <c r="F51">
        <v>7850</v>
      </c>
      <c r="G51" t="str">
        <v>UK</v>
      </c>
      <c r="H51" t="str">
        <v>2026-07</v>
      </c>
      <c r="I51" t="str">
        <v>UK PHS coil Jul 2026. Next-gen ~2000 MPa press-hardening steel for lightweight safety cage. Highest strength hot-stamping grade. Yield ~1400 MPa.</v>
      </c>
      <c r="J51" t="str">
        <v>Low</v>
      </c>
      <c r="K51">
        <f>IFERROR(IF(OR(INDEX(Mapping!$C:$C,MATCH($A51,Mapping!$A:$A,0))="",INDEX(JLRrates!$C:$C,MATCH(INDEX(Mapping!$C:$C,MATCH($A51,Mapping!$A:$A,0)),JLRrates!$B:$B,0))=""),0,INDEX(JLRrates!$C:$C,MATCH(INDEX(Mapping!$C:$C,MATCH($A51,Mapping!$A:$A,0)),JLRrates!$B:$B,0))),0)</f>
        <v>0</v>
      </c>
      <c r="L51">
        <f>IFERROR(IF(OR(INDEX(Mapping!$C:$C,MATCH($A51,Mapping!$A:$A,0))="",INDEX(JLRrates!$D:$D,MATCH(INDEX(Mapping!$C:$C,MATCH($A51,Mapping!$A:$A,0)),JLRrates!$B:$B,0))=""),0,INDEX(JLRrates!$D:$D,MATCH(INDEX(Mapping!$C:$C,MATCH($A51,Mapping!$A:$A,0)),JLRrates!$B:$B,0))),0)</f>
        <v>0</v>
      </c>
    </row>
    <row r="52">
      <c r="A52" t="str">
        <v>mat-ms1300</v>
      </c>
      <c r="B52" t="str">
        <v>MS1300 (Martensitic)</v>
      </c>
      <c r="C52" t="str">
        <v>Ultra-High Strength Steel</v>
      </c>
      <c r="D52">
        <f>IF($K52&gt;0,$K52,1.62)</f>
        <v>1.62</v>
      </c>
      <c r="E52">
        <f>IF($L52&gt;0,$L52,0.22)</f>
        <v>0.22</v>
      </c>
      <c r="F52">
        <v>7850</v>
      </c>
      <c r="G52" t="str">
        <v>UK</v>
      </c>
      <c r="H52" t="str">
        <v>2026-07</v>
      </c>
      <c r="I52" t="str">
        <v>UK UHSS coil Jul 2026. Martensitic 1300 MPa — roll-formed reinforcements. Yield ~1050 MPa.</v>
      </c>
      <c r="J52" t="str">
        <v>Low</v>
      </c>
      <c r="K52">
        <f>IFERROR(IF(OR(INDEX(Mapping!$C:$C,MATCH($A52,Mapping!$A:$A,0))="",INDEX(JLRrates!$C:$C,MATCH(INDEX(Mapping!$C:$C,MATCH($A52,Mapping!$A:$A,0)),JLRrates!$B:$B,0))=""),0,INDEX(JLRrates!$C:$C,MATCH(INDEX(Mapping!$C:$C,MATCH($A52,Mapping!$A:$A,0)),JLRrates!$B:$B,0))),0)</f>
        <v>0</v>
      </c>
      <c r="L52">
        <f>IFERROR(IF(OR(INDEX(Mapping!$C:$C,MATCH($A52,Mapping!$A:$A,0))="",INDEX(JLRrates!$D:$D,MATCH(INDEX(Mapping!$C:$C,MATCH($A52,Mapping!$A:$A,0)),JLRrates!$B:$B,0))=""),0,INDEX(JLRrates!$D:$D,MATCH(INDEX(Mapping!$C:$C,MATCH($A52,Mapping!$A:$A,0)),JLRrates!$B:$B,0))),0)</f>
        <v>0</v>
      </c>
    </row>
    <row r="53">
      <c r="A53" t="str">
        <v>mat-qp980</v>
      </c>
      <c r="B53" t="str">
        <v>QP980 (Quench &amp; Partition)</v>
      </c>
      <c r="C53" t="str">
        <v>AHSS Sheet (3rd Gen)</v>
      </c>
      <c r="D53">
        <f>IF($K53&gt;0,$K53,1.68)</f>
        <v>1.68</v>
      </c>
      <c r="E53">
        <f>IF($L53&gt;0,$L53,0.22)</f>
        <v>0.22</v>
      </c>
      <c r="F53">
        <v>7850</v>
      </c>
      <c r="G53" t="str">
        <v>UK</v>
      </c>
      <c r="H53" t="str">
        <v>2026-07</v>
      </c>
      <c r="I53" t="str">
        <v>UK AHSS coil Jul 2026. 3rd-gen quench-and-partition 980 — cold-formable at 980 MPa, high elongation. Structural + formable geometry. Yield ~700 MPa.</v>
      </c>
      <c r="J53" t="str">
        <v>Low</v>
      </c>
      <c r="K53">
        <f>IFERROR(IF(OR(INDEX(Mapping!$C:$C,MATCH($A53,Mapping!$A:$A,0))="",INDEX(JLRrates!$C:$C,MATCH(INDEX(Mapping!$C:$C,MATCH($A53,Mapping!$A:$A,0)),JLRrates!$B:$B,0))=""),0,INDEX(JLRrates!$C:$C,MATCH(INDEX(Mapping!$C:$C,MATCH($A53,Mapping!$A:$A,0)),JLRrates!$B:$B,0))),0)</f>
        <v>0</v>
      </c>
      <c r="L53">
        <f>IFERROR(IF(OR(INDEX(Mapping!$C:$C,MATCH($A53,Mapping!$A:$A,0))="",INDEX(JLRrates!$D:$D,MATCH(INDEX(Mapping!$C:$C,MATCH($A53,Mapping!$A:$A,0)),JLRrates!$B:$B,0))=""),0,INDEX(JLRrates!$D:$D,MATCH(INDEX(Mapping!$C:$C,MATCH($A53,Mapping!$A:$A,0)),JLRrates!$B:$B,0))),0)</f>
        <v>0</v>
      </c>
    </row>
    <row r="54">
      <c r="A54" t="str">
        <v>mat-medmn1180</v>
      </c>
      <c r="B54" t="str">
        <v>Medium-Mn 1180</v>
      </c>
      <c r="C54" t="str">
        <v>AHSS Sheet (3rd Gen)</v>
      </c>
      <c r="D54">
        <f>IF($K54&gt;0,$K54,1.75)</f>
        <v>1.75</v>
      </c>
      <c r="E54">
        <f>IF($L54&gt;0,$L54,0.22)</f>
        <v>0.22</v>
      </c>
      <c r="F54">
        <v>7850</v>
      </c>
      <c r="G54" t="str">
        <v>UK</v>
      </c>
      <c r="H54" t="str">
        <v>2026-07</v>
      </c>
      <c r="I54" t="str">
        <v>UK AHSS coil Jul 2026. 3rd-gen medium-manganese 1180 — high strength + ductility for cold-formed safety parts. Yield ~850 MPa.</v>
      </c>
      <c r="J54" t="str">
        <v>Low</v>
      </c>
      <c r="K54">
        <f>IFERROR(IF(OR(INDEX(Mapping!$C:$C,MATCH($A54,Mapping!$A:$A,0))="",INDEX(JLRrates!$C:$C,MATCH(INDEX(Mapping!$C:$C,MATCH($A54,Mapping!$A:$A,0)),JLRrates!$B:$B,0))=""),0,INDEX(JLRrates!$C:$C,MATCH(INDEX(Mapping!$C:$C,MATCH($A54,Mapping!$A:$A,0)),JLRrates!$B:$B,0))),0)</f>
        <v>0</v>
      </c>
      <c r="L54">
        <f>IFERROR(IF(OR(INDEX(Mapping!$C:$C,MATCH($A54,Mapping!$A:$A,0))="",INDEX(JLRrates!$D:$D,MATCH(INDEX(Mapping!$C:$C,MATCH($A54,Mapping!$A:$A,0)),JLRrates!$B:$B,0))=""),0,INDEX(JLRrates!$D:$D,MATCH(INDEX(Mapping!$C:$C,MATCH($A54,Mapping!$A:$A,0)),JLRrates!$B:$B,0))),0)</f>
        <v>0</v>
      </c>
    </row>
    <row r="55">
      <c r="A55" t="str">
        <v>mat-hsla550</v>
      </c>
      <c r="B55" t="str">
        <v>HSLA 550</v>
      </c>
      <c r="C55" t="str">
        <v>High Strength Steel Sheet</v>
      </c>
      <c r="D55">
        <f>IF($K55&gt;0,$K55,1.34)</f>
        <v>1.34</v>
      </c>
      <c r="E55">
        <f>IF($L55&gt;0,$L55,0.22)</f>
        <v>0.22</v>
      </c>
      <c r="F55">
        <v>7850</v>
      </c>
      <c r="G55" t="str">
        <v>UK</v>
      </c>
      <c r="H55" t="str">
        <v>2026-07</v>
      </c>
      <c r="I55" t="str">
        <v>UK HSLA coil Jul 2026. 550 MPa min yield — chassis brackets, cross members, heavy reinforcements. Yield 550 MPa.</v>
      </c>
      <c r="J55" t="str">
        <v>Low</v>
      </c>
      <c r="K55">
        <f>IFERROR(IF(OR(INDEX(Mapping!$C:$C,MATCH($A55,Mapping!$A:$A,0))="",INDEX(JLRrates!$C:$C,MATCH(INDEX(Mapping!$C:$C,MATCH($A55,Mapping!$A:$A,0)),JLRrates!$B:$B,0))=""),0,INDEX(JLRrates!$C:$C,MATCH(INDEX(Mapping!$C:$C,MATCH($A55,Mapping!$A:$A,0)),JLRrates!$B:$B,0))),0)</f>
        <v>0</v>
      </c>
      <c r="L55">
        <f>IFERROR(IF(OR(INDEX(Mapping!$C:$C,MATCH($A55,Mapping!$A:$A,0))="",INDEX(JLRrates!$D:$D,MATCH(INDEX(Mapping!$C:$C,MATCH($A55,Mapping!$A:$A,0)),JLRrates!$B:$B,0))=""),0,INDEX(JLRrates!$D:$D,MATCH(INDEX(Mapping!$C:$C,MATCH($A55,Mapping!$A:$A,0)),JLRrates!$B:$B,0))),0)</f>
        <v>0</v>
      </c>
    </row>
    <row r="56">
      <c r="A56" t="str">
        <v>mat-bh260</v>
      </c>
      <c r="B56" t="str">
        <v>BH260 (Bake-Hardening)</v>
      </c>
      <c r="C56" t="str">
        <v>Bake-Hardening Steel Sheet</v>
      </c>
      <c r="D56">
        <f>IF($K56&gt;0,$K56,1.05)</f>
        <v>1.05</v>
      </c>
      <c r="E56">
        <f>IF($L56&gt;0,$L56,0.21)</f>
        <v>0.21</v>
      </c>
      <c r="F56">
        <v>7850</v>
      </c>
      <c r="G56" t="str">
        <v>UK</v>
      </c>
      <c r="H56" t="str">
        <v>2026-07</v>
      </c>
      <c r="I56" t="str">
        <v>UK BH coil Jul 2026. Bake-hardening +260 — outer body panels; formable when stamped, gains strength &amp; dent resistance after paint-bake. Yield ~180 MPa (pre-bake).</v>
      </c>
      <c r="J56" t="str">
        <v>Low</v>
      </c>
      <c r="K56">
        <f>IFERROR(IF(OR(INDEX(Mapping!$C:$C,MATCH($A56,Mapping!$A:$A,0))="",INDEX(JLRrates!$C:$C,MATCH(INDEX(Mapping!$C:$C,MATCH($A56,Mapping!$A:$A,0)),JLRrates!$B:$B,0))=""),0,INDEX(JLRrates!$C:$C,MATCH(INDEX(Mapping!$C:$C,MATCH($A56,Mapping!$A:$A,0)),JLRrates!$B:$B,0))),0)</f>
        <v>0</v>
      </c>
      <c r="L56">
        <f>IFERROR(IF(OR(INDEX(Mapping!$C:$C,MATCH($A56,Mapping!$A:$A,0))="",INDEX(JLRrates!$D:$D,MATCH(INDEX(Mapping!$C:$C,MATCH($A56,Mapping!$A:$A,0)),JLRrates!$B:$B,0))=""),0,INDEX(JLRrates!$D:$D,MATCH(INDEX(Mapping!$C:$C,MATCH($A56,Mapping!$A:$A,0)),JLRrates!$B:$B,0))),0)</f>
        <v>0</v>
      </c>
    </row>
    <row r="57">
      <c r="A57" t="str">
        <v>mat-if-dx56</v>
      </c>
      <c r="B57" t="str">
        <v>DX56D IF (Interstitial-Free)</v>
      </c>
      <c r="C57" t="str">
        <v>IF Steel Sheet</v>
      </c>
      <c r="D57">
        <f>IF($K57&gt;0,$K57,0.95)</f>
        <v>0.95</v>
      </c>
      <c r="E57">
        <f>IF($L57&gt;0,$L57,0.2)</f>
        <v>0.2</v>
      </c>
      <c r="F57">
        <v>7850</v>
      </c>
      <c r="G57" t="str">
        <v>UK</v>
      </c>
      <c r="H57" t="str">
        <v>2026-07</v>
      </c>
      <c r="I57" t="str">
        <v>UK IF coil Jul 2026. Ultra-formable interstitial-free — deep-drawn complex outer/inner panels (fenders, doors). Highest r-value/drawability. Yield ~140 MPa.</v>
      </c>
      <c r="J57" t="str">
        <v>Low</v>
      </c>
      <c r="K57">
        <f>IFERROR(IF(OR(INDEX(Mapping!$C:$C,MATCH($A57,Mapping!$A:$A,0))="",INDEX(JLRrates!$C:$C,MATCH(INDEX(Mapping!$C:$C,MATCH($A57,Mapping!$A:$A,0)),JLRrates!$B:$B,0))=""),0,INDEX(JLRrates!$C:$C,MATCH(INDEX(Mapping!$C:$C,MATCH($A57,Mapping!$A:$A,0)),JLRrates!$B:$B,0))),0)</f>
        <v>0</v>
      </c>
      <c r="L57">
        <f>IFERROR(IF(OR(INDEX(Mapping!$C:$C,MATCH($A57,Mapping!$A:$A,0))="",INDEX(JLRrates!$D:$D,MATCH(INDEX(Mapping!$C:$C,MATCH($A57,Mapping!$A:$A,0)),JLRrates!$B:$B,0))=""),0,INDEX(JLRrates!$D:$D,MATCH(INDEX(Mapping!$C:$C,MATCH($A57,Mapping!$A:$A,0)),JLRrates!$B:$B,0))),0)</f>
        <v>0</v>
      </c>
    </row>
    <row r="58">
      <c r="A58" t="str">
        <v>mat-if-hs260</v>
      </c>
      <c r="B58" t="str">
        <v>IF-HS 260 (High-Strength IF)</v>
      </c>
      <c r="C58" t="str">
        <v>IF Steel Sheet</v>
      </c>
      <c r="D58">
        <f>IF($K58&gt;0,$K58,1.08)</f>
        <v>1.08</v>
      </c>
      <c r="E58">
        <f>IF($L58&gt;0,$L58,0.21)</f>
        <v>0.21</v>
      </c>
      <c r="F58">
        <v>7850</v>
      </c>
      <c r="G58" t="str">
        <v>UK</v>
      </c>
      <c r="H58" t="str">
        <v>2026-07</v>
      </c>
      <c r="I58" t="str">
        <v>UK IF-HS coil Jul 2026. High-strength interstitial-free 260 — formable structural panels needing more strength than plain IF. Yield 260 MPa.</v>
      </c>
      <c r="J58" t="str">
        <v>Low</v>
      </c>
      <c r="K58">
        <f>IFERROR(IF(OR(INDEX(Mapping!$C:$C,MATCH($A58,Mapping!$A:$A,0))="",INDEX(JLRrates!$C:$C,MATCH(INDEX(Mapping!$C:$C,MATCH($A58,Mapping!$A:$A,0)),JLRrates!$B:$B,0))=""),0,INDEX(JLRrates!$C:$C,MATCH(INDEX(Mapping!$C:$C,MATCH($A58,Mapping!$A:$A,0)),JLRrates!$B:$B,0))),0)</f>
        <v>0</v>
      </c>
      <c r="L58">
        <f>IFERROR(IF(OR(INDEX(Mapping!$C:$C,MATCH($A58,Mapping!$A:$A,0))="",INDEX(JLRrates!$D:$D,MATCH(INDEX(Mapping!$C:$C,MATCH($A58,Mapping!$A:$A,0)),JLRrates!$B:$B,0))=""),0,INDEX(JLRrates!$D:$D,MATCH(INDEX(Mapping!$C:$C,MATCH($A58,Mapping!$A:$A,0)),JLRrates!$B:$B,0))),0)</f>
        <v>0</v>
      </c>
    </row>
    <row r="59">
      <c r="A59" t="str">
        <v>mat-dc04</v>
      </c>
      <c r="B59" t="str">
        <v>DC04 (CR4 Deep-Drawing)</v>
      </c>
      <c r="C59" t="str">
        <v>Mild Steel Sheet</v>
      </c>
      <c r="D59">
        <f>IF($K59&gt;0,$K59,0.72)</f>
        <v>0.72</v>
      </c>
      <c r="E59">
        <f>IF($L59&gt;0,$L59,0.19)</f>
        <v>0.19</v>
      </c>
      <c r="F59">
        <v>7850</v>
      </c>
      <c r="G59" t="str">
        <v>UK</v>
      </c>
      <c r="H59" t="str">
        <v>2026-07</v>
      </c>
      <c r="I59" t="str">
        <v>UK CR coil Jul 2026. Deep-drawing quality — enclosures, brackets, moderate draws. Better r-value than DC01.</v>
      </c>
      <c r="J59" t="str">
        <v>Medium</v>
      </c>
      <c r="K59">
        <f>IFERROR(IF(OR(INDEX(Mapping!$C:$C,MATCH($A59,Mapping!$A:$A,0))="",INDEX(JLRrates!$C:$C,MATCH(INDEX(Mapping!$C:$C,MATCH($A59,Mapping!$A:$A,0)),JLRrates!$B:$B,0))=""),0,INDEX(JLRrates!$C:$C,MATCH(INDEX(Mapping!$C:$C,MATCH($A59,Mapping!$A:$A,0)),JLRrates!$B:$B,0))),0)</f>
        <v>0</v>
      </c>
      <c r="L59">
        <f>IFERROR(IF(OR(INDEX(Mapping!$C:$C,MATCH($A59,Mapping!$A:$A,0))="",INDEX(JLRrates!$D:$D,MATCH(INDEX(Mapping!$C:$C,MATCH($A59,Mapping!$A:$A,0)),JLRrates!$B:$B,0))=""),0,INDEX(JLRrates!$D:$D,MATCH(INDEX(Mapping!$C:$C,MATCH($A59,Mapping!$A:$A,0)),JLRrates!$B:$B,0))),0)</f>
        <v>0</v>
      </c>
    </row>
    <row r="60">
      <c r="A60" t="str">
        <v>mat-dc05</v>
      </c>
      <c r="B60" t="str">
        <v>DC05 (Extra-Deep-Drawing)</v>
      </c>
      <c r="C60" t="str">
        <v>Mild Steel Sheet</v>
      </c>
      <c r="D60">
        <f>IF($K60&gt;0,$K60,0.75)</f>
        <v>0.75</v>
      </c>
      <c r="E60">
        <f>IF($L60&gt;0,$L60,0.19)</f>
        <v>0.19</v>
      </c>
      <c r="F60">
        <v>7850</v>
      </c>
      <c r="G60" t="str">
        <v>UK</v>
      </c>
      <c r="H60" t="str">
        <v>2026-07</v>
      </c>
      <c r="I60" t="str">
        <v>UK CR coil Jul 2026. Extra-deep-drawing — sinks, housings, deeper draws without splits.</v>
      </c>
      <c r="J60" t="str">
        <v>Low</v>
      </c>
      <c r="K60">
        <f>IFERROR(IF(OR(INDEX(Mapping!$C:$C,MATCH($A60,Mapping!$A:$A,0))="",INDEX(JLRrates!$C:$C,MATCH(INDEX(Mapping!$C:$C,MATCH($A60,Mapping!$A:$A,0)),JLRrates!$B:$B,0))=""),0,INDEX(JLRrates!$C:$C,MATCH(INDEX(Mapping!$C:$C,MATCH($A60,Mapping!$A:$A,0)),JLRrates!$B:$B,0))),0)</f>
        <v>0</v>
      </c>
      <c r="L60">
        <f>IFERROR(IF(OR(INDEX(Mapping!$C:$C,MATCH($A60,Mapping!$A:$A,0))="",INDEX(JLRrates!$D:$D,MATCH(INDEX(Mapping!$C:$C,MATCH($A60,Mapping!$A:$A,0)),JLRrates!$B:$B,0))=""),0,INDEX(JLRrates!$D:$D,MATCH(INDEX(Mapping!$C:$C,MATCH($A60,Mapping!$A:$A,0)),JLRrates!$B:$B,0))),0)</f>
        <v>0</v>
      </c>
    </row>
    <row r="61">
      <c r="A61" t="str">
        <v>mat-dc06</v>
      </c>
      <c r="B61" t="str">
        <v>DC06 (Super-Deep-Drawing IF)</v>
      </c>
      <c r="C61" t="str">
        <v>Mild Steel Sheet</v>
      </c>
      <c r="D61">
        <f>IF($K61&gt;0,$K61,0.8)</f>
        <v>0.8</v>
      </c>
      <c r="E61">
        <f>IF($L61&gt;0,$L61,0.19)</f>
        <v>0.19</v>
      </c>
      <c r="F61">
        <v>7850</v>
      </c>
      <c r="G61" t="str">
        <v>UK</v>
      </c>
      <c r="H61" t="str">
        <v>2026-07</v>
      </c>
      <c r="I61" t="str">
        <v>UK CR/IF coil Jul 2026. Super-deep-drawing IF grade — complex deep pressings, fuel-filler pockets, tanks. Highest formability CR grade.</v>
      </c>
      <c r="J61" t="str">
        <v>Low</v>
      </c>
      <c r="K61">
        <f>IFERROR(IF(OR(INDEX(Mapping!$C:$C,MATCH($A61,Mapping!$A:$A,0))="",INDEX(JLRrates!$C:$C,MATCH(INDEX(Mapping!$C:$C,MATCH($A61,Mapping!$A:$A,0)),JLRrates!$B:$B,0))=""),0,INDEX(JLRrates!$C:$C,MATCH(INDEX(Mapping!$C:$C,MATCH($A61,Mapping!$A:$A,0)),JLRrates!$B:$B,0))),0)</f>
        <v>0</v>
      </c>
      <c r="L61">
        <f>IFERROR(IF(OR(INDEX(Mapping!$C:$C,MATCH($A61,Mapping!$A:$A,0))="",INDEX(JLRrates!$D:$D,MATCH(INDEX(Mapping!$C:$C,MATCH($A61,Mapping!$A:$A,0)),JLRrates!$B:$B,0))=""),0,INDEX(JLRrates!$D:$D,MATCH(INDEX(Mapping!$C:$C,MATCH($A61,Mapping!$A:$A,0)),JLRrates!$B:$B,0))),0)</f>
        <v>0</v>
      </c>
    </row>
    <row r="62">
      <c r="A62" t="str">
        <v>mat-nogo-m270-35a</v>
      </c>
      <c r="B62" t="str">
        <v>M270-35A Non-Oriented Electrical (0.35mm)</v>
      </c>
      <c r="C62" t="str">
        <v>Electrical Steel Sheet</v>
      </c>
      <c r="D62">
        <f>IF($K62&gt;0,$K62,1.55)</f>
        <v>1.55</v>
      </c>
      <c r="E62">
        <f>IF($L62&gt;0,$L62,0.25)</f>
        <v>0.25</v>
      </c>
      <c r="F62">
        <v>7650</v>
      </c>
      <c r="G62" t="str">
        <v>UK</v>
      </c>
      <c r="H62" t="str">
        <v>2026-07</v>
      </c>
      <c r="I62" t="str">
        <v>UK electrical steel Jul 2026. Low-loss non-oriented Si-steel — EV/industrial motor + generator laminations; thin gauge, low core loss (~2.7 W/kg @1.5T/50Hz). Blanked/notched at high SPM.</v>
      </c>
      <c r="J62" t="str">
        <v>Low</v>
      </c>
      <c r="K62">
        <f>IFERROR(IF(OR(INDEX(Mapping!$C:$C,MATCH($A62,Mapping!$A:$A,0))="",INDEX(JLRrates!$C:$C,MATCH(INDEX(Mapping!$C:$C,MATCH($A62,Mapping!$A:$A,0)),JLRrates!$B:$B,0))=""),0,INDEX(JLRrates!$C:$C,MATCH(INDEX(Mapping!$C:$C,MATCH($A62,Mapping!$A:$A,0)),JLRrates!$B:$B,0))),0)</f>
        <v>0</v>
      </c>
      <c r="L62">
        <f>IFERROR(IF(OR(INDEX(Mapping!$C:$C,MATCH($A62,Mapping!$A:$A,0))="",INDEX(JLRrates!$D:$D,MATCH(INDEX(Mapping!$C:$C,MATCH($A62,Mapping!$A:$A,0)),JLRrates!$B:$B,0))=""),0,INDEX(JLRrates!$D:$D,MATCH(INDEX(Mapping!$C:$C,MATCH($A62,Mapping!$A:$A,0)),JLRrates!$B:$B,0))),0)</f>
        <v>0</v>
      </c>
    </row>
    <row r="63">
      <c r="A63" t="str">
        <v>mat-nogo-m400-50a</v>
      </c>
      <c r="B63" t="str">
        <v>M400-50A Non-Oriented Electrical (0.50mm)</v>
      </c>
      <c r="C63" t="str">
        <v>Electrical Steel Sheet</v>
      </c>
      <c r="D63">
        <f>IF($K63&gt;0,$K63,1.25)</f>
        <v>1.25</v>
      </c>
      <c r="E63">
        <f>IF($L63&gt;0,$L63,0.25)</f>
        <v>0.25</v>
      </c>
      <c r="F63">
        <v>7700</v>
      </c>
      <c r="G63" t="str">
        <v>UK</v>
      </c>
      <c r="H63" t="str">
        <v>2026-07</v>
      </c>
      <c r="I63" t="str">
        <v>UK electrical steel Jul 2026. General non-oriented Si-steel — appliance/industrial motors, pumps; 0.50mm, moderate loss. Cost-effective lamination grade.</v>
      </c>
      <c r="J63" t="str">
        <v>Low</v>
      </c>
      <c r="K63">
        <f>IFERROR(IF(OR(INDEX(Mapping!$C:$C,MATCH($A63,Mapping!$A:$A,0))="",INDEX(JLRrates!$C:$C,MATCH(INDEX(Mapping!$C:$C,MATCH($A63,Mapping!$A:$A,0)),JLRrates!$B:$B,0))=""),0,INDEX(JLRrates!$C:$C,MATCH(INDEX(Mapping!$C:$C,MATCH($A63,Mapping!$A:$A,0)),JLRrates!$B:$B,0))),0)</f>
        <v>0</v>
      </c>
      <c r="L63">
        <f>IFERROR(IF(OR(INDEX(Mapping!$C:$C,MATCH($A63,Mapping!$A:$A,0))="",INDEX(JLRrates!$D:$D,MATCH(INDEX(Mapping!$C:$C,MATCH($A63,Mapping!$A:$A,0)),JLRrates!$B:$B,0))=""),0,INDEX(JLRrates!$D:$D,MATCH(INDEX(Mapping!$C:$C,MATCH($A63,Mapping!$A:$A,0)),JLRrates!$B:$B,0))),0)</f>
        <v>0</v>
      </c>
    </row>
    <row r="64">
      <c r="A64" t="str">
        <v>mat-go-m105-30p</v>
      </c>
      <c r="B64" t="str">
        <v>M105-30P Grain-Oriented Electrical (0.30mm)</v>
      </c>
      <c r="C64" t="str">
        <v>Electrical Steel Sheet</v>
      </c>
      <c r="D64">
        <f>IF($K64&gt;0,$K64,2.9)</f>
        <v>2.9</v>
      </c>
      <c r="E64">
        <f>IF($L64&gt;0,$L64,0.3)</f>
        <v>0.3</v>
      </c>
      <c r="F64">
        <v>7650</v>
      </c>
      <c r="G64" t="str">
        <v>UK</v>
      </c>
      <c r="H64" t="str">
        <v>2026-07</v>
      </c>
      <c r="I64" t="str">
        <v>UK electrical steel Jul 2026. High-permeability grain-oriented Si-steel — transformer cores (E/I laminations, wound cores); very low loss along rolling direction. Premium over NO.</v>
      </c>
      <c r="J64" t="str">
        <v>Low</v>
      </c>
      <c r="K64">
        <f>IFERROR(IF(OR(INDEX(Mapping!$C:$C,MATCH($A64,Mapping!$A:$A,0))="",INDEX(JLRrates!$C:$C,MATCH(INDEX(Mapping!$C:$C,MATCH($A64,Mapping!$A:$A,0)),JLRrates!$B:$B,0))=""),0,INDEX(JLRrates!$C:$C,MATCH(INDEX(Mapping!$C:$C,MATCH($A64,Mapping!$A:$A,0)),JLRrates!$B:$B,0))),0)</f>
        <v>0</v>
      </c>
      <c r="L64">
        <f>IFERROR(IF(OR(INDEX(Mapping!$C:$C,MATCH($A64,Mapping!$A:$A,0))="",INDEX(JLRrates!$D:$D,MATCH(INDEX(Mapping!$C:$C,MATCH($A64,Mapping!$A:$A,0)),JLRrates!$B:$B,0))=""),0,INDEX(JLRrates!$D:$D,MATCH(INDEX(Mapping!$C:$C,MATCH($A64,Mapping!$A:$A,0)),JLRrates!$B:$B,0))),0)</f>
        <v>0</v>
      </c>
    </row>
    <row r="65">
      <c r="A65" t="str">
        <v>mat-m235-35a</v>
      </c>
      <c r="B65" t="str">
        <v>M235-35A NO Electrical (0.35mm, premium low-loss)</v>
      </c>
      <c r="C65" t="str">
        <v>Electrical Steel Sheet</v>
      </c>
      <c r="D65">
        <f>IF($K65&gt;0,$K65,1.95)</f>
        <v>1.95</v>
      </c>
      <c r="E65">
        <f>IF($L65&gt;0,$L65,0.25)</f>
        <v>0.25</v>
      </c>
      <c r="F65">
        <v>7650</v>
      </c>
      <c r="G65" t="str">
        <v>UK</v>
      </c>
      <c r="H65" t="str">
        <v>2026-07</v>
      </c>
      <c r="I65" t="str">
        <v>UK electrical steel Jul 2026. Premium low-loss NO — high-efficiency EV/industrial traction motors; ~2.35 W/kg @1.5T/50Hz. High-Si, thin gauge.</v>
      </c>
      <c r="J65" t="str">
        <v>Low</v>
      </c>
      <c r="K65">
        <f>IFERROR(IF(OR(INDEX(Mapping!$C:$C,MATCH($A65,Mapping!$A:$A,0))="",INDEX(JLRrates!$C:$C,MATCH(INDEX(Mapping!$C:$C,MATCH($A65,Mapping!$A:$A,0)),JLRrates!$B:$B,0))=""),0,INDEX(JLRrates!$C:$C,MATCH(INDEX(Mapping!$C:$C,MATCH($A65,Mapping!$A:$A,0)),JLRrates!$B:$B,0))),0)</f>
        <v>0</v>
      </c>
      <c r="L65">
        <f>IFERROR(IF(OR(INDEX(Mapping!$C:$C,MATCH($A65,Mapping!$A:$A,0))="",INDEX(JLRrates!$D:$D,MATCH(INDEX(Mapping!$C:$C,MATCH($A65,Mapping!$A:$A,0)),JLRrates!$B:$B,0))=""),0,INDEX(JLRrates!$D:$D,MATCH(INDEX(Mapping!$C:$C,MATCH($A65,Mapping!$A:$A,0)),JLRrates!$B:$B,0))),0)</f>
        <v>0</v>
      </c>
    </row>
    <row r="66">
      <c r="A66" t="str">
        <v>mat-m330-35a</v>
      </c>
      <c r="B66" t="str">
        <v>M330-35A NO Electrical (0.35mm)</v>
      </c>
      <c r="C66" t="str">
        <v>Electrical Steel Sheet</v>
      </c>
      <c r="D66">
        <f>IF($K66&gt;0,$K66,1.7)</f>
        <v>1.7</v>
      </c>
      <c r="E66">
        <f>IF($L66&gt;0,$L66,0.25)</f>
        <v>0.25</v>
      </c>
      <c r="F66">
        <v>7650</v>
      </c>
      <c r="G66" t="str">
        <v>UK</v>
      </c>
      <c r="H66" t="str">
        <v>2026-07</v>
      </c>
      <c r="I66" t="str">
        <v>UK electrical steel Jul 2026. Mid-grade 0.35mm NO — general traction/servo motors; good loss/cost balance.</v>
      </c>
      <c r="J66" t="str">
        <v>Low</v>
      </c>
      <c r="K66">
        <f>IFERROR(IF(OR(INDEX(Mapping!$C:$C,MATCH($A66,Mapping!$A:$A,0))="",INDEX(JLRrates!$C:$C,MATCH(INDEX(Mapping!$C:$C,MATCH($A66,Mapping!$A:$A,0)),JLRrates!$B:$B,0))=""),0,INDEX(JLRrates!$C:$C,MATCH(INDEX(Mapping!$C:$C,MATCH($A66,Mapping!$A:$A,0)),JLRrates!$B:$B,0))),0)</f>
        <v>0</v>
      </c>
      <c r="L66">
        <f>IFERROR(IF(OR(INDEX(Mapping!$C:$C,MATCH($A66,Mapping!$A:$A,0))="",INDEX(JLRrates!$D:$D,MATCH(INDEX(Mapping!$C:$C,MATCH($A66,Mapping!$A:$A,0)),JLRrates!$B:$B,0))=""),0,INDEX(JLRrates!$D:$D,MATCH(INDEX(Mapping!$C:$C,MATCH($A66,Mapping!$A:$A,0)),JLRrates!$B:$B,0))),0)</f>
        <v>0</v>
      </c>
    </row>
    <row r="67">
      <c r="A67" t="str">
        <v>mat-m250-50a</v>
      </c>
      <c r="B67" t="str">
        <v>M250-50A NO Electrical (0.50mm, low-loss)</v>
      </c>
      <c r="C67" t="str">
        <v>Electrical Steel Sheet</v>
      </c>
      <c r="D67">
        <f>IF($K67&gt;0,$K67,1.42)</f>
        <v>1.42</v>
      </c>
      <c r="E67">
        <f>IF($L67&gt;0,$L67,0.25)</f>
        <v>0.25</v>
      </c>
      <c r="F67">
        <v>7650</v>
      </c>
      <c r="G67" t="str">
        <v>UK</v>
      </c>
      <c r="H67" t="str">
        <v>2026-07</v>
      </c>
      <c r="I67" t="str">
        <v>UK electrical steel Jul 2026. Low-loss 0.50mm NO — efficient industrial motors, generators.</v>
      </c>
      <c r="J67" t="str">
        <v>Low</v>
      </c>
      <c r="K67">
        <f>IFERROR(IF(OR(INDEX(Mapping!$C:$C,MATCH($A67,Mapping!$A:$A,0))="",INDEX(JLRrates!$C:$C,MATCH(INDEX(Mapping!$C:$C,MATCH($A67,Mapping!$A:$A,0)),JLRrates!$B:$B,0))=""),0,INDEX(JLRrates!$C:$C,MATCH(INDEX(Mapping!$C:$C,MATCH($A67,Mapping!$A:$A,0)),JLRrates!$B:$B,0))),0)</f>
        <v>0</v>
      </c>
      <c r="L67">
        <f>IFERROR(IF(OR(INDEX(Mapping!$C:$C,MATCH($A67,Mapping!$A:$A,0))="",INDEX(JLRrates!$D:$D,MATCH(INDEX(Mapping!$C:$C,MATCH($A67,Mapping!$A:$A,0)),JLRrates!$B:$B,0))=""),0,INDEX(JLRrates!$D:$D,MATCH(INDEX(Mapping!$C:$C,MATCH($A67,Mapping!$A:$A,0)),JLRrates!$B:$B,0))),0)</f>
        <v>0</v>
      </c>
    </row>
    <row r="68">
      <c r="A68" t="str">
        <v>mat-m470-50a</v>
      </c>
      <c r="B68" t="str">
        <v>M470-50A NO Electrical (0.50mm)</v>
      </c>
      <c r="C68" t="str">
        <v>Electrical Steel Sheet</v>
      </c>
      <c r="D68">
        <f>IF($K68&gt;0,$K68,1.2)</f>
        <v>1.2</v>
      </c>
      <c r="E68">
        <f>IF($L68&gt;0,$L68,0.25)</f>
        <v>0.25</v>
      </c>
      <c r="F68">
        <v>7700</v>
      </c>
      <c r="G68" t="str">
        <v>UK</v>
      </c>
      <c r="H68" t="str">
        <v>2026-07</v>
      </c>
      <c r="I68" t="str">
        <v>UK electrical steel Jul 2026. Standard 0.50mm NO — mains-frequency industrial motors, pumps. Workhorse economy grade.</v>
      </c>
      <c r="J68" t="str">
        <v>Medium</v>
      </c>
      <c r="K68">
        <f>IFERROR(IF(OR(INDEX(Mapping!$C:$C,MATCH($A68,Mapping!$A:$A,0))="",INDEX(JLRrates!$C:$C,MATCH(INDEX(Mapping!$C:$C,MATCH($A68,Mapping!$A:$A,0)),JLRrates!$B:$B,0))=""),0,INDEX(JLRrates!$C:$C,MATCH(INDEX(Mapping!$C:$C,MATCH($A68,Mapping!$A:$A,0)),JLRrates!$B:$B,0))),0)</f>
        <v>0</v>
      </c>
      <c r="L68">
        <f>IFERROR(IF(OR(INDEX(Mapping!$C:$C,MATCH($A68,Mapping!$A:$A,0))="",INDEX(JLRrates!$D:$D,MATCH(INDEX(Mapping!$C:$C,MATCH($A68,Mapping!$A:$A,0)),JLRrates!$B:$B,0))=""),0,INDEX(JLRrates!$D:$D,MATCH(INDEX(Mapping!$C:$C,MATCH($A68,Mapping!$A:$A,0)),JLRrates!$B:$B,0))),0)</f>
        <v>0</v>
      </c>
    </row>
    <row r="69">
      <c r="A69" t="str">
        <v>mat-m600-50a</v>
      </c>
      <c r="B69" t="str">
        <v>M600-50A NO Electrical (0.50mm, economy)</v>
      </c>
      <c r="C69" t="str">
        <v>Electrical Steel Sheet</v>
      </c>
      <c r="D69">
        <f>IF($K69&gt;0,$K69,1.15)</f>
        <v>1.15</v>
      </c>
      <c r="E69">
        <f>IF($L69&gt;0,$L69,0.25)</f>
        <v>0.25</v>
      </c>
      <c r="F69">
        <v>7750</v>
      </c>
      <c r="G69" t="str">
        <v>UK</v>
      </c>
      <c r="H69" t="str">
        <v>2026-07</v>
      </c>
      <c r="I69" t="str">
        <v>UK electrical steel Jul 2026. Economy 0.50mm NO — small appliance/fan motors, low duty cycle.</v>
      </c>
      <c r="J69" t="str">
        <v>Medium</v>
      </c>
      <c r="K69">
        <f>IFERROR(IF(OR(INDEX(Mapping!$C:$C,MATCH($A69,Mapping!$A:$A,0))="",INDEX(JLRrates!$C:$C,MATCH(INDEX(Mapping!$C:$C,MATCH($A69,Mapping!$A:$A,0)),JLRrates!$B:$B,0))=""),0,INDEX(JLRrates!$C:$C,MATCH(INDEX(Mapping!$C:$C,MATCH($A69,Mapping!$A:$A,0)),JLRrates!$B:$B,0))),0)</f>
        <v>0</v>
      </c>
      <c r="L69">
        <f>IFERROR(IF(OR(INDEX(Mapping!$C:$C,MATCH($A69,Mapping!$A:$A,0))="",INDEX(JLRrates!$D:$D,MATCH(INDEX(Mapping!$C:$C,MATCH($A69,Mapping!$A:$A,0)),JLRrates!$B:$B,0))=""),0,INDEX(JLRrates!$D:$D,MATCH(INDEX(Mapping!$C:$C,MATCH($A69,Mapping!$A:$A,0)),JLRrates!$B:$B,0))),0)</f>
        <v>0</v>
      </c>
    </row>
    <row r="70">
      <c r="A70" t="str">
        <v>mat-m700-65a</v>
      </c>
      <c r="B70" t="str">
        <v>M700-65A NO Electrical (0.65mm, mains)</v>
      </c>
      <c r="C70" t="str">
        <v>Electrical Steel Sheet</v>
      </c>
      <c r="D70">
        <f>IF($K70&gt;0,$K70,1.1)</f>
        <v>1.1</v>
      </c>
      <c r="E70">
        <f>IF($L70&gt;0,$L70,0.25)</f>
        <v>0.25</v>
      </c>
      <c r="F70">
        <v>7800</v>
      </c>
      <c r="G70" t="str">
        <v>UK</v>
      </c>
      <c r="H70" t="str">
        <v>2026-07</v>
      </c>
      <c r="I70" t="str">
        <v>UK electrical steel Jul 2026. Thick 0.65mm NO — low-cost mains motors, ballasts; higher loss, cheapest lamination grade.</v>
      </c>
      <c r="J70" t="str">
        <v>Low</v>
      </c>
      <c r="K70">
        <f>IFERROR(IF(OR(INDEX(Mapping!$C:$C,MATCH($A70,Mapping!$A:$A,0))="",INDEX(JLRrates!$C:$C,MATCH(INDEX(Mapping!$C:$C,MATCH($A70,Mapping!$A:$A,0)),JLRrates!$B:$B,0))=""),0,INDEX(JLRrates!$C:$C,MATCH(INDEX(Mapping!$C:$C,MATCH($A70,Mapping!$A:$A,0)),JLRrates!$B:$B,0))),0)</f>
        <v>0</v>
      </c>
      <c r="L70">
        <f>IFERROR(IF(OR(INDEX(Mapping!$C:$C,MATCH($A70,Mapping!$A:$A,0))="",INDEX(JLRrates!$D:$D,MATCH(INDEX(Mapping!$C:$C,MATCH($A70,Mapping!$A:$A,0)),JLRrates!$B:$B,0))=""),0,INDEX(JLRrates!$D:$D,MATCH(INDEX(Mapping!$C:$C,MATCH($A70,Mapping!$A:$A,0)),JLRrates!$B:$B,0))),0)</f>
        <v>0</v>
      </c>
    </row>
    <row r="71">
      <c r="A71" t="str">
        <v>mat-no27-27a</v>
      </c>
      <c r="B71" t="str">
        <v>NO27 (0.27mm EV Traction)</v>
      </c>
      <c r="C71" t="str">
        <v>Electrical Steel Sheet</v>
      </c>
      <c r="D71">
        <f>IF($K71&gt;0,$K71,2.4)</f>
        <v>2.4</v>
      </c>
      <c r="E71">
        <f>IF($L71&gt;0,$L71,0.28)</f>
        <v>0.28</v>
      </c>
      <c r="F71">
        <v>7600</v>
      </c>
      <c r="G71" t="str">
        <v>UK</v>
      </c>
      <c r="H71" t="str">
        <v>2026-07</v>
      </c>
      <c r="I71" t="str">
        <v>UK electrical steel Jul 2026. 0.27mm thin-gauge NO — high-speed EV traction (200–400 Hz), low iron loss. Notch-tool-wear intensive.</v>
      </c>
      <c r="J71" t="str">
        <v>Low</v>
      </c>
      <c r="K71">
        <f>IFERROR(IF(OR(INDEX(Mapping!$C:$C,MATCH($A71,Mapping!$A:$A,0))="",INDEX(JLRrates!$C:$C,MATCH(INDEX(Mapping!$C:$C,MATCH($A71,Mapping!$A:$A,0)),JLRrates!$B:$B,0))=""),0,INDEX(JLRrates!$C:$C,MATCH(INDEX(Mapping!$C:$C,MATCH($A71,Mapping!$A:$A,0)),JLRrates!$B:$B,0))),0)</f>
        <v>0</v>
      </c>
      <c r="L71">
        <f>IFERROR(IF(OR(INDEX(Mapping!$C:$C,MATCH($A71,Mapping!$A:$A,0))="",INDEX(JLRrates!$D:$D,MATCH(INDEX(Mapping!$C:$C,MATCH($A71,Mapping!$A:$A,0)),JLRrates!$B:$B,0))=""),0,INDEX(JLRrates!$D:$D,MATCH(INDEX(Mapping!$C:$C,MATCH($A71,Mapping!$A:$A,0)),JLRrates!$B:$B,0))),0)</f>
        <v>0</v>
      </c>
    </row>
    <row r="72">
      <c r="A72" t="str">
        <v>mat-no25-25a</v>
      </c>
      <c r="B72" t="str">
        <v>NO25 (0.25mm EV Traction)</v>
      </c>
      <c r="C72" t="str">
        <v>Electrical Steel Sheet</v>
      </c>
      <c r="D72">
        <f>IF($K72&gt;0,$K72,2.7)</f>
        <v>2.7</v>
      </c>
      <c r="E72">
        <f>IF($L72&gt;0,$L72,0.28)</f>
        <v>0.28</v>
      </c>
      <c r="F72">
        <v>7600</v>
      </c>
      <c r="G72" t="str">
        <v>UK</v>
      </c>
      <c r="H72" t="str">
        <v>2026-07</v>
      </c>
      <c r="I72" t="str">
        <v>UK electrical steel Jul 2026. 0.25mm high-efficiency EV motor lamination; very low core loss, high mechanical strength grades available.</v>
      </c>
      <c r="J72" t="str">
        <v>Low</v>
      </c>
      <c r="K72">
        <f>IFERROR(IF(OR(INDEX(Mapping!$C:$C,MATCH($A72,Mapping!$A:$A,0))="",INDEX(JLRrates!$C:$C,MATCH(INDEX(Mapping!$C:$C,MATCH($A72,Mapping!$A:$A,0)),JLRrates!$B:$B,0))=""),0,INDEX(JLRrates!$C:$C,MATCH(INDEX(Mapping!$C:$C,MATCH($A72,Mapping!$A:$A,0)),JLRrates!$B:$B,0))),0)</f>
        <v>0</v>
      </c>
      <c r="L72">
        <f>IFERROR(IF(OR(INDEX(Mapping!$C:$C,MATCH($A72,Mapping!$A:$A,0))="",INDEX(JLRrates!$D:$D,MATCH(INDEX(Mapping!$C:$C,MATCH($A72,Mapping!$A:$A,0)),JLRrates!$B:$B,0))=""),0,INDEX(JLRrates!$D:$D,MATCH(INDEX(Mapping!$C:$C,MATCH($A72,Mapping!$A:$A,0)),JLRrates!$B:$B,0))),0)</f>
        <v>0</v>
      </c>
    </row>
    <row r="73">
      <c r="A73" t="str">
        <v>mat-no20-20a</v>
      </c>
      <c r="B73" t="str">
        <v>NO20 (0.20mm High-Speed EV/aero)</v>
      </c>
      <c r="C73" t="str">
        <v>Electrical Steel Sheet</v>
      </c>
      <c r="D73">
        <f>IF($K73&gt;0,$K73,3.4)</f>
        <v>3.4</v>
      </c>
      <c r="E73">
        <f>IF($L73&gt;0,$L73,0.3)</f>
        <v>0.3</v>
      </c>
      <c r="F73">
        <v>7600</v>
      </c>
      <c r="G73" t="str">
        <v>UK</v>
      </c>
      <c r="H73" t="str">
        <v>2026-07</v>
      </c>
      <c r="I73" t="str">
        <v>UK electrical steel Jul 2026. 0.20mm ultra-thin NO — high-speed (&gt;15k rpm) EV/aerospace traction; lowest loss, premium price, low stacking factor.</v>
      </c>
      <c r="J73" t="str">
        <v>Low</v>
      </c>
      <c r="K73">
        <f>IFERROR(IF(OR(INDEX(Mapping!$C:$C,MATCH($A73,Mapping!$A:$A,0))="",INDEX(JLRrates!$C:$C,MATCH(INDEX(Mapping!$C:$C,MATCH($A73,Mapping!$A:$A,0)),JLRrates!$B:$B,0))=""),0,INDEX(JLRrates!$C:$C,MATCH(INDEX(Mapping!$C:$C,MATCH($A73,Mapping!$A:$A,0)),JLRrates!$B:$B,0))),0)</f>
        <v>0</v>
      </c>
      <c r="L73">
        <f>IFERROR(IF(OR(INDEX(Mapping!$C:$C,MATCH($A73,Mapping!$A:$A,0))="",INDEX(JLRrates!$D:$D,MATCH(INDEX(Mapping!$C:$C,MATCH($A73,Mapping!$A:$A,0)),JLRrates!$B:$B,0))=""),0,INDEX(JLRrates!$D:$D,MATCH(INDEX(Mapping!$C:$C,MATCH($A73,Mapping!$A:$A,0)),JLRrates!$B:$B,0))),0)</f>
        <v>0</v>
      </c>
    </row>
    <row r="74">
      <c r="A74" t="str">
        <v>mat-cgo-m120-27</v>
      </c>
      <c r="B74" t="str">
        <v>M120-27S CGO (0.27mm Grain-Oriented)</v>
      </c>
      <c r="C74" t="str">
        <v>Electrical Steel Sheet</v>
      </c>
      <c r="D74">
        <f>IF($K74&gt;0,$K74,2.55)</f>
        <v>2.55</v>
      </c>
      <c r="E74">
        <f>IF($L74&gt;0,$L74,0.3)</f>
        <v>0.3</v>
      </c>
      <c r="F74">
        <v>7650</v>
      </c>
      <c r="G74" t="str">
        <v>UK</v>
      </c>
      <c r="H74" t="str">
        <v>2026-07</v>
      </c>
      <c r="I74" t="str">
        <v>UK electrical steel Jul 2026. Conventional grain-oriented — distribution/power transformer cores.</v>
      </c>
      <c r="J74" t="str">
        <v>Low</v>
      </c>
      <c r="K74">
        <f>IFERROR(IF(OR(INDEX(Mapping!$C:$C,MATCH($A74,Mapping!$A:$A,0))="",INDEX(JLRrates!$C:$C,MATCH(INDEX(Mapping!$C:$C,MATCH($A74,Mapping!$A:$A,0)),JLRrates!$B:$B,0))=""),0,INDEX(JLRrates!$C:$C,MATCH(INDEX(Mapping!$C:$C,MATCH($A74,Mapping!$A:$A,0)),JLRrates!$B:$B,0))),0)</f>
        <v>0</v>
      </c>
      <c r="L74">
        <f>IFERROR(IF(OR(INDEX(Mapping!$C:$C,MATCH($A74,Mapping!$A:$A,0))="",INDEX(JLRrates!$D:$D,MATCH(INDEX(Mapping!$C:$C,MATCH($A74,Mapping!$A:$A,0)),JLRrates!$B:$B,0))=""),0,INDEX(JLRrates!$D:$D,MATCH(INDEX(Mapping!$C:$C,MATCH($A74,Mapping!$A:$A,0)),JLRrates!$B:$B,0))),0)</f>
        <v>0</v>
      </c>
    </row>
    <row r="75">
      <c r="A75" t="str">
        <v>mat-hgo-m090-23</v>
      </c>
      <c r="B75" t="str">
        <v>M090-23P HGO Domain-Refined (0.23mm)</v>
      </c>
      <c r="C75" t="str">
        <v>Electrical Steel Sheet</v>
      </c>
      <c r="D75">
        <f>IF($K75&gt;0,$K75,3.4)</f>
        <v>3.4</v>
      </c>
      <c r="E75">
        <f>IF($L75&gt;0,$L75,0.3)</f>
        <v>0.3</v>
      </c>
      <c r="F75">
        <v>7650</v>
      </c>
      <c r="G75" t="str">
        <v>UK</v>
      </c>
      <c r="H75" t="str">
        <v>2026-07</v>
      </c>
      <c r="I75" t="str">
        <v>UK electrical steel Jul 2026. Laser-scribed domain-refined HGO — lowest-loss transformer grade, high-efficiency power transformers.</v>
      </c>
      <c r="J75" t="str">
        <v>Low</v>
      </c>
      <c r="K75">
        <f>IFERROR(IF(OR(INDEX(Mapping!$C:$C,MATCH($A75,Mapping!$A:$A,0))="",INDEX(JLRrates!$C:$C,MATCH(INDEX(Mapping!$C:$C,MATCH($A75,Mapping!$A:$A,0)),JLRrates!$B:$B,0))=""),0,INDEX(JLRrates!$C:$C,MATCH(INDEX(Mapping!$C:$C,MATCH($A75,Mapping!$A:$A,0)),JLRrates!$B:$B,0))),0)</f>
        <v>0</v>
      </c>
      <c r="L75">
        <f>IFERROR(IF(OR(INDEX(Mapping!$C:$C,MATCH($A75,Mapping!$A:$A,0))="",INDEX(JLRrates!$D:$D,MATCH(INDEX(Mapping!$C:$C,MATCH($A75,Mapping!$A:$A,0)),JLRrates!$B:$B,0))=""),0,INDEX(JLRrates!$D:$D,MATCH(INDEX(Mapping!$C:$C,MATCH($A75,Mapping!$A:$A,0)),JLRrates!$B:$B,0))),0)</f>
        <v>0</v>
      </c>
    </row>
    <row r="76">
      <c r="A76" t="str">
        <v>mat-cofe-hiperco50</v>
      </c>
      <c r="B76" t="str">
        <v>Cobalt-Iron (Hiperco 50 / Vacodur 49)</v>
      </c>
      <c r="C76" t="str">
        <v>Electrical Steel Sheet</v>
      </c>
      <c r="D76">
        <f>IF($K76&gt;0,$K76,58)</f>
        <v>58</v>
      </c>
      <c r="E76">
        <f>IF($L76&gt;0,$L76,4)</f>
        <v>4</v>
      </c>
      <c r="F76">
        <v>8120</v>
      </c>
      <c r="G76" t="str">
        <v>UK</v>
      </c>
      <c r="H76" t="str">
        <v>2026-07</v>
      </c>
      <c r="I76" t="str">
        <v>UK speciality Jul 2026. CoFe (49Co-2V) — highest saturation (2.3T), aerospace/defence &amp; high-power-density EV traction; needs final anneal in H₂. Premium.</v>
      </c>
      <c r="J76" t="str">
        <v>Low</v>
      </c>
      <c r="K76">
        <f>IFERROR(IF(OR(INDEX(Mapping!$C:$C,MATCH($A76,Mapping!$A:$A,0))="",INDEX(JLRrates!$C:$C,MATCH(INDEX(Mapping!$C:$C,MATCH($A76,Mapping!$A:$A,0)),JLRrates!$B:$B,0))=""),0,INDEX(JLRrates!$C:$C,MATCH(INDEX(Mapping!$C:$C,MATCH($A76,Mapping!$A:$A,0)),JLRrates!$B:$B,0))),0)</f>
        <v>0</v>
      </c>
      <c r="L76">
        <f>IFERROR(IF(OR(INDEX(Mapping!$C:$C,MATCH($A76,Mapping!$A:$A,0))="",INDEX(JLRrates!$D:$D,MATCH(INDEX(Mapping!$C:$C,MATCH($A76,Mapping!$A:$A,0)),JLRrates!$B:$B,0))=""),0,INDEX(JLRrates!$D:$D,MATCH(INDEX(Mapping!$C:$C,MATCH($A76,Mapping!$A:$A,0)),JLRrates!$B:$B,0))),0)</f>
        <v>0</v>
      </c>
    </row>
    <row r="77">
      <c r="A77" t="str">
        <v>mat-nife-permalloy80</v>
      </c>
      <c r="B77" t="str">
        <v>Nickel-Iron Permalloy (80% Ni)</v>
      </c>
      <c r="C77" t="str">
        <v>Electrical Steel Sheet</v>
      </c>
      <c r="D77">
        <f>IF($K77&gt;0,$K77,24)</f>
        <v>24</v>
      </c>
      <c r="E77">
        <f>IF($L77&gt;0,$L77,2)</f>
        <v>2</v>
      </c>
      <c r="F77">
        <v>8740</v>
      </c>
      <c r="G77" t="str">
        <v>UK</v>
      </c>
      <c r="H77" t="str">
        <v>2026-07</v>
      </c>
      <c r="I77" t="str">
        <v>UK speciality Jul 2026. 80NiFe — ultra-high permeability small cores, sensors, resolvers, current transformers; low saturation, expensive.</v>
      </c>
      <c r="J77" t="str">
        <v>Low</v>
      </c>
      <c r="K77">
        <f>IFERROR(IF(OR(INDEX(Mapping!$C:$C,MATCH($A77,Mapping!$A:$A,0))="",INDEX(JLRrates!$C:$C,MATCH(INDEX(Mapping!$C:$C,MATCH($A77,Mapping!$A:$A,0)),JLRrates!$B:$B,0))=""),0,INDEX(JLRrates!$C:$C,MATCH(INDEX(Mapping!$C:$C,MATCH($A77,Mapping!$A:$A,0)),JLRrates!$B:$B,0))),0)</f>
        <v>0</v>
      </c>
      <c r="L77">
        <f>IFERROR(IF(OR(INDEX(Mapping!$C:$C,MATCH($A77,Mapping!$A:$A,0))="",INDEX(JLRrates!$D:$D,MATCH(INDEX(Mapping!$C:$C,MATCH($A77,Mapping!$A:$A,0)),JLRrates!$B:$B,0))=""),0,INDEX(JLRrates!$D:$D,MATCH(INDEX(Mapping!$C:$C,MATCH($A77,Mapping!$A:$A,0)),JLRrates!$B:$B,0))),0)</f>
        <v>0</v>
      </c>
    </row>
    <row r="78">
      <c r="A78" t="str">
        <v>mat-amorphous-2605sa1</v>
      </c>
      <c r="B78" t="str">
        <v>Amorphous Ribbon (Metglas 2605SA1)</v>
      </c>
      <c r="C78" t="str">
        <v>Electrical Steel Sheet</v>
      </c>
      <c r="D78">
        <f>IF($K78&gt;0,$K78,8.5)</f>
        <v>8.5</v>
      </c>
      <c r="E78">
        <f>IF($L78&gt;0,$L78,0.5)</f>
        <v>0.5</v>
      </c>
      <c r="F78">
        <v>7180</v>
      </c>
      <c r="G78" t="str">
        <v>UK</v>
      </c>
      <c r="H78" t="str">
        <v>2026-07</v>
      </c>
      <c r="I78" t="str">
        <v>UK speciality Jul 2026. Fe-based amorphous ribbon (~25µm) — ultra-low-loss distribution transformers, high-freq cut cores; brittle, cut/etched not conventionally stamped.</v>
      </c>
      <c r="J78" t="str">
        <v>Low</v>
      </c>
      <c r="K78">
        <f>IFERROR(IF(OR(INDEX(Mapping!$C:$C,MATCH($A78,Mapping!$A:$A,0))="",INDEX(JLRrates!$C:$C,MATCH(INDEX(Mapping!$C:$C,MATCH($A78,Mapping!$A:$A,0)),JLRrates!$B:$B,0))=""),0,INDEX(JLRrates!$C:$C,MATCH(INDEX(Mapping!$C:$C,MATCH($A78,Mapping!$A:$A,0)),JLRrates!$B:$B,0))),0)</f>
        <v>0</v>
      </c>
      <c r="L78">
        <f>IFERROR(IF(OR(INDEX(Mapping!$C:$C,MATCH($A78,Mapping!$A:$A,0))="",INDEX(JLRrates!$D:$D,MATCH(INDEX(Mapping!$C:$C,MATCH($A78,Mapping!$A:$A,0)),JLRrates!$B:$B,0))=""),0,INDEX(JLRrates!$D:$D,MATCH(INDEX(Mapping!$C:$C,MATCH($A78,Mapping!$A:$A,0)),JLRrates!$B:$B,0))),0)</f>
        <v>0</v>
      </c>
    </row>
    <row r="79">
      <c r="A79" t="str">
        <v>mat-no-semiproc-50</v>
      </c>
      <c r="B79" t="str">
        <v>Semi-Processed NO Electrical (0.50mm)</v>
      </c>
      <c r="C79" t="str">
        <v>Electrical Steel Sheet</v>
      </c>
      <c r="D79">
        <f>IF($K79&gt;0,$K79,1.05)</f>
        <v>1.05</v>
      </c>
      <c r="E79">
        <f>IF($L79&gt;0,$L79,0.24)</f>
        <v>0.24</v>
      </c>
      <c r="F79">
        <v>7750</v>
      </c>
      <c r="G79" t="str">
        <v>UK</v>
      </c>
      <c r="H79" t="str">
        <v>2026-07</v>
      </c>
      <c r="I79" t="str">
        <v>UK electrical steel Jul 2026. Semi-processed NO — magnetic properties developed by the stamper’s post-blank anneal; low coil cost, mandatory stress-relief/decarb anneal.</v>
      </c>
      <c r="J79" t="str">
        <v>Low</v>
      </c>
      <c r="K79">
        <f>IFERROR(IF(OR(INDEX(Mapping!$C:$C,MATCH($A79,Mapping!$A:$A,0))="",INDEX(JLRrates!$C:$C,MATCH(INDEX(Mapping!$C:$C,MATCH($A79,Mapping!$A:$A,0)),JLRrates!$B:$B,0))=""),0,INDEX(JLRrates!$C:$C,MATCH(INDEX(Mapping!$C:$C,MATCH($A79,Mapping!$A:$A,0)),JLRrates!$B:$B,0))),0)</f>
        <v>0</v>
      </c>
      <c r="L79">
        <f>IFERROR(IF(OR(INDEX(Mapping!$C:$C,MATCH($A79,Mapping!$A:$A,0))="",INDEX(JLRrates!$D:$D,MATCH(INDEX(Mapping!$C:$C,MATCH($A79,Mapping!$A:$A,0)),JLRrates!$B:$B,0))=""),0,INDEX(JLRrates!$D:$D,MATCH(INDEX(Mapping!$C:$C,MATCH($A79,Mapping!$A:$A,0)),JLRrates!$B:$B,0))),0)</f>
        <v>0</v>
      </c>
    </row>
    <row r="80">
      <c r="A80" t="str">
        <v>mat-hsno-rotor-700</v>
      </c>
      <c r="B80" t="str">
        <v>High-Strength NO Electrical (~700 MPa, 0.30mm rotor)</v>
      </c>
      <c r="C80" t="str">
        <v>Electrical Steel Sheet</v>
      </c>
      <c r="D80">
        <f>IF($K80&gt;0,$K80,2.6)</f>
        <v>2.6</v>
      </c>
      <c r="E80">
        <f>IF($L80&gt;0,$L80,0.28)</f>
        <v>0.28</v>
      </c>
      <c r="F80">
        <v>7650</v>
      </c>
      <c r="G80" t="str">
        <v>UK</v>
      </c>
      <c r="H80" t="str">
        <v>2026-07</v>
      </c>
      <c r="I80" t="str">
        <v>UK electrical steel Jul 2026. High-yield thin-gauge NO for high-speed EV traction rotors (bridge stresses at 15–20k rpm) — BYD/Xiaomi-class hyper-motors. Higher Si+alloy, harder to notch.</v>
      </c>
      <c r="J80" t="str">
        <v>Low</v>
      </c>
      <c r="K80">
        <f>IFERROR(IF(OR(INDEX(Mapping!$C:$C,MATCH($A80,Mapping!$A:$A,0))="",INDEX(JLRrates!$C:$C,MATCH(INDEX(Mapping!$C:$C,MATCH($A80,Mapping!$A:$A,0)),JLRrates!$B:$B,0))=""),0,INDEX(JLRrates!$C:$C,MATCH(INDEX(Mapping!$C:$C,MATCH($A80,Mapping!$A:$A,0)),JLRrates!$B:$B,0))),0)</f>
        <v>0</v>
      </c>
      <c r="L80">
        <f>IFERROR(IF(OR(INDEX(Mapping!$C:$C,MATCH($A80,Mapping!$A:$A,0))="",INDEX(JLRrates!$D:$D,MATCH(INDEX(Mapping!$C:$C,MATCH($A80,Mapping!$A:$A,0)),JLRrates!$B:$B,0))=""),0,INDEX(JLRrates!$D:$D,MATCH(INDEX(Mapping!$C:$C,MATCH($A80,Mapping!$A:$A,0)),JLRrates!$B:$B,0))),0)</f>
        <v>0</v>
      </c>
    </row>
    <row r="81">
      <c r="A81" t="str">
        <v>mat-hsno-rotor-960</v>
      </c>
      <c r="B81" t="str">
        <v>Ultra-High-Strength NO Electrical (~960 MPa, 0.20–0.27mm rotor)</v>
      </c>
      <c r="C81" t="str">
        <v>Electrical Steel Sheet</v>
      </c>
      <c r="D81">
        <f>IF($K81&gt;0,$K81,3.2)</f>
        <v>3.2</v>
      </c>
      <c r="E81">
        <f>IF($L81&gt;0,$L81,0.3)</f>
        <v>0.3</v>
      </c>
      <c r="F81">
        <v>7600</v>
      </c>
      <c r="G81" t="str">
        <v>UK</v>
      </c>
      <c r="H81" t="str">
        <v>2026-07</v>
      </c>
      <c r="I81" t="str">
        <v>UK electrical steel Jul 2026. Ultra-high-yield thin NO for &gt;20k rpm rotors (Xiaomi HyperEngine V8s ~27,200 rpm class) — enables slim bridges + high tip speed. Premium, heavy notch-tool wear.</v>
      </c>
      <c r="J81" t="str">
        <v>Low</v>
      </c>
      <c r="K81">
        <f>IFERROR(IF(OR(INDEX(Mapping!$C:$C,MATCH($A81,Mapping!$A:$A,0))="",INDEX(JLRrates!$C:$C,MATCH(INDEX(Mapping!$C:$C,MATCH($A81,Mapping!$A:$A,0)),JLRrates!$B:$B,0))=""),0,INDEX(JLRrates!$C:$C,MATCH(INDEX(Mapping!$C:$C,MATCH($A81,Mapping!$A:$A,0)),JLRrates!$B:$B,0))),0)</f>
        <v>0</v>
      </c>
      <c r="L81">
        <f>IFERROR(IF(OR(INDEX(Mapping!$C:$C,MATCH($A81,Mapping!$A:$A,0))="",INDEX(JLRrates!$D:$D,MATCH(INDEX(Mapping!$C:$C,MATCH($A81,Mapping!$A:$A,0)),JLRrates!$B:$B,0))=""),0,INDEX(JLRrates!$D:$D,MATCH(INDEX(Mapping!$C:$C,MATCH($A81,Mapping!$A:$A,0)),JLRrates!$B:$B,0))),0)</f>
        <v>0</v>
      </c>
    </row>
    <row r="82">
      <c r="A82" t="str">
        <v>mat-no15-15a</v>
      </c>
      <c r="B82" t="str">
        <v>NO15 Ultra-Thin NO Electrical (0.15mm)</v>
      </c>
      <c r="C82" t="str">
        <v>Electrical Steel Sheet</v>
      </c>
      <c r="D82">
        <f>IF($K82&gt;0,$K82,3.9)</f>
        <v>3.9</v>
      </c>
      <c r="E82">
        <f>IF($L82&gt;0,$L82,0.3)</f>
        <v>0.3</v>
      </c>
      <c r="F82">
        <v>7600</v>
      </c>
      <c r="G82" t="str">
        <v>UK</v>
      </c>
      <c r="H82" t="str">
        <v>2026-07</v>
      </c>
      <c r="I82" t="str">
        <v>UK electrical steel Jul 2026. 0.15mm ultra-thin NO — very high-frequency traction (SU7 Ultra V8s / high-speed EV); low eddy loss, low stacking factor, hard to blank (fine burr control). Bonded (backlack) stacks typical.</v>
      </c>
      <c r="J82" t="str">
        <v>Low</v>
      </c>
      <c r="K82">
        <f>IFERROR(IF(OR(INDEX(Mapping!$C:$C,MATCH($A82,Mapping!$A:$A,0))="",INDEX(JLRrates!$C:$C,MATCH(INDEX(Mapping!$C:$C,MATCH($A82,Mapping!$A:$A,0)),JLRrates!$B:$B,0))=""),0,INDEX(JLRrates!$C:$C,MATCH(INDEX(Mapping!$C:$C,MATCH($A82,Mapping!$A:$A,0)),JLRrates!$B:$B,0))),0)</f>
        <v>0</v>
      </c>
      <c r="L82">
        <f>IFERROR(IF(OR(INDEX(Mapping!$C:$C,MATCH($A82,Mapping!$A:$A,0))="",INDEX(JLRrates!$D:$D,MATCH(INDEX(Mapping!$C:$C,MATCH($A82,Mapping!$A:$A,0)),JLRrates!$B:$B,0))=""),0,INDEX(JLRrates!$D:$D,MATCH(INDEX(Mapping!$C:$C,MATCH($A82,Mapping!$A:$A,0)),JLRrates!$B:$B,0))),0)</f>
        <v>0</v>
      </c>
    </row>
    <row r="83">
      <c r="A83" t="str">
        <v>mat-no10-10a</v>
      </c>
      <c r="B83" t="str">
        <v>NO10 Ultra-Thin NO Electrical (0.10mm)</v>
      </c>
      <c r="C83" t="str">
        <v>Electrical Steel Sheet</v>
      </c>
      <c r="D83">
        <f>IF($K83&gt;0,$K83,5.5)</f>
        <v>5.5</v>
      </c>
      <c r="E83">
        <f>IF($L83&gt;0,$L83,0.35)</f>
        <v>0.35</v>
      </c>
      <c r="F83">
        <v>7600</v>
      </c>
      <c r="G83" t="str">
        <v>UK</v>
      </c>
      <c r="H83" t="str">
        <v>2026-07</v>
      </c>
      <c r="I83" t="str">
        <v>UK electrical steel Jul 2026. 0.10mm foil-gauge NO — extreme high-speed / high-frequency rotors (aero/hypercar &amp; top-end EV traction). Lowest iron loss; etched/bonded rather than hard-die blanked at volume.</v>
      </c>
      <c r="J83" t="str">
        <v>Low</v>
      </c>
      <c r="K83">
        <f>IFERROR(IF(OR(INDEX(Mapping!$C:$C,MATCH($A83,Mapping!$A:$A,0))="",INDEX(JLRrates!$C:$C,MATCH(INDEX(Mapping!$C:$C,MATCH($A83,Mapping!$A:$A,0)),JLRrates!$B:$B,0))=""),0,INDEX(JLRrates!$C:$C,MATCH(INDEX(Mapping!$C:$C,MATCH($A83,Mapping!$A:$A,0)),JLRrates!$B:$B,0))),0)</f>
        <v>0</v>
      </c>
      <c r="L83">
        <f>IFERROR(IF(OR(INDEX(Mapping!$C:$C,MATCH($A83,Mapping!$A:$A,0))="",INDEX(JLRrates!$D:$D,MATCH(INDEX(Mapping!$C:$C,MATCH($A83,Mapping!$A:$A,0)),JLRrates!$B:$B,0))=""),0,INDEX(JLRrates!$D:$D,MATCH(INDEX(Mapping!$C:$C,MATCH($A83,Mapping!$A:$A,0)),JLRrates!$B:$B,0))),0)</f>
        <v>0</v>
      </c>
    </row>
    <row r="84">
      <c r="A84" t="str">
        <v>mat-si65-jnex-10</v>
      </c>
      <c r="B84" t="str">
        <v>6.5% Si High-Frequency Electrical (JNEX/Super-Core class, 0.10mm)</v>
      </c>
      <c r="C84" t="str">
        <v>Electrical Steel Sheet</v>
      </c>
      <c r="D84">
        <f>IF($K84&gt;0,$K84,6.8)</f>
        <v>6.8</v>
      </c>
      <c r="E84">
        <f>IF($L84&gt;0,$L84,0.35)</f>
        <v>0.35</v>
      </c>
      <c r="F84">
        <v>7490</v>
      </c>
      <c r="G84" t="str">
        <v>UK</v>
      </c>
      <c r="H84" t="str">
        <v>2026-07</v>
      </c>
      <c r="I84" t="str">
        <v>UK speciality Jul 2026. 6.5% silicon steel (JFE JNEX / Super-Core class) — near-zero magnetostriction, lowest high-frequency core loss for high-rpm/high-pole EV &amp; aerospace motors, reactors. Brittle, specialised processing.</v>
      </c>
      <c r="J84" t="str">
        <v>Low</v>
      </c>
      <c r="K84">
        <f>IFERROR(IF(OR(INDEX(Mapping!$C:$C,MATCH($A84,Mapping!$A:$A,0))="",INDEX(JLRrates!$C:$C,MATCH(INDEX(Mapping!$C:$C,MATCH($A84,Mapping!$A:$A,0)),JLRrates!$B:$B,0))=""),0,INDEX(JLRrates!$C:$C,MATCH(INDEX(Mapping!$C:$C,MATCH($A84,Mapping!$A:$A,0)),JLRrates!$B:$B,0))),0)</f>
        <v>0</v>
      </c>
      <c r="L84">
        <f>IFERROR(IF(OR(INDEX(Mapping!$C:$C,MATCH($A84,Mapping!$A:$A,0))="",INDEX(JLRrates!$D:$D,MATCH(INDEX(Mapping!$C:$C,MATCH($A84,Mapping!$A:$A,0)),JLRrates!$B:$B,0))=""),0,INDEX(JLRrates!$D:$D,MATCH(INDEX(Mapping!$C:$C,MATCH($A84,Mapping!$A:$A,0)),JLRrates!$B:$B,0))),0)</f>
        <v>0</v>
      </c>
    </row>
    <row r="85">
      <c r="A85" t="str">
        <v>mat-uhsno-1100</v>
      </c>
      <c r="B85" t="str">
        <v>Ultra-High-Strength NO Electrical (~1100 MPa, 30k-rpm rotor)</v>
      </c>
      <c r="C85" t="str">
        <v>Electrical Steel Sheet</v>
      </c>
      <c r="D85">
        <f>IF($K85&gt;0,$K85,3.6)</f>
        <v>3.6</v>
      </c>
      <c r="E85">
        <f>IF($L85&gt;0,$L85,0.32)</f>
        <v>0.32</v>
      </c>
      <c r="F85">
        <v>7600</v>
      </c>
      <c r="G85" t="str">
        <v>UK</v>
      </c>
      <c r="H85" t="str">
        <v>2026-07</v>
      </c>
      <c r="I85" t="str">
        <v>UK electrical steel Jul 2026. ~1100 MPa yield thin-gauge NO for ~30,000 rpm flagship rotors (BYD Yangwang U7/U8/U9 quad-motor, Xiaomi flagship) — holds slim bridges at extreme tip speed. Premium alloy, severe notch-tool wear.</v>
      </c>
      <c r="J85" t="str">
        <v>Low</v>
      </c>
      <c r="K85">
        <f>IFERROR(IF(OR(INDEX(Mapping!$C:$C,MATCH($A85,Mapping!$A:$A,0))="",INDEX(JLRrates!$C:$C,MATCH(INDEX(Mapping!$C:$C,MATCH($A85,Mapping!$A:$A,0)),JLRrates!$B:$B,0))=""),0,INDEX(JLRrates!$C:$C,MATCH(INDEX(Mapping!$C:$C,MATCH($A85,Mapping!$A:$A,0)),JLRrates!$B:$B,0))),0)</f>
        <v>0</v>
      </c>
      <c r="L85">
        <f>IFERROR(IF(OR(INDEX(Mapping!$C:$C,MATCH($A85,Mapping!$A:$A,0))="",INDEX(JLRrates!$D:$D,MATCH(INDEX(Mapping!$C:$C,MATCH($A85,Mapping!$A:$A,0)),JLRrates!$B:$B,0))=""),0,INDEX(JLRrates!$D:$D,MATCH(INDEX(Mapping!$C:$C,MATCH($A85,Mapping!$A:$A,0)),JLRrates!$B:$B,0))),0)</f>
        <v>0</v>
      </c>
    </row>
    <row r="86">
      <c r="A86" t="str">
        <v>mat-cofe-thin-010</v>
      </c>
      <c r="B86" t="str">
        <v>Cobalt-Iron Thin-Gauge (0.10mm, Vacoflux/Hiperco)</v>
      </c>
      <c r="C86" t="str">
        <v>Electrical Steel Sheet</v>
      </c>
      <c r="D86">
        <f>IF($K86&gt;0,$K86,72)</f>
        <v>72</v>
      </c>
      <c r="E86">
        <f>IF($L86&gt;0,$L86,4.5)</f>
        <v>4.5</v>
      </c>
      <c r="F86">
        <v>8120</v>
      </c>
      <c r="G86" t="str">
        <v>UK</v>
      </c>
      <c r="H86" t="str">
        <v>2026-07</v>
      </c>
      <c r="I86" t="str">
        <v>UK speciality Jul 2026. 0.10mm cobalt-iron (49Co-2V) — highest saturation (2.3T) + high-frequency capability for maximum power-density motors (aerospace, hypercar/flagship EV traction); H₂ final anneal, very expensive.</v>
      </c>
      <c r="J86" t="str">
        <v>Low</v>
      </c>
      <c r="K86">
        <f>IFERROR(IF(OR(INDEX(Mapping!$C:$C,MATCH($A86,Mapping!$A:$A,0))="",INDEX(JLRrates!$C:$C,MATCH(INDEX(Mapping!$C:$C,MATCH($A86,Mapping!$A:$A,0)),JLRrates!$B:$B,0))=""),0,INDEX(JLRrates!$C:$C,MATCH(INDEX(Mapping!$C:$C,MATCH($A86,Mapping!$A:$A,0)),JLRrates!$B:$B,0))),0)</f>
        <v>0</v>
      </c>
      <c r="L86">
        <f>IFERROR(IF(OR(INDEX(Mapping!$C:$C,MATCH($A86,Mapping!$A:$A,0))="",INDEX(JLRrates!$D:$D,MATCH(INDEX(Mapping!$C:$C,MATCH($A86,Mapping!$A:$A,0)),JLRrates!$B:$B,0))=""),0,INDEX(JLRrates!$D:$D,MATCH(INDEX(Mapping!$C:$C,MATCH($A86,Mapping!$A:$A,0)),JLRrates!$B:$B,0))),0)</f>
        <v>0</v>
      </c>
    </row>
    <row r="87">
      <c r="A87" t="str">
        <v>mat-cu-hairpin</v>
      </c>
      <c r="B87" t="str">
        <v>Rectangular Enamelled Hairpin Copper (winding)</v>
      </c>
      <c r="C87" t="str">
        <v>Winding Copper (Hairpin)</v>
      </c>
      <c r="D87">
        <f>IF($K87&gt;0,$K87,13.2)</f>
        <v>13.2</v>
      </c>
      <c r="E87">
        <f>IF($L87&gt;0,$L87,6)</f>
        <v>6</v>
      </c>
      <c r="F87">
        <v>8930</v>
      </c>
      <c r="G87" t="str">
        <v>UK</v>
      </c>
      <c r="H87" t="str">
        <v>2026-07</v>
      </c>
      <c r="I87" t="str">
        <v>UK Jul 2026. Flat enamelled (grade-2/corona-resistant) rectangular copper wire for hairpin/bar-wound EV traction stators — stamped/bent hairpins, laser-welded crowns. ETP + enamel + forming premium over C110.</v>
      </c>
      <c r="J87" t="str">
        <v>Low</v>
      </c>
      <c r="K87">
        <f>IFERROR(IF(OR(INDEX(Mapping!$C:$C,MATCH($A87,Mapping!$A:$A,0))="",INDEX(JLRrates!$C:$C,MATCH(INDEX(Mapping!$C:$C,MATCH($A87,Mapping!$A:$A,0)),JLRrates!$B:$B,0))=""),0,INDEX(JLRrates!$C:$C,MATCH(INDEX(Mapping!$C:$C,MATCH($A87,Mapping!$A:$A,0)),JLRrates!$B:$B,0))),0)</f>
        <v>0</v>
      </c>
      <c r="L87">
        <f>IFERROR(IF(OR(INDEX(Mapping!$C:$C,MATCH($A87,Mapping!$A:$A,0))="",INDEX(JLRrates!$D:$D,MATCH(INDEX(Mapping!$C:$C,MATCH($A87,Mapping!$A:$A,0)),JLRrates!$B:$B,0))=""),0,INDEX(JLRrates!$D:$D,MATCH(INDEX(Mapping!$C:$C,MATCH($A87,Mapping!$A:$A,0)),JLRrates!$B:$B,0))),0)</f>
        <v>0</v>
      </c>
    </row>
    <row r="88">
      <c r="A88" t="str">
        <v>mat-al-hairpin</v>
      </c>
      <c r="B88" t="str">
        <v>Rectangular Enamelled Hairpin Aluminium (winding)</v>
      </c>
      <c r="C88" t="str">
        <v>Winding Aluminium (Hairpin)</v>
      </c>
      <c r="D88">
        <f>IF($K88&gt;0,$K88,4.8)</f>
        <v>4.8</v>
      </c>
      <c r="E88">
        <f>IF($L88&gt;0,$L88,1.1)</f>
        <v>1.1</v>
      </c>
      <c r="F88">
        <v>2700</v>
      </c>
      <c r="G88" t="str">
        <v>UK</v>
      </c>
      <c r="H88" t="str">
        <v>2026-07</v>
      </c>
      <c r="I88" t="str">
        <v>UK Jul 2026. Flat enamelled aluminium hairpin conductor — cost/weight-down alternative to copper in some EV traction motors; lower conductivity, larger slot fill.</v>
      </c>
      <c r="J88" t="str">
        <v>Low</v>
      </c>
      <c r="K88">
        <f>IFERROR(IF(OR(INDEX(Mapping!$C:$C,MATCH($A88,Mapping!$A:$A,0))="",INDEX(JLRrates!$C:$C,MATCH(INDEX(Mapping!$C:$C,MATCH($A88,Mapping!$A:$A,0)),JLRrates!$B:$B,0))=""),0,INDEX(JLRrates!$C:$C,MATCH(INDEX(Mapping!$C:$C,MATCH($A88,Mapping!$A:$A,0)),JLRrates!$B:$B,0))),0)</f>
        <v>0</v>
      </c>
      <c r="L88">
        <f>IFERROR(IF(OR(INDEX(Mapping!$C:$C,MATCH($A88,Mapping!$A:$A,0))="",INDEX(JLRrates!$D:$D,MATCH(INDEX(Mapping!$C:$C,MATCH($A88,Mapping!$A:$A,0)),JLRrates!$B:$B,0))=""),0,INDEX(JLRrates!$D:$D,MATCH(INDEX(Mapping!$C:$C,MATCH($A88,Mapping!$A:$A,0)),JLRrates!$B:$B,0))),0)</f>
        <v>0</v>
      </c>
    </row>
    <row r="89">
      <c r="A89" t="str">
        <v>mat-al-busbar</v>
      </c>
      <c r="B89" t="str">
        <v>Aluminium Busbar (EV / battery)</v>
      </c>
      <c r="C89" t="str">
        <v>Aluminium Sheet</v>
      </c>
      <c r="D89">
        <f>IF($K89&gt;0,$K89,3.8)</f>
        <v>3.8</v>
      </c>
      <c r="E89">
        <f>IF($L89&gt;0,$L89,1)</f>
        <v>1</v>
      </c>
      <c r="F89">
        <v>2700</v>
      </c>
      <c r="G89" t="str">
        <v>UK</v>
      </c>
      <c r="H89" t="str">
        <v>2026-07</v>
      </c>
      <c r="I89" t="str">
        <v>UK Jul 2026. 1050/6101 aluminium busbar stock — battery-pack and inverter interconnects, cell-to-body (CTB/CTC) module bars; lighter/cheaper than copper, larger cross-section.</v>
      </c>
      <c r="J89" t="str">
        <v>Low</v>
      </c>
      <c r="K89">
        <f>IFERROR(IF(OR(INDEX(Mapping!$C:$C,MATCH($A89,Mapping!$A:$A,0))="",INDEX(JLRrates!$C:$C,MATCH(INDEX(Mapping!$C:$C,MATCH($A89,Mapping!$A:$A,0)),JLRrates!$B:$B,0))=""),0,INDEX(JLRrates!$C:$C,MATCH(INDEX(Mapping!$C:$C,MATCH($A89,Mapping!$A:$A,0)),JLRrates!$B:$B,0))),0)</f>
        <v>0</v>
      </c>
      <c r="L89">
        <f>IFERROR(IF(OR(INDEX(Mapping!$C:$C,MATCH($A89,Mapping!$A:$A,0))="",INDEX(JLRrates!$D:$D,MATCH(INDEX(Mapping!$C:$C,MATCH($A89,Mapping!$A:$A,0)),JLRrates!$B:$B,0))=""),0,INDEX(JLRrates!$D:$D,MATCH(INDEX(Mapping!$C:$C,MATCH($A89,Mapping!$A:$A,0)),JLRrates!$B:$B,0))),0)</f>
        <v>0</v>
      </c>
    </row>
    <row r="90">
      <c r="A90" t="str">
        <v>mat-c67s-spring</v>
      </c>
      <c r="B90" t="str">
        <v>C67S / 1.1231 (CR Spring Strip)</v>
      </c>
      <c r="C90" t="str">
        <v>Spring Steel Strip</v>
      </c>
      <c r="D90">
        <f>IF($K90&gt;0,$K90,1.55)</f>
        <v>1.55</v>
      </c>
      <c r="E90">
        <f>IF($L90&gt;0,$L90,0.22)</f>
        <v>0.22</v>
      </c>
      <c r="F90">
        <v>7850</v>
      </c>
      <c r="G90" t="str">
        <v>UK</v>
      </c>
      <c r="H90" t="str">
        <v>2026-07</v>
      </c>
      <c r="I90" t="str">
        <v>UK spring strip Jul 2026. Hardened-and-tempered carbon spring strip — stamped flat springs, clips, retainers, blades; high yield after HT.</v>
      </c>
      <c r="J90" t="str">
        <v>Low</v>
      </c>
      <c r="K90">
        <f>IFERROR(IF(OR(INDEX(Mapping!$C:$C,MATCH($A90,Mapping!$A:$A,0))="",INDEX(JLRrates!$C:$C,MATCH(INDEX(Mapping!$C:$C,MATCH($A90,Mapping!$A:$A,0)),JLRrates!$B:$B,0))=""),0,INDEX(JLRrates!$C:$C,MATCH(INDEX(Mapping!$C:$C,MATCH($A90,Mapping!$A:$A,0)),JLRrates!$B:$B,0))),0)</f>
        <v>0</v>
      </c>
      <c r="L90">
        <f>IFERROR(IF(OR(INDEX(Mapping!$C:$C,MATCH($A90,Mapping!$A:$A,0))="",INDEX(JLRrates!$D:$D,MATCH(INDEX(Mapping!$C:$C,MATCH($A90,Mapping!$A:$A,0)),JLRrates!$B:$B,0))=""),0,INDEX(JLRrates!$D:$D,MATCH(INDEX(Mapping!$C:$C,MATCH($A90,Mapping!$A:$A,0)),JLRrates!$B:$B,0))),0)</f>
        <v>0</v>
      </c>
    </row>
    <row r="91">
      <c r="A91" t="str">
        <v>mat-ss301-spring</v>
      </c>
      <c r="B91" t="str">
        <v>301 Spring-Temper Stainless Strip</v>
      </c>
      <c r="C91" t="str">
        <v>Spring Steel Strip</v>
      </c>
      <c r="D91">
        <f>IF($K91&gt;0,$K91,4.4)</f>
        <v>4.4</v>
      </c>
      <c r="E91">
        <f>IF($L91&gt;0,$L91,0.9)</f>
        <v>0.9</v>
      </c>
      <c r="F91">
        <v>7900</v>
      </c>
      <c r="G91" t="str">
        <v>UK</v>
      </c>
      <c r="H91" t="str">
        <v>2026-07</v>
      </c>
      <c r="I91" t="str">
        <v>UK stainless spring strip Jul 2026. Work-hardened 301 (1/2–full hard) — corrosion-resistant springs, contacts, diaphragms, EMI fingers.</v>
      </c>
      <c r="J91" t="str">
        <v>Low</v>
      </c>
      <c r="K91">
        <f>IFERROR(IF(OR(INDEX(Mapping!$C:$C,MATCH($A91,Mapping!$A:$A,0))="",INDEX(JLRrates!$C:$C,MATCH(INDEX(Mapping!$C:$C,MATCH($A91,Mapping!$A:$A,0)),JLRrates!$B:$B,0))=""),0,INDEX(JLRrates!$C:$C,MATCH(INDEX(Mapping!$C:$C,MATCH($A91,Mapping!$A:$A,0)),JLRrates!$B:$B,0))),0)</f>
        <v>0</v>
      </c>
      <c r="L91">
        <f>IFERROR(IF(OR(INDEX(Mapping!$C:$C,MATCH($A91,Mapping!$A:$A,0))="",INDEX(JLRrates!$D:$D,MATCH(INDEX(Mapping!$C:$C,MATCH($A91,Mapping!$A:$A,0)),JLRrates!$B:$B,0))=""),0,INDEX(JLRrates!$D:$D,MATCH(INDEX(Mapping!$C:$C,MATCH($A91,Mapping!$A:$A,0)),JLRrates!$B:$B,0))),0)</f>
        <v>0</v>
      </c>
    </row>
    <row r="92">
      <c r="A92" t="str">
        <v>mat-znni-eg</v>
      </c>
      <c r="B92" t="str">
        <v>Zn-Ni Electrogalvanised</v>
      </c>
      <c r="C92" t="str">
        <v>Coated Steel Sheet</v>
      </c>
      <c r="D92">
        <f>IF($K92&gt;0,$K92,1.18)</f>
        <v>1.18</v>
      </c>
      <c r="E92">
        <f>IF($L92&gt;0,$L92,0.2)</f>
        <v>0.2</v>
      </c>
      <c r="F92">
        <v>7850</v>
      </c>
      <c r="G92" t="str">
        <v>UK</v>
      </c>
      <c r="H92" t="str">
        <v>2026-07</v>
      </c>
      <c r="I92" t="str">
        <v>UK coated coil Jul 2026. Zinc-nickel electroplated — superior corrosion + heat resistance for underbody/fasteners. Better than plain EG. Yield ~150 MPa.</v>
      </c>
      <c r="J92" t="str">
        <v>Low</v>
      </c>
      <c r="K92">
        <f>IFERROR(IF(OR(INDEX(Mapping!$C:$C,MATCH($A92,Mapping!$A:$A,0))="",INDEX(JLRrates!$C:$C,MATCH(INDEX(Mapping!$C:$C,MATCH($A92,Mapping!$A:$A,0)),JLRrates!$B:$B,0))=""),0,INDEX(JLRrates!$C:$C,MATCH(INDEX(Mapping!$C:$C,MATCH($A92,Mapping!$A:$A,0)),JLRrates!$B:$B,0))),0)</f>
        <v>0</v>
      </c>
      <c r="L92">
        <f>IFERROR(IF(OR(INDEX(Mapping!$C:$C,MATCH($A92,Mapping!$A:$A,0))="",INDEX(JLRrates!$D:$D,MATCH(INDEX(Mapping!$C:$C,MATCH($A92,Mapping!$A:$A,0)),JLRrates!$B:$B,0))=""),0,INDEX(JLRrates!$D:$D,MATCH(INDEX(Mapping!$C:$C,MATCH($A92,Mapping!$A:$A,0)),JLRrates!$B:$B,0))),0)</f>
        <v>0</v>
      </c>
    </row>
    <row r="93">
      <c r="A93" t="str">
        <v>mat-zm-coated</v>
      </c>
      <c r="B93" t="str">
        <v>ZM (Zn-Mg-Al) Coated</v>
      </c>
      <c r="C93" t="str">
        <v>Coated Steel Sheet</v>
      </c>
      <c r="D93">
        <f>IF($K93&gt;0,$K93,1.15)</f>
        <v>1.15</v>
      </c>
      <c r="E93">
        <f>IF($L93&gt;0,$L93,0.2)</f>
        <v>0.2</v>
      </c>
      <c r="F93">
        <v>7850</v>
      </c>
      <c r="G93" t="str">
        <v>UK</v>
      </c>
      <c r="H93" t="str">
        <v>2026-07</v>
      </c>
      <c r="I93" t="str">
        <v>UK coated coil Jul 2026. Zinc-magnesium-aluminium coating — 2–3× corrosion life of GI at lower coat weight; battery trays, underbody. Yield ~180 MPa.</v>
      </c>
      <c r="J93" t="str">
        <v>Low</v>
      </c>
      <c r="K93">
        <f>IFERROR(IF(OR(INDEX(Mapping!$C:$C,MATCH($A93,Mapping!$A:$A,0))="",INDEX(JLRrates!$C:$C,MATCH(INDEX(Mapping!$C:$C,MATCH($A93,Mapping!$A:$A,0)),JLRrates!$B:$B,0))=""),0,INDEX(JLRrates!$C:$C,MATCH(INDEX(Mapping!$C:$C,MATCH($A93,Mapping!$A:$A,0)),JLRrates!$B:$B,0))),0)</f>
        <v>0</v>
      </c>
      <c r="L93">
        <f>IFERROR(IF(OR(INDEX(Mapping!$C:$C,MATCH($A93,Mapping!$A:$A,0))="",INDEX(JLRrates!$D:$D,MATCH(INDEX(Mapping!$C:$C,MATCH($A93,Mapping!$A:$A,0)),JLRrates!$B:$B,0))=""),0,INDEX(JLRrates!$D:$D,MATCH(INDEX(Mapping!$C:$C,MATCH($A93,Mapping!$A:$A,0)),JLRrates!$B:$B,0))),0)</f>
        <v>0</v>
      </c>
    </row>
    <row r="94">
      <c r="A94" t="str">
        <v>mat-tinplate-etp</v>
      </c>
      <c r="B94" t="str">
        <v>Tinplate (ETP)</v>
      </c>
      <c r="C94" t="str">
        <v>Coated Steel Sheet</v>
      </c>
      <c r="D94">
        <f>IF($K94&gt;0,$K94,1.3)</f>
        <v>1.3</v>
      </c>
      <c r="E94">
        <f>IF($L94&gt;0,$L94,0.2)</f>
        <v>0.2</v>
      </c>
      <c r="F94">
        <v>7850</v>
      </c>
      <c r="G94" t="str">
        <v>UK</v>
      </c>
      <c r="H94" t="str">
        <v>2026-07</v>
      </c>
      <c r="I94" t="str">
        <v>UK tinplate Jul 2026. Electrolytic tin-plated low-carbon — cans, enclosures, shielding. Solderable, corrosion-resistant. Yield ~230 MPa.</v>
      </c>
      <c r="J94" t="str">
        <v>Low</v>
      </c>
      <c r="K94">
        <f>IFERROR(IF(OR(INDEX(Mapping!$C:$C,MATCH($A94,Mapping!$A:$A,0))="",INDEX(JLRrates!$C:$C,MATCH(INDEX(Mapping!$C:$C,MATCH($A94,Mapping!$A:$A,0)),JLRrates!$B:$B,0))=""),0,INDEX(JLRrates!$C:$C,MATCH(INDEX(Mapping!$C:$C,MATCH($A94,Mapping!$A:$A,0)),JLRrates!$B:$B,0))),0)</f>
        <v>0</v>
      </c>
      <c r="L94">
        <f>IFERROR(IF(OR(INDEX(Mapping!$C:$C,MATCH($A94,Mapping!$A:$A,0))="",INDEX(JLRrates!$D:$D,MATCH(INDEX(Mapping!$C:$C,MATCH($A94,Mapping!$A:$A,0)),JLRrates!$B:$B,0))=""),0,INDEX(JLRrates!$D:$D,MATCH(INDEX(Mapping!$C:$C,MATCH($A94,Mapping!$A:$A,0)),JLRrates!$B:$B,0))),0)</f>
        <v>0</v>
      </c>
    </row>
    <row r="95">
      <c r="A95" t="str">
        <v>mat-aa6016-t4</v>
      </c>
      <c r="B95" t="str">
        <v>AA6016-T4 Sheet (Auto Skin)</v>
      </c>
      <c r="C95" t="str">
        <v>Aluminium Sheet</v>
      </c>
      <c r="D95">
        <f>IF($K95&gt;0,$K95,3.55)</f>
        <v>3.55</v>
      </c>
      <c r="E95">
        <f>IF($L95&gt;0,$L95,0.5)</f>
        <v>0.5</v>
      </c>
      <c r="F95">
        <v>2700</v>
      </c>
      <c r="G95" t="str">
        <v>UK</v>
      </c>
      <c r="H95" t="str">
        <v>2026-07</v>
      </c>
      <c r="I95" t="str">
        <v>UK Al auto sheet Jul 2026. 6016 T4 — the dominant aluminium outer-panel skin (bonnet, door, fender); bake-hardens in paint oven, good hemming. Yield ~120 MPa (T4).</v>
      </c>
      <c r="J95" t="str">
        <v>Low</v>
      </c>
      <c r="K95">
        <f>IFERROR(IF(OR(INDEX(Mapping!$C:$C,MATCH($A95,Mapping!$A:$A,0))="",INDEX(JLRrates!$C:$C,MATCH(INDEX(Mapping!$C:$C,MATCH($A95,Mapping!$A:$A,0)),JLRrates!$B:$B,0))=""),0,INDEX(JLRrates!$C:$C,MATCH(INDEX(Mapping!$C:$C,MATCH($A95,Mapping!$A:$A,0)),JLRrates!$B:$B,0))),0)</f>
        <v>0</v>
      </c>
      <c r="L95">
        <f>IFERROR(IF(OR(INDEX(Mapping!$C:$C,MATCH($A95,Mapping!$A:$A,0))="",INDEX(JLRrates!$D:$D,MATCH(INDEX(Mapping!$C:$C,MATCH($A95,Mapping!$A:$A,0)),JLRrates!$B:$B,0))=""),0,INDEX(JLRrates!$D:$D,MATCH(INDEX(Mapping!$C:$C,MATCH($A95,Mapping!$A:$A,0)),JLRrates!$B:$B,0))),0)</f>
        <v>0</v>
      </c>
    </row>
    <row r="96">
      <c r="A96" t="str">
        <v>mat-aa6111-t4</v>
      </c>
      <c r="B96" t="str">
        <v>AA6111-T4 Sheet (Auto Skin)</v>
      </c>
      <c r="C96" t="str">
        <v>Aluminium Sheet</v>
      </c>
      <c r="D96">
        <f>IF($K96&gt;0,$K96,3.7)</f>
        <v>3.7</v>
      </c>
      <c r="E96">
        <f>IF($L96&gt;0,$L96,0.5)</f>
        <v>0.5</v>
      </c>
      <c r="F96">
        <v>2710</v>
      </c>
      <c r="G96" t="str">
        <v>UK</v>
      </c>
      <c r="H96" t="str">
        <v>2026-07</v>
      </c>
      <c r="I96" t="str">
        <v>UK Al auto sheet Jul 2026. 6111 T4 — higher-strength outer skin for dent resistance; NA OEM closures. Yield ~160 MPa (T4).</v>
      </c>
      <c r="J96" t="str">
        <v>Low</v>
      </c>
      <c r="K96">
        <f>IFERROR(IF(OR(INDEX(Mapping!$C:$C,MATCH($A96,Mapping!$A:$A,0))="",INDEX(JLRrates!$C:$C,MATCH(INDEX(Mapping!$C:$C,MATCH($A96,Mapping!$A:$A,0)),JLRrates!$B:$B,0))=""),0,INDEX(JLRrates!$C:$C,MATCH(INDEX(Mapping!$C:$C,MATCH($A96,Mapping!$A:$A,0)),JLRrates!$B:$B,0))),0)</f>
        <v>0</v>
      </c>
      <c r="L96">
        <f>IFERROR(IF(OR(INDEX(Mapping!$C:$C,MATCH($A96,Mapping!$A:$A,0))="",INDEX(JLRrates!$D:$D,MATCH(INDEX(Mapping!$C:$C,MATCH($A96,Mapping!$A:$A,0)),JLRrates!$B:$B,0))=""),0,INDEX(JLRrates!$D:$D,MATCH(INDEX(Mapping!$C:$C,MATCH($A96,Mapping!$A:$A,0)),JLRrates!$B:$B,0))),0)</f>
        <v>0</v>
      </c>
    </row>
    <row r="97">
      <c r="A97" t="str">
        <v>mat-aa7075-t6</v>
      </c>
      <c r="B97" t="str">
        <v>AA7075-T6 Sheet/Plate</v>
      </c>
      <c r="C97" t="str">
        <v>Aluminium Sheet</v>
      </c>
      <c r="D97">
        <f>IF($K97&gt;0,$K97,6.8)</f>
        <v>6.8</v>
      </c>
      <c r="E97">
        <f>IF($L97&gt;0,$L97,0.55)</f>
        <v>0.55</v>
      </c>
      <c r="F97">
        <v>2810</v>
      </c>
      <c r="G97" t="str">
        <v>UK</v>
      </c>
      <c r="H97" t="str">
        <v>2026-07</v>
      </c>
      <c r="I97" t="str">
        <v>UK Al plate Jul 2026. 7075 T6 — aerospace-grade high-strength structural (bumper beams, reinforcements). Poor formability/weldability; cold form in W-temper. Yield ~505 MPa.</v>
      </c>
      <c r="J97" t="str">
        <v>Low</v>
      </c>
      <c r="K97">
        <f>IFERROR(IF(OR(INDEX(Mapping!$C:$C,MATCH($A97,Mapping!$A:$A,0))="",INDEX(JLRrates!$C:$C,MATCH(INDEX(Mapping!$C:$C,MATCH($A97,Mapping!$A:$A,0)),JLRrates!$B:$B,0))=""),0,INDEX(JLRrates!$C:$C,MATCH(INDEX(Mapping!$C:$C,MATCH($A97,Mapping!$A:$A,0)),JLRrates!$B:$B,0))),0)</f>
        <v>0</v>
      </c>
      <c r="L97">
        <f>IFERROR(IF(OR(INDEX(Mapping!$C:$C,MATCH($A97,Mapping!$A:$A,0))="",INDEX(JLRrates!$D:$D,MATCH(INDEX(Mapping!$C:$C,MATCH($A97,Mapping!$A:$A,0)),JLRrates!$B:$B,0))=""),0,INDEX(JLRrates!$D:$D,MATCH(INDEX(Mapping!$C:$C,MATCH($A97,Mapping!$A:$A,0)),JLRrates!$B:$B,0))),0)</f>
        <v>0</v>
      </c>
    </row>
    <row r="98">
      <c r="A98" t="str">
        <v>mat-greensteel-dc01</v>
      </c>
      <c r="B98" t="str">
        <v>Low-CO₂ "Green" Steel (H₂-DRI, DC01 equiv.)</v>
      </c>
      <c r="C98" t="str">
        <v>Low-Carbon Steel Sheet</v>
      </c>
      <c r="D98">
        <f>IF($K98&gt;0,$K98,1.05)</f>
        <v>1.05</v>
      </c>
      <c r="E98">
        <f>IF($L98&gt;0,$L98,0.2)</f>
        <v>0.2</v>
      </c>
      <c r="F98">
        <v>7850</v>
      </c>
      <c r="G98" t="str">
        <v>UK</v>
      </c>
      <c r="H98" t="str">
        <v>2026-07</v>
      </c>
      <c r="I98" t="str">
        <v>UK green-steel offer Jul 2026. Hydrogen direct-reduced / high-scrap EAF route — DC01-equivalent properties at ~70–90% lower embodied CO₂. Premium ~15–25% over conventional. Yield ~140 MPa.</v>
      </c>
      <c r="J98" t="str">
        <v>Low</v>
      </c>
      <c r="K98">
        <f>IFERROR(IF(OR(INDEX(Mapping!$C:$C,MATCH($A98,Mapping!$A:$A,0))="",INDEX(JLRrates!$C:$C,MATCH(INDEX(Mapping!$C:$C,MATCH($A98,Mapping!$A:$A,0)),JLRrates!$B:$B,0))=""),0,INDEX(JLRrates!$C:$C,MATCH(INDEX(Mapping!$C:$C,MATCH($A98,Mapping!$A:$A,0)),JLRrates!$B:$B,0))),0)</f>
        <v>0</v>
      </c>
      <c r="L98">
        <f>IFERROR(IF(OR(INDEX(Mapping!$C:$C,MATCH($A98,Mapping!$A:$A,0))="",INDEX(JLRrates!$D:$D,MATCH(INDEX(Mapping!$C:$C,MATCH($A98,Mapping!$A:$A,0)),JLRrates!$B:$B,0))=""),0,INDEX(JLRrates!$D:$D,MATCH(INDEX(Mapping!$C:$C,MATCH($A98,Mapping!$A:$A,0)),JLRrates!$B:$B,0))),0)</f>
        <v>0</v>
      </c>
    </row>
    <row r="99">
      <c r="A99" t="str">
        <v>mat-al-recycled-5xxx</v>
      </c>
      <c r="B99" t="str">
        <v>Recycled-Content Al 5xxx (Secondary)</v>
      </c>
      <c r="C99" t="str">
        <v>Aluminium Sheet</v>
      </c>
      <c r="D99">
        <f>IF($K99&gt;0,$K99,2.6)</f>
        <v>2.6</v>
      </c>
      <c r="E99">
        <f>IF($L99&gt;0,$L99,0.5)</f>
        <v>0.5</v>
      </c>
      <c r="F99">
        <v>2670</v>
      </c>
      <c r="G99" t="str">
        <v>UK</v>
      </c>
      <c r="H99" t="str">
        <v>2026-07</v>
      </c>
      <c r="I99" t="str">
        <v>UK secondary-Al sheet Jul 2026. High recycled-content 5xxx — non-visible inner panels/brackets; ~5% cheaper and far lower CO₂ than primary. Slightly wider property tolerance. Yield ~130 MPa.</v>
      </c>
      <c r="J99" t="str">
        <v>Low</v>
      </c>
      <c r="K99">
        <f>IFERROR(IF(OR(INDEX(Mapping!$C:$C,MATCH($A99,Mapping!$A:$A,0))="",INDEX(JLRrates!$C:$C,MATCH(INDEX(Mapping!$C:$C,MATCH($A99,Mapping!$A:$A,0)),JLRrates!$B:$B,0))=""),0,INDEX(JLRrates!$C:$C,MATCH(INDEX(Mapping!$C:$C,MATCH($A99,Mapping!$A:$A,0)),JLRrates!$B:$B,0))),0)</f>
        <v>0</v>
      </c>
      <c r="L99">
        <f>IFERROR(IF(OR(INDEX(Mapping!$C:$C,MATCH($A99,Mapping!$A:$A,0))="",INDEX(JLRrates!$D:$D,MATCH(INDEX(Mapping!$C:$C,MATCH($A99,Mapping!$A:$A,0)),JLRrates!$B:$B,0))=""),0,INDEX(JLRrates!$D:$D,MATCH(INDEX(Mapping!$C:$C,MATCH($A99,Mapping!$A:$A,0)),JLRrates!$B:$B,0))),0)</f>
        <v>0</v>
      </c>
    </row>
    <row r="100">
      <c r="A100" t="str">
        <v>mat-pp</v>
      </c>
      <c r="B100" t="str">
        <v>PP Copolymer</v>
      </c>
      <c r="C100" t="str">
        <v>Thermoplastic</v>
      </c>
      <c r="D100">
        <f>IF($K100&gt;0,$K100,1.12)</f>
        <v>1.12</v>
      </c>
      <c r="E100">
        <f>IF($L100&gt;0,$L100,0.1)</f>
        <v>0.1</v>
      </c>
      <c r="F100">
        <v>900</v>
      </c>
      <c r="G100" t="str">
        <v>UK</v>
      </c>
      <c r="H100" t="str">
        <v>2026-07</v>
      </c>
      <c r="I100" t="str">
        <v>UK resin distributor, Jun 2026 Index-anchored 2026-07 (see RESIN PRICING BASIS).</v>
      </c>
      <c r="J100" t="str">
        <v>Medium</v>
      </c>
      <c r="K100">
        <f>IFERROR(IF(OR(INDEX(Mapping!$C:$C,MATCH($A100,Mapping!$A:$A,0))="",INDEX(JLRrates!$C:$C,MATCH(INDEX(Mapping!$C:$C,MATCH($A100,Mapping!$A:$A,0)),JLRrates!$B:$B,0))=""),0,INDEX(JLRrates!$C:$C,MATCH(INDEX(Mapping!$C:$C,MATCH($A100,Mapping!$A:$A,0)),JLRrates!$B:$B,0))),0)</f>
        <v>0</v>
      </c>
      <c r="L100">
        <f>IFERROR(IF(OR(INDEX(Mapping!$C:$C,MATCH($A100,Mapping!$A:$A,0))="",INDEX(JLRrates!$D:$D,MATCH(INDEX(Mapping!$C:$C,MATCH($A100,Mapping!$A:$A,0)),JLRrates!$B:$B,0))=""),0,INDEX(JLRrates!$D:$D,MATCH(INDEX(Mapping!$C:$C,MATCH($A100,Mapping!$A:$A,0)),JLRrates!$B:$B,0))),0)</f>
        <v>0</v>
      </c>
    </row>
    <row r="101">
      <c r="A101" t="str">
        <v>mat-abs</v>
      </c>
      <c r="B101" t="str">
        <v>ABS</v>
      </c>
      <c r="C101" t="str">
        <v>Thermoplastic</v>
      </c>
      <c r="D101">
        <f>IF($K101&gt;0,$K101,1.68)</f>
        <v>1.68</v>
      </c>
      <c r="E101">
        <f>IF($L101&gt;0,$L101,0.1)</f>
        <v>0.1</v>
      </c>
      <c r="F101">
        <v>1050</v>
      </c>
      <c r="G101" t="str">
        <v>UK</v>
      </c>
      <c r="H101" t="str">
        <v>2026-07</v>
      </c>
      <c r="I101" t="str">
        <v>UK resin distributor, Jun 2026 Index-anchored 2026-07 (see RESIN PRICING BASIS).</v>
      </c>
      <c r="J101" t="str">
        <v>Medium</v>
      </c>
      <c r="K101">
        <f>IFERROR(IF(OR(INDEX(Mapping!$C:$C,MATCH($A101,Mapping!$A:$A,0))="",INDEX(JLRrates!$C:$C,MATCH(INDEX(Mapping!$C:$C,MATCH($A101,Mapping!$A:$A,0)),JLRrates!$B:$B,0))=""),0,INDEX(JLRrates!$C:$C,MATCH(INDEX(Mapping!$C:$C,MATCH($A101,Mapping!$A:$A,0)),JLRrates!$B:$B,0))),0)</f>
        <v>0</v>
      </c>
      <c r="L101">
        <f>IFERROR(IF(OR(INDEX(Mapping!$C:$C,MATCH($A101,Mapping!$A:$A,0))="",INDEX(JLRrates!$D:$D,MATCH(INDEX(Mapping!$C:$C,MATCH($A101,Mapping!$A:$A,0)),JLRrates!$B:$B,0))=""),0,INDEX(JLRrates!$D:$D,MATCH(INDEX(Mapping!$C:$C,MATCH($A101,Mapping!$A:$A,0)),JLRrates!$B:$B,0))),0)</f>
        <v>0</v>
      </c>
    </row>
    <row r="102">
      <c r="A102" t="str">
        <v>mat-pa66gf30</v>
      </c>
      <c r="B102" t="str">
        <v>PA66 GF30</v>
      </c>
      <c r="C102" t="str">
        <v>Thermoplastic</v>
      </c>
      <c r="D102">
        <f>IF($K102&gt;0,$K102,3.1)</f>
        <v>3.1</v>
      </c>
      <c r="E102">
        <f>IF($L102&gt;0,$L102,0.05)</f>
        <v>0.05</v>
      </c>
      <c r="F102">
        <v>1300</v>
      </c>
      <c r="G102" t="str">
        <v>UK</v>
      </c>
      <c r="H102" t="str">
        <v>2026-07</v>
      </c>
      <c r="I102" t="str">
        <v>UK resin distributor, Jun 2026 Index-anchored 2026-07 (see RESIN PRICING BASIS).</v>
      </c>
      <c r="J102" t="str">
        <v>Medium</v>
      </c>
      <c r="K102">
        <f>IFERROR(IF(OR(INDEX(Mapping!$C:$C,MATCH($A102,Mapping!$A:$A,0))="",INDEX(JLRrates!$C:$C,MATCH(INDEX(Mapping!$C:$C,MATCH($A102,Mapping!$A:$A,0)),JLRrates!$B:$B,0))=""),0,INDEX(JLRrates!$C:$C,MATCH(INDEX(Mapping!$C:$C,MATCH($A102,Mapping!$A:$A,0)),JLRrates!$B:$B,0))),0)</f>
        <v>0</v>
      </c>
      <c r="L102">
        <f>IFERROR(IF(OR(INDEX(Mapping!$C:$C,MATCH($A102,Mapping!$A:$A,0))="",INDEX(JLRrates!$D:$D,MATCH(INDEX(Mapping!$C:$C,MATCH($A102,Mapping!$A:$A,0)),JLRrates!$B:$B,0))=""),0,INDEX(JLRrates!$D:$D,MATCH(INDEX(Mapping!$C:$C,MATCH($A102,Mapping!$A:$A,0)),JLRrates!$B:$B,0))),0)</f>
        <v>0</v>
      </c>
    </row>
    <row r="103">
      <c r="A103" t="str">
        <v>mat-pc</v>
      </c>
      <c r="B103" t="str">
        <v>PC (Lexan)</v>
      </c>
      <c r="C103" t="str">
        <v>Thermoplastic</v>
      </c>
      <c r="D103">
        <f>IF($K103&gt;0,$K103,2.52)</f>
        <v>2.52</v>
      </c>
      <c r="E103">
        <f>IF($L103&gt;0,$L103,0.08)</f>
        <v>0.08</v>
      </c>
      <c r="F103">
        <v>1200</v>
      </c>
      <c r="G103" t="str">
        <v>UK</v>
      </c>
      <c r="H103" t="str">
        <v>2026-07</v>
      </c>
      <c r="I103" t="str">
        <v>UK resin distributor, Jun 2026 Index-anchored 2026-07 (see RESIN PRICING BASIS).</v>
      </c>
      <c r="J103" t="str">
        <v>Medium</v>
      </c>
      <c r="K103">
        <f>IFERROR(IF(OR(INDEX(Mapping!$C:$C,MATCH($A103,Mapping!$A:$A,0))="",INDEX(JLRrates!$C:$C,MATCH(INDEX(Mapping!$C:$C,MATCH($A103,Mapping!$A:$A,0)),JLRrates!$B:$B,0))=""),0,INDEX(JLRrates!$C:$C,MATCH(INDEX(Mapping!$C:$C,MATCH($A103,Mapping!$A:$A,0)),JLRrates!$B:$B,0))),0)</f>
        <v>0</v>
      </c>
      <c r="L103">
        <f>IFERROR(IF(OR(INDEX(Mapping!$C:$C,MATCH($A103,Mapping!$A:$A,0))="",INDEX(JLRrates!$D:$D,MATCH(INDEX(Mapping!$C:$C,MATCH($A103,Mapping!$A:$A,0)),JLRrates!$B:$B,0))=""),0,INDEX(JLRrates!$D:$D,MATCH(INDEX(Mapping!$C:$C,MATCH($A103,Mapping!$A:$A,0)),JLRrates!$B:$B,0))),0)</f>
        <v>0</v>
      </c>
    </row>
    <row r="104">
      <c r="A104" t="str">
        <v>mat-hdpe</v>
      </c>
      <c r="B104" t="str">
        <v>HDPE</v>
      </c>
      <c r="C104" t="str">
        <v>Thermoplastic</v>
      </c>
      <c r="D104">
        <f>IF($K104&gt;0,$K104,1.06)</f>
        <v>1.06</v>
      </c>
      <c r="E104">
        <f>IF($L104&gt;0,$L104,0.12)</f>
        <v>0.12</v>
      </c>
      <c r="F104">
        <v>960</v>
      </c>
      <c r="G104" t="str">
        <v>UK</v>
      </c>
      <c r="H104" t="str">
        <v>2026-07</v>
      </c>
      <c r="I104" t="str">
        <v>UK resin distributor, Jun 2026 Index-anchored 2026-07 (see RESIN PRICING BASIS).</v>
      </c>
      <c r="J104" t="str">
        <v>Medium</v>
      </c>
      <c r="K104">
        <f>IFERROR(IF(OR(INDEX(Mapping!$C:$C,MATCH($A104,Mapping!$A:$A,0))="",INDEX(JLRrates!$C:$C,MATCH(INDEX(Mapping!$C:$C,MATCH($A104,Mapping!$A:$A,0)),JLRrates!$B:$B,0))=""),0,INDEX(JLRrates!$C:$C,MATCH(INDEX(Mapping!$C:$C,MATCH($A104,Mapping!$A:$A,0)),JLRrates!$B:$B,0))),0)</f>
        <v>0</v>
      </c>
      <c r="L104">
        <f>IFERROR(IF(OR(INDEX(Mapping!$C:$C,MATCH($A104,Mapping!$A:$A,0))="",INDEX(JLRrates!$D:$D,MATCH(INDEX(Mapping!$C:$C,MATCH($A104,Mapping!$A:$A,0)),JLRrates!$B:$B,0))=""),0,INDEX(JLRrates!$D:$D,MATCH(INDEX(Mapping!$C:$C,MATCH($A104,Mapping!$A:$A,0)),JLRrates!$B:$B,0))),0)</f>
        <v>0</v>
      </c>
    </row>
    <row r="105">
      <c r="A105" t="str">
        <v>mat-pom</v>
      </c>
      <c r="B105" t="str">
        <v>POM / Acetal (Delrin)</v>
      </c>
      <c r="C105" t="str">
        <v>Thermoplastic</v>
      </c>
      <c r="D105">
        <f>IF($K105&gt;0,$K105,2.05)</f>
        <v>2.05</v>
      </c>
      <c r="E105">
        <f>IF($L105&gt;0,$L105,0.05)</f>
        <v>0.05</v>
      </c>
      <c r="F105">
        <v>1410</v>
      </c>
      <c r="G105" t="str">
        <v>UK</v>
      </c>
      <c r="H105" t="str">
        <v>2026-07</v>
      </c>
      <c r="I105" t="str">
        <v>UK resin distributor, Jun 2026. coolFactor ~2.8 s/mm² Index-anchored 2026-07 (see RESIN PRICING BASIS).</v>
      </c>
      <c r="J105" t="str">
        <v>Medium</v>
      </c>
      <c r="K105">
        <f>IFERROR(IF(OR(INDEX(Mapping!$C:$C,MATCH($A105,Mapping!$A:$A,0))="",INDEX(JLRrates!$C:$C,MATCH(INDEX(Mapping!$C:$C,MATCH($A105,Mapping!$A:$A,0)),JLRrates!$B:$B,0))=""),0,INDEX(JLRrates!$C:$C,MATCH(INDEX(Mapping!$C:$C,MATCH($A105,Mapping!$A:$A,0)),JLRrates!$B:$B,0))),0)</f>
        <v>0</v>
      </c>
      <c r="L105">
        <f>IFERROR(IF(OR(INDEX(Mapping!$C:$C,MATCH($A105,Mapping!$A:$A,0))="",INDEX(JLRrates!$D:$D,MATCH(INDEX(Mapping!$C:$C,MATCH($A105,Mapping!$A:$A,0)),JLRrates!$B:$B,0))=""),0,INDEX(JLRrates!$D:$D,MATCH(INDEX(Mapping!$C:$C,MATCH($A105,Mapping!$A:$A,0)),JLRrates!$B:$B,0))),0)</f>
        <v>0</v>
      </c>
    </row>
    <row r="106">
      <c r="A106" t="str">
        <v>mat-pbt-gf30</v>
      </c>
      <c r="B106" t="str">
        <v>PBT GF30</v>
      </c>
      <c r="C106" t="str">
        <v>Thermoplastic</v>
      </c>
      <c r="D106">
        <f>IF($K106&gt;0,$K106,3.1)</f>
        <v>3.1</v>
      </c>
      <c r="E106">
        <f>IF($L106&gt;0,$L106,0.05)</f>
        <v>0.05</v>
      </c>
      <c r="F106">
        <v>1520</v>
      </c>
      <c r="G106" t="str">
        <v>UK</v>
      </c>
      <c r="H106" t="str">
        <v>2026-07</v>
      </c>
      <c r="I106" t="str">
        <v>UK resin distributor, Jun 2026. Common connector/housing material. Index-anchored 2026-07 (see RESIN PRICING BASIS).</v>
      </c>
      <c r="J106" t="str">
        <v>Medium</v>
      </c>
      <c r="K106">
        <f>IFERROR(IF(OR(INDEX(Mapping!$C:$C,MATCH($A106,Mapping!$A:$A,0))="",INDEX(JLRrates!$C:$C,MATCH(INDEX(Mapping!$C:$C,MATCH($A106,Mapping!$A:$A,0)),JLRrates!$B:$B,0))=""),0,INDEX(JLRrates!$C:$C,MATCH(INDEX(Mapping!$C:$C,MATCH($A106,Mapping!$A:$A,0)),JLRrates!$B:$B,0))),0)</f>
        <v>0</v>
      </c>
      <c r="L106">
        <f>IFERROR(IF(OR(INDEX(Mapping!$C:$C,MATCH($A106,Mapping!$A:$A,0))="",INDEX(JLRrates!$D:$D,MATCH(INDEX(Mapping!$C:$C,MATCH($A106,Mapping!$A:$A,0)),JLRrates!$B:$B,0))=""),0,INDEX(JLRrates!$D:$D,MATCH(INDEX(Mapping!$C:$C,MATCH($A106,Mapping!$A:$A,0)),JLRrates!$B:$B,0))),0)</f>
        <v>0</v>
      </c>
    </row>
    <row r="107">
      <c r="A107" t="str">
        <v>mat-tpu-shore85</v>
      </c>
      <c r="B107" t="str">
        <v>TPU Shore 85A</v>
      </c>
      <c r="C107" t="str">
        <v>Thermoplastic Elastomer</v>
      </c>
      <c r="D107">
        <f>IF($K107&gt;0,$K107,2.52)</f>
        <v>2.52</v>
      </c>
      <c r="E107">
        <f>IF($L107&gt;0,$L107,0.05)</f>
        <v>0.05</v>
      </c>
      <c r="F107">
        <v>1200</v>
      </c>
      <c r="G107" t="str">
        <v>UK</v>
      </c>
      <c r="H107" t="str">
        <v>2026-07</v>
      </c>
      <c r="I107" t="str">
        <v>UK resin distributor, Jun 2026. coolFactor ~4.0 s/mm² Index-anchored 2026-07 (see RESIN PRICING BASIS).</v>
      </c>
      <c r="J107" t="str">
        <v>Low</v>
      </c>
      <c r="K107">
        <f>IFERROR(IF(OR(INDEX(Mapping!$C:$C,MATCH($A107,Mapping!$A:$A,0))="",INDEX(JLRrates!$C:$C,MATCH(INDEX(Mapping!$C:$C,MATCH($A107,Mapping!$A:$A,0)),JLRrates!$B:$B,0))=""),0,INDEX(JLRrates!$C:$C,MATCH(INDEX(Mapping!$C:$C,MATCH($A107,Mapping!$A:$A,0)),JLRrates!$B:$B,0))),0)</f>
        <v>0</v>
      </c>
      <c r="L107">
        <f>IFERROR(IF(OR(INDEX(Mapping!$C:$C,MATCH($A107,Mapping!$A:$A,0))="",INDEX(JLRrates!$D:$D,MATCH(INDEX(Mapping!$C:$C,MATCH($A107,Mapping!$A:$A,0)),JLRrates!$B:$B,0))=""),0,INDEX(JLRrates!$D:$D,MATCH(INDEX(Mapping!$C:$C,MATCH($A107,Mapping!$A:$A,0)),JLRrates!$B:$B,0))),0)</f>
        <v>0</v>
      </c>
    </row>
    <row r="108">
      <c r="A108" t="str">
        <v>mat-ldpe</v>
      </c>
      <c r="B108" t="str">
        <v>LDPE (2426H)</v>
      </c>
      <c r="C108" t="str">
        <v>Thermoplastic</v>
      </c>
      <c r="D108">
        <f>IF($K108&gt;0,$K108,0.87)</f>
        <v>0.87</v>
      </c>
      <c r="E108">
        <f>IF($L108&gt;0,$L108,0.08)</f>
        <v>0.08</v>
      </c>
      <c r="F108">
        <v>910</v>
      </c>
      <c r="G108" t="str">
        <v>UK</v>
      </c>
      <c r="H108" t="str">
        <v>2026-07</v>
      </c>
      <c r="I108" t="str">
        <v>UK resin distributor Jun 2026. EBM film bags. coolFactor ~3.5 s/mm² Index-anchored 2026-07 (see RESIN PRICING BASIS).</v>
      </c>
      <c r="J108" t="str">
        <v>Medium</v>
      </c>
      <c r="K108">
        <f>IFERROR(IF(OR(INDEX(Mapping!$C:$C,MATCH($A108,Mapping!$A:$A,0))="",INDEX(JLRrates!$C:$C,MATCH(INDEX(Mapping!$C:$C,MATCH($A108,Mapping!$A:$A,0)),JLRrates!$B:$B,0))=""),0,INDEX(JLRrates!$C:$C,MATCH(INDEX(Mapping!$C:$C,MATCH($A108,Mapping!$A:$A,0)),JLRrates!$B:$B,0))),0)</f>
        <v>0</v>
      </c>
      <c r="L108">
        <f>IFERROR(IF(OR(INDEX(Mapping!$C:$C,MATCH($A108,Mapping!$A:$A,0))="",INDEX(JLRrates!$D:$D,MATCH(INDEX(Mapping!$C:$C,MATCH($A108,Mapping!$A:$A,0)),JLRrates!$B:$B,0))=""),0,INDEX(JLRrates!$D:$D,MATCH(INDEX(Mapping!$C:$C,MATCH($A108,Mapping!$A:$A,0)),JLRrates!$B:$B,0))),0)</f>
        <v>0</v>
      </c>
    </row>
    <row r="109">
      <c r="A109" t="str">
        <v>mat-lldpe</v>
      </c>
      <c r="B109" t="str">
        <v>LLDPE C6</v>
      </c>
      <c r="C109" t="str">
        <v>Thermoplastic</v>
      </c>
      <c r="D109">
        <f>IF($K109&gt;0,$K109,0.93)</f>
        <v>0.93</v>
      </c>
      <c r="E109">
        <f>IF($L109&gt;0,$L109,0.08)</f>
        <v>0.08</v>
      </c>
      <c r="F109">
        <v>920</v>
      </c>
      <c r="G109" t="str">
        <v>UK</v>
      </c>
      <c r="H109" t="str">
        <v>2026-07</v>
      </c>
      <c r="I109" t="str">
        <v>UK resin distributor Jun 2026. Stretch/packaging film, rotomoulding. coolFactor ~3.5 s/mm² Index-anchored 2026-07 (see RESIN PRICING BASIS).</v>
      </c>
      <c r="J109" t="str">
        <v>Medium</v>
      </c>
      <c r="K109">
        <f>IFERROR(IF(OR(INDEX(Mapping!$C:$C,MATCH($A109,Mapping!$A:$A,0))="",INDEX(JLRrates!$C:$C,MATCH(INDEX(Mapping!$C:$C,MATCH($A109,Mapping!$A:$A,0)),JLRrates!$B:$B,0))=""),0,INDEX(JLRrates!$C:$C,MATCH(INDEX(Mapping!$C:$C,MATCH($A109,Mapping!$A:$A,0)),JLRrates!$B:$B,0))),0)</f>
        <v>0</v>
      </c>
      <c r="L109">
        <f>IFERROR(IF(OR(INDEX(Mapping!$C:$C,MATCH($A109,Mapping!$A:$A,0))="",INDEX(JLRrates!$D:$D,MATCH(INDEX(Mapping!$C:$C,MATCH($A109,Mapping!$A:$A,0)),JLRrates!$B:$B,0))=""),0,INDEX(JLRrates!$D:$D,MATCH(INDEX(Mapping!$C:$C,MATCH($A109,Mapping!$A:$A,0)),JLRrates!$B:$B,0))),0)</f>
        <v>0</v>
      </c>
    </row>
    <row r="110">
      <c r="A110" t="str">
        <v>mat-pp-homo</v>
      </c>
      <c r="B110" t="str">
        <v>PP Homopolymer (MFI 12)</v>
      </c>
      <c r="C110" t="str">
        <v>Thermoplastic</v>
      </c>
      <c r="D110">
        <f>IF($K110&gt;0,$K110,0.96)</f>
        <v>0.96</v>
      </c>
      <c r="E110">
        <f>IF($L110&gt;0,$L110,0.1)</f>
        <v>0.1</v>
      </c>
      <c r="F110">
        <v>905</v>
      </c>
      <c r="G110" t="str">
        <v>UK</v>
      </c>
      <c r="H110" t="str">
        <v>2026-07</v>
      </c>
      <c r="I110" t="str">
        <v>UK resin distributor Jun 2026. High stiffness housings, caps. coolFactor ~3.16 s/mm² Index-anchored 2026-07 (see RESIN PRICING BASIS).</v>
      </c>
      <c r="J110" t="str">
        <v>Medium</v>
      </c>
      <c r="K110">
        <f>IFERROR(IF(OR(INDEX(Mapping!$C:$C,MATCH($A110,Mapping!$A:$A,0))="",INDEX(JLRrates!$C:$C,MATCH(INDEX(Mapping!$C:$C,MATCH($A110,Mapping!$A:$A,0)),JLRrates!$B:$B,0))=""),0,INDEX(JLRrates!$C:$C,MATCH(INDEX(Mapping!$C:$C,MATCH($A110,Mapping!$A:$A,0)),JLRrates!$B:$B,0))),0)</f>
        <v>0</v>
      </c>
      <c r="L110">
        <f>IFERROR(IF(OR(INDEX(Mapping!$C:$C,MATCH($A110,Mapping!$A:$A,0))="",INDEX(JLRrates!$D:$D,MATCH(INDEX(Mapping!$C:$C,MATCH($A110,Mapping!$A:$A,0)),JLRrates!$B:$B,0))=""),0,INDEX(JLRrates!$D:$D,MATCH(INDEX(Mapping!$C:$C,MATCH($A110,Mapping!$A:$A,0)),JLRrates!$B:$B,0))),0)</f>
        <v>0</v>
      </c>
    </row>
    <row r="111">
      <c r="A111" t="str">
        <v>mat-pp-impact</v>
      </c>
      <c r="B111" t="str">
        <v>PP Impact Copolymer (PP-B)</v>
      </c>
      <c r="C111" t="str">
        <v>Thermoplastic</v>
      </c>
      <c r="D111">
        <f>IF($K111&gt;0,$K111,1.01)</f>
        <v>1.01</v>
      </c>
      <c r="E111">
        <f>IF($L111&gt;0,$L111,0.1)</f>
        <v>0.1</v>
      </c>
      <c r="F111">
        <v>900</v>
      </c>
      <c r="G111" t="str">
        <v>UK</v>
      </c>
      <c r="H111" t="str">
        <v>2026-07</v>
      </c>
      <c r="I111" t="str">
        <v>UK resin distributor Jun 2026. Bumpers, battery cases. coolFactor ~3.16 s/mm² Index-anchored 2026-07 (see RESIN PRICING BASIS).</v>
      </c>
      <c r="J111" t="str">
        <v>Medium</v>
      </c>
      <c r="K111">
        <f>IFERROR(IF(OR(INDEX(Mapping!$C:$C,MATCH($A111,Mapping!$A:$A,0))="",INDEX(JLRrates!$C:$C,MATCH(INDEX(Mapping!$C:$C,MATCH($A111,Mapping!$A:$A,0)),JLRrates!$B:$B,0))=""),0,INDEX(JLRrates!$C:$C,MATCH(INDEX(Mapping!$C:$C,MATCH($A111,Mapping!$A:$A,0)),JLRrates!$B:$B,0))),0)</f>
        <v>0</v>
      </c>
      <c r="L111">
        <f>IFERROR(IF(OR(INDEX(Mapping!$C:$C,MATCH($A111,Mapping!$A:$A,0))="",INDEX(JLRrates!$D:$D,MATCH(INDEX(Mapping!$C:$C,MATCH($A111,Mapping!$A:$A,0)),JLRrates!$B:$B,0))=""),0,INDEX(JLRrates!$D:$D,MATCH(INDEX(Mapping!$C:$C,MATCH($A111,Mapping!$A:$A,0)),JLRrates!$B:$B,0))),0)</f>
        <v>0</v>
      </c>
    </row>
    <row r="112">
      <c r="A112" t="str">
        <v>mat-pp-gf30</v>
      </c>
      <c r="B112" t="str">
        <v>PP GF30 (Short Glass)</v>
      </c>
      <c r="C112" t="str">
        <v>Thermoplastic</v>
      </c>
      <c r="D112">
        <f>IF($K112&gt;0,$K112,1.85)</f>
        <v>1.85</v>
      </c>
      <c r="E112">
        <f>IF($L112&gt;0,$L112,0.08)</f>
        <v>0.08</v>
      </c>
      <c r="F112">
        <v>1120</v>
      </c>
      <c r="G112" t="str">
        <v>UK</v>
      </c>
      <c r="H112" t="str">
        <v>2026-07</v>
      </c>
      <c r="I112" t="str">
        <v>UK resin distributor Jun 2026. 30% short-glass PP — stiff housings, fan shrouds, pump bodies, brackets. coolFactor ~3.0 s/mm² Index-anchored 2026-07 (see RESIN PRICING BASIS).</v>
      </c>
      <c r="J112" t="str">
        <v>Low</v>
      </c>
      <c r="K112">
        <f>IFERROR(IF(OR(INDEX(Mapping!$C:$C,MATCH($A112,Mapping!$A:$A,0))="",INDEX(JLRrates!$C:$C,MATCH(INDEX(Mapping!$C:$C,MATCH($A112,Mapping!$A:$A,0)),JLRrates!$B:$B,0))=""),0,INDEX(JLRrates!$C:$C,MATCH(INDEX(Mapping!$C:$C,MATCH($A112,Mapping!$A:$A,0)),JLRrates!$B:$B,0))),0)</f>
        <v>0</v>
      </c>
      <c r="L112">
        <f>IFERROR(IF(OR(INDEX(Mapping!$C:$C,MATCH($A112,Mapping!$A:$A,0))="",INDEX(JLRrates!$D:$D,MATCH(INDEX(Mapping!$C:$C,MATCH($A112,Mapping!$A:$A,0)),JLRrates!$B:$B,0))=""),0,INDEX(JLRrates!$D:$D,MATCH(INDEX(Mapping!$C:$C,MATCH($A112,Mapping!$A:$A,0)),JLRrates!$B:$B,0))),0)</f>
        <v>0</v>
      </c>
    </row>
    <row r="113">
      <c r="A113" t="str">
        <v>mat-pet-bg</v>
      </c>
      <c r="B113" t="str">
        <v>PET Bottle Grade (1101)</v>
      </c>
      <c r="C113" t="str">
        <v>Thermoplastic</v>
      </c>
      <c r="D113">
        <f>IF($K113&gt;0,$K113,1.21)</f>
        <v>1.21</v>
      </c>
      <c r="E113">
        <f>IF($L113&gt;0,$L113,0.08)</f>
        <v>0.08</v>
      </c>
      <c r="F113">
        <v>1380</v>
      </c>
      <c r="G113" t="str">
        <v>UK</v>
      </c>
      <c r="H113" t="str">
        <v>2026-07</v>
      </c>
      <c r="I113" t="str">
        <v>UK resin distributor Jun 2026. SBM beverage bottles. coolFactor ~3.0 s/mm² Index-anchored 2026-07 (see RESIN PRICING BASIS).</v>
      </c>
      <c r="J113" t="str">
        <v>Medium</v>
      </c>
      <c r="K113">
        <f>IFERROR(IF(OR(INDEX(Mapping!$C:$C,MATCH($A113,Mapping!$A:$A,0))="",INDEX(JLRrates!$C:$C,MATCH(INDEX(Mapping!$C:$C,MATCH($A113,Mapping!$A:$A,0)),JLRrates!$B:$B,0))=""),0,INDEX(JLRrates!$C:$C,MATCH(INDEX(Mapping!$C:$C,MATCH($A113,Mapping!$A:$A,0)),JLRrates!$B:$B,0))),0)</f>
        <v>0</v>
      </c>
      <c r="L113">
        <f>IFERROR(IF(OR(INDEX(Mapping!$C:$C,MATCH($A113,Mapping!$A:$A,0))="",INDEX(JLRrates!$D:$D,MATCH(INDEX(Mapping!$C:$C,MATCH($A113,Mapping!$A:$A,0)),JLRrates!$B:$B,0))=""),0,INDEX(JLRrates!$D:$D,MATCH(INDEX(Mapping!$C:$C,MATCH($A113,Mapping!$A:$A,0)),JLRrates!$B:$B,0))),0)</f>
        <v>0</v>
      </c>
    </row>
    <row r="114">
      <c r="A114" t="str">
        <v>mat-pet-gf30</v>
      </c>
      <c r="B114" t="str">
        <v>PET GF30 (Engineering)</v>
      </c>
      <c r="C114" t="str">
        <v>Thermoplastic</v>
      </c>
      <c r="D114">
        <f>IF($K114&gt;0,$K114,3.05)</f>
        <v>3.05</v>
      </c>
      <c r="E114">
        <f>IF($L114&gt;0,$L114,0.05)</f>
        <v>0.05</v>
      </c>
      <c r="F114">
        <v>1520</v>
      </c>
      <c r="G114" t="str">
        <v>UK</v>
      </c>
      <c r="H114" t="str">
        <v>2026-07</v>
      </c>
      <c r="I114" t="str">
        <v>UK resin distributor Jun 2026. Gears, precision parts. coolFactor ~2.5 s/mm² Index-anchored 2026-07 (see RESIN PRICING BASIS).</v>
      </c>
      <c r="J114" t="str">
        <v>Medium</v>
      </c>
      <c r="K114">
        <f>IFERROR(IF(OR(INDEX(Mapping!$C:$C,MATCH($A114,Mapping!$A:$A,0))="",INDEX(JLRrates!$C:$C,MATCH(INDEX(Mapping!$C:$C,MATCH($A114,Mapping!$A:$A,0)),JLRrates!$B:$B,0))=""),0,INDEX(JLRrates!$C:$C,MATCH(INDEX(Mapping!$C:$C,MATCH($A114,Mapping!$A:$A,0)),JLRrates!$B:$B,0))),0)</f>
        <v>0</v>
      </c>
      <c r="L114">
        <f>IFERROR(IF(OR(INDEX(Mapping!$C:$C,MATCH($A114,Mapping!$A:$A,0))="",INDEX(JLRrates!$D:$D,MATCH(INDEX(Mapping!$C:$C,MATCH($A114,Mapping!$A:$A,0)),JLRrates!$B:$B,0))=""),0,INDEX(JLRrates!$D:$D,MATCH(INDEX(Mapping!$C:$C,MATCH($A114,Mapping!$A:$A,0)),JLRrates!$B:$B,0))),0)</f>
        <v>0</v>
      </c>
    </row>
    <row r="115">
      <c r="A115" t="str">
        <v>mat-upvc</v>
      </c>
      <c r="B115" t="str">
        <v>Rigid PVC (uPVC pipe grade)</v>
      </c>
      <c r="C115" t="str">
        <v>Thermoplastic</v>
      </c>
      <c r="D115">
        <f>IF($K115&gt;0,$K115,0.83)</f>
        <v>0.83</v>
      </c>
      <c r="E115">
        <f>IF($L115&gt;0,$L115,0.05)</f>
        <v>0.05</v>
      </c>
      <c r="F115">
        <v>1400</v>
      </c>
      <c r="G115" t="str">
        <v>UK</v>
      </c>
      <c r="H115" t="str">
        <v>2026-07</v>
      </c>
      <c r="I115" t="str">
        <v>UK resin distributor Jun 2026. Pipes, window profiles. coolFactor ~2.5 s/mm² Index-anchored 2026-07 (see RESIN PRICING BASIS).</v>
      </c>
      <c r="J115" t="str">
        <v>Medium</v>
      </c>
      <c r="K115">
        <f>IFERROR(IF(OR(INDEX(Mapping!$C:$C,MATCH($A115,Mapping!$A:$A,0))="",INDEX(JLRrates!$C:$C,MATCH(INDEX(Mapping!$C:$C,MATCH($A115,Mapping!$A:$A,0)),JLRrates!$B:$B,0))=""),0,INDEX(JLRrates!$C:$C,MATCH(INDEX(Mapping!$C:$C,MATCH($A115,Mapping!$A:$A,0)),JLRrates!$B:$B,0))),0)</f>
        <v>0</v>
      </c>
      <c r="L115">
        <f>IFERROR(IF(OR(INDEX(Mapping!$C:$C,MATCH($A115,Mapping!$A:$A,0))="",INDEX(JLRrates!$D:$D,MATCH(INDEX(Mapping!$C:$C,MATCH($A115,Mapping!$A:$A,0)),JLRrates!$B:$B,0))=""),0,INDEX(JLRrates!$D:$D,MATCH(INDEX(Mapping!$C:$C,MATCH($A115,Mapping!$A:$A,0)),JLRrates!$B:$B,0))),0)</f>
        <v>0</v>
      </c>
    </row>
    <row r="116">
      <c r="A116" t="str">
        <v>mat-fpvc</v>
      </c>
      <c r="B116" t="str">
        <v>Flexible PVC (fPVC plasticised)</v>
      </c>
      <c r="C116" t="str">
        <v>Thermoplastic</v>
      </c>
      <c r="D116">
        <f>IF($K116&gt;0,$K116,1.16)</f>
        <v>1.16</v>
      </c>
      <c r="E116">
        <f>IF($L116&gt;0,$L116,0.05)</f>
        <v>0.05</v>
      </c>
      <c r="F116">
        <v>1250</v>
      </c>
      <c r="G116" t="str">
        <v>UK</v>
      </c>
      <c r="H116" t="str">
        <v>2026-07</v>
      </c>
      <c r="I116" t="str">
        <v>UK resin distributor Jun 2026. Cables, hoses, medical tubing. coolFactor ~3.0 s/mm² Index-anchored 2026-07 (see RESIN PRICING BASIS).</v>
      </c>
      <c r="J116" t="str">
        <v>Medium</v>
      </c>
      <c r="K116">
        <f>IFERROR(IF(OR(INDEX(Mapping!$C:$C,MATCH($A116,Mapping!$A:$A,0))="",INDEX(JLRrates!$C:$C,MATCH(INDEX(Mapping!$C:$C,MATCH($A116,Mapping!$A:$A,0)),JLRrates!$B:$B,0))=""),0,INDEX(JLRrates!$C:$C,MATCH(INDEX(Mapping!$C:$C,MATCH($A116,Mapping!$A:$A,0)),JLRrates!$B:$B,0))),0)</f>
        <v>0</v>
      </c>
      <c r="L116">
        <f>IFERROR(IF(OR(INDEX(Mapping!$C:$C,MATCH($A116,Mapping!$A:$A,0))="",INDEX(JLRrates!$D:$D,MATCH(INDEX(Mapping!$C:$C,MATCH($A116,Mapping!$A:$A,0)),JLRrates!$B:$B,0))=""),0,INDEX(JLRrates!$D:$D,MATCH(INDEX(Mapping!$C:$C,MATCH($A116,Mapping!$A:$A,0)),JLRrates!$B:$B,0))),0)</f>
        <v>0</v>
      </c>
    </row>
    <row r="117">
      <c r="A117" t="str">
        <v>mat-gpps</v>
      </c>
      <c r="B117" t="str">
        <v>GPPS (Crystal PS)</v>
      </c>
      <c r="C117" t="str">
        <v>Thermoplastic</v>
      </c>
      <c r="D117">
        <f>IF($K117&gt;0,$K117,1)</f>
        <v>1</v>
      </c>
      <c r="E117">
        <f>IF($L117&gt;0,$L117,0.08)</f>
        <v>0.08</v>
      </c>
      <c r="F117">
        <v>1050</v>
      </c>
      <c r="G117" t="str">
        <v>UK</v>
      </c>
      <c r="H117" t="str">
        <v>2026-07</v>
      </c>
      <c r="I117" t="str">
        <v>UK resin distributor Jun 2026. Clear, rigid, brittle. CD cases, cutlery. coolFactor ~2.0 s/mm² Index-anchored 2026-07 (see RESIN PRICING BASIS).</v>
      </c>
      <c r="J117" t="str">
        <v>Medium</v>
      </c>
      <c r="K117">
        <f>IFERROR(IF(OR(INDEX(Mapping!$C:$C,MATCH($A117,Mapping!$A:$A,0))="",INDEX(JLRrates!$C:$C,MATCH(INDEX(Mapping!$C:$C,MATCH($A117,Mapping!$A:$A,0)),JLRrates!$B:$B,0))=""),0,INDEX(JLRrates!$C:$C,MATCH(INDEX(Mapping!$C:$C,MATCH($A117,Mapping!$A:$A,0)),JLRrates!$B:$B,0))),0)</f>
        <v>0</v>
      </c>
      <c r="L117">
        <f>IFERROR(IF(OR(INDEX(Mapping!$C:$C,MATCH($A117,Mapping!$A:$A,0))="",INDEX(JLRrates!$D:$D,MATCH(INDEX(Mapping!$C:$C,MATCH($A117,Mapping!$A:$A,0)),JLRrates!$B:$B,0))=""),0,INDEX(JLRrates!$D:$D,MATCH(INDEX(Mapping!$C:$C,MATCH($A117,Mapping!$A:$A,0)),JLRrates!$B:$B,0))),0)</f>
        <v>0</v>
      </c>
    </row>
    <row r="118">
      <c r="A118" t="str">
        <v>mat-hips</v>
      </c>
      <c r="B118" t="str">
        <v>HIPS (High Impact PS)</v>
      </c>
      <c r="C118" t="str">
        <v>Thermoplastic</v>
      </c>
      <c r="D118">
        <f>IF($K118&gt;0,$K118,0.97)</f>
        <v>0.97</v>
      </c>
      <c r="E118">
        <f>IF($L118&gt;0,$L118,0.08)</f>
        <v>0.08</v>
      </c>
      <c r="F118">
        <v>1040</v>
      </c>
      <c r="G118" t="str">
        <v>UK</v>
      </c>
      <c r="H118" t="str">
        <v>2026-07</v>
      </c>
      <c r="I118" t="str">
        <v>UK resin distributor Jun 2026. TV housings, fridge liners, thermoforming sheet. coolFactor ~2.0 s/mm² Index-anchored 2026-07 (see RESIN PRICING BASIS).</v>
      </c>
      <c r="J118" t="str">
        <v>Medium</v>
      </c>
      <c r="K118">
        <f>IFERROR(IF(OR(INDEX(Mapping!$C:$C,MATCH($A118,Mapping!$A:$A,0))="",INDEX(JLRrates!$C:$C,MATCH(INDEX(Mapping!$C:$C,MATCH($A118,Mapping!$A:$A,0)),JLRrates!$B:$B,0))=""),0,INDEX(JLRrates!$C:$C,MATCH(INDEX(Mapping!$C:$C,MATCH($A118,Mapping!$A:$A,0)),JLRrates!$B:$B,0))),0)</f>
        <v>0</v>
      </c>
      <c r="L118">
        <f>IFERROR(IF(OR(INDEX(Mapping!$C:$C,MATCH($A118,Mapping!$A:$A,0))="",INDEX(JLRrates!$D:$D,MATCH(INDEX(Mapping!$C:$C,MATCH($A118,Mapping!$A:$A,0)),JLRrates!$B:$B,0))=""),0,INDEX(JLRrates!$D:$D,MATCH(INDEX(Mapping!$C:$C,MATCH($A118,Mapping!$A:$A,0)),JLRrates!$B:$B,0))),0)</f>
        <v>0</v>
      </c>
    </row>
    <row r="119">
      <c r="A119" t="str">
        <v>mat-pc-abs</v>
      </c>
      <c r="B119" t="str">
        <v>PC/ABS Blend (automotive grade)</v>
      </c>
      <c r="C119" t="str">
        <v>Thermoplastic</v>
      </c>
      <c r="D119">
        <f>IF($K119&gt;0,$K119,1.95)</f>
        <v>1.95</v>
      </c>
      <c r="E119">
        <f>IF($L119&gt;0,$L119,0.08)</f>
        <v>0.08</v>
      </c>
      <c r="F119">
        <v>1150</v>
      </c>
      <c r="G119" t="str">
        <v>UK</v>
      </c>
      <c r="H119" t="str">
        <v>2026-07</v>
      </c>
      <c r="I119" t="str">
        <v>UK resin distributor Jun 2026. Automotive interior, electronics housings. coolFactor ~2.2 s/mm² Index-anchored 2026-07 (see RESIN PRICING BASIS).</v>
      </c>
      <c r="J119" t="str">
        <v>Medium</v>
      </c>
      <c r="K119">
        <f>IFERROR(IF(OR(INDEX(Mapping!$C:$C,MATCH($A119,Mapping!$A:$A,0))="",INDEX(JLRrates!$C:$C,MATCH(INDEX(Mapping!$C:$C,MATCH($A119,Mapping!$A:$A,0)),JLRrates!$B:$B,0))=""),0,INDEX(JLRrates!$C:$C,MATCH(INDEX(Mapping!$C:$C,MATCH($A119,Mapping!$A:$A,0)),JLRrates!$B:$B,0))),0)</f>
        <v>0</v>
      </c>
      <c r="L119">
        <f>IFERROR(IF(OR(INDEX(Mapping!$C:$C,MATCH($A119,Mapping!$A:$A,0))="",INDEX(JLRrates!$D:$D,MATCH(INDEX(Mapping!$C:$C,MATCH($A119,Mapping!$A:$A,0)),JLRrates!$B:$B,0))=""),0,INDEX(JLRrates!$D:$D,MATCH(INDEX(Mapping!$C:$C,MATCH($A119,Mapping!$A:$A,0)),JLRrates!$B:$B,0))),0)</f>
        <v>0</v>
      </c>
    </row>
    <row r="120">
      <c r="A120" t="str">
        <v>mat-pa6</v>
      </c>
      <c r="B120" t="str">
        <v>PA6 Unfilled</v>
      </c>
      <c r="C120" t="str">
        <v>Thermoplastic</v>
      </c>
      <c r="D120">
        <f>IF($K120&gt;0,$K120,1.68)</f>
        <v>1.68</v>
      </c>
      <c r="E120">
        <f>IF($L120&gt;0,$L120,0.06)</f>
        <v>0.06</v>
      </c>
      <c r="F120">
        <v>1130</v>
      </c>
      <c r="G120" t="str">
        <v>UK</v>
      </c>
      <c r="H120" t="str">
        <v>2026-07</v>
      </c>
      <c r="I120" t="str">
        <v>UK resin distributor Jun 2026. Gears, under-hood. Moisture sensitive — dry before moulding. coolFactor ~2.0 s/mm² Index-anchored 2026-07 (see RESIN PRICING BASIS).</v>
      </c>
      <c r="J120" t="str">
        <v>Medium</v>
      </c>
      <c r="K120">
        <f>IFERROR(IF(OR(INDEX(Mapping!$C:$C,MATCH($A120,Mapping!$A:$A,0))="",INDEX(JLRrates!$C:$C,MATCH(INDEX(Mapping!$C:$C,MATCH($A120,Mapping!$A:$A,0)),JLRrates!$B:$B,0))=""),0,INDEX(JLRrates!$C:$C,MATCH(INDEX(Mapping!$C:$C,MATCH($A120,Mapping!$A:$A,0)),JLRrates!$B:$B,0))),0)</f>
        <v>0</v>
      </c>
      <c r="L120">
        <f>IFERROR(IF(OR(INDEX(Mapping!$C:$C,MATCH($A120,Mapping!$A:$A,0))="",INDEX(JLRrates!$D:$D,MATCH(INDEX(Mapping!$C:$C,MATCH($A120,Mapping!$A:$A,0)),JLRrates!$B:$B,0))=""),0,INDEX(JLRrates!$D:$D,MATCH(INDEX(Mapping!$C:$C,MATCH($A120,Mapping!$A:$A,0)),JLRrates!$B:$B,0))),0)</f>
        <v>0</v>
      </c>
    </row>
    <row r="121">
      <c r="A121" t="str">
        <v>mat-pa6-gf30</v>
      </c>
      <c r="B121" t="str">
        <v>PA6 GF30</v>
      </c>
      <c r="C121" t="str">
        <v>Thermoplastic</v>
      </c>
      <c r="D121">
        <f>IF($K121&gt;0,$K121,2.52)</f>
        <v>2.52</v>
      </c>
      <c r="E121">
        <f>IF($L121&gt;0,$L121,0.05)</f>
        <v>0.05</v>
      </c>
      <c r="F121">
        <v>1280</v>
      </c>
      <c r="G121" t="str">
        <v>UK</v>
      </c>
      <c r="H121" t="str">
        <v>2026-07</v>
      </c>
      <c r="I121" t="str">
        <v>UK resin distributor Jun 2026. Structural PA6 with glass fill. coolFactor ~2.0 s/mm² Index-anchored 2026-07 (see RESIN PRICING BASIS).</v>
      </c>
      <c r="J121" t="str">
        <v>Medium</v>
      </c>
      <c r="K121">
        <f>IFERROR(IF(OR(INDEX(Mapping!$C:$C,MATCH($A121,Mapping!$A:$A,0))="",INDEX(JLRrates!$C:$C,MATCH(INDEX(Mapping!$C:$C,MATCH($A121,Mapping!$A:$A,0)),JLRrates!$B:$B,0))=""),0,INDEX(JLRrates!$C:$C,MATCH(INDEX(Mapping!$C:$C,MATCH($A121,Mapping!$A:$A,0)),JLRrates!$B:$B,0))),0)</f>
        <v>0</v>
      </c>
      <c r="L121">
        <f>IFERROR(IF(OR(INDEX(Mapping!$C:$C,MATCH($A121,Mapping!$A:$A,0))="",INDEX(JLRrates!$D:$D,MATCH(INDEX(Mapping!$C:$C,MATCH($A121,Mapping!$A:$A,0)),JLRrates!$B:$B,0))=""),0,INDEX(JLRrates!$D:$D,MATCH(INDEX(Mapping!$C:$C,MATCH($A121,Mapping!$A:$A,0)),JLRrates!$B:$B,0))),0)</f>
        <v>0</v>
      </c>
    </row>
    <row r="122">
      <c r="A122" t="str">
        <v>mat-pa66</v>
      </c>
      <c r="B122" t="str">
        <v>PA66 Unfilled</v>
      </c>
      <c r="C122" t="str">
        <v>Thermoplastic</v>
      </c>
      <c r="D122">
        <f>IF($K122&gt;0,$K122,1.89)</f>
        <v>1.89</v>
      </c>
      <c r="E122">
        <f>IF($L122&gt;0,$L122,0.06)</f>
        <v>0.06</v>
      </c>
      <c r="F122">
        <v>1140</v>
      </c>
      <c r="G122" t="str">
        <v>UK</v>
      </c>
      <c r="H122" t="str">
        <v>2026-07</v>
      </c>
      <c r="I122" t="str">
        <v>UK resin distributor Jun 2026. Higher temp than PA6. Connectors, structural. coolFactor ~2.0 s/mm² Index-anchored 2026-07 (see RESIN PRICING BASIS).</v>
      </c>
      <c r="J122" t="str">
        <v>Medium</v>
      </c>
      <c r="K122">
        <f>IFERROR(IF(OR(INDEX(Mapping!$C:$C,MATCH($A122,Mapping!$A:$A,0))="",INDEX(JLRrates!$C:$C,MATCH(INDEX(Mapping!$C:$C,MATCH($A122,Mapping!$A:$A,0)),JLRrates!$B:$B,0))=""),0,INDEX(JLRrates!$C:$C,MATCH(INDEX(Mapping!$C:$C,MATCH($A122,Mapping!$A:$A,0)),JLRrates!$B:$B,0))),0)</f>
        <v>0</v>
      </c>
      <c r="L122">
        <f>IFERROR(IF(OR(INDEX(Mapping!$C:$C,MATCH($A122,Mapping!$A:$A,0))="",INDEX(JLRrates!$D:$D,MATCH(INDEX(Mapping!$C:$C,MATCH($A122,Mapping!$A:$A,0)),JLRrates!$B:$B,0))=""),0,INDEX(JLRrates!$D:$D,MATCH(INDEX(Mapping!$C:$C,MATCH($A122,Mapping!$A:$A,0)),JLRrates!$B:$B,0))),0)</f>
        <v>0</v>
      </c>
    </row>
    <row r="123">
      <c r="A123" t="str">
        <v>mat-peek</v>
      </c>
      <c r="B123" t="str">
        <v>PEEK Unfilled</v>
      </c>
      <c r="C123" t="str">
        <v>High-Performance Thermoplastic</v>
      </c>
      <c r="D123">
        <f>IF($K123&gt;0,$K123,76)</f>
        <v>76</v>
      </c>
      <c r="E123">
        <f>IF($L123&gt;0,$L123,5)</f>
        <v>5</v>
      </c>
      <c r="F123">
        <v>1300</v>
      </c>
      <c r="G123" t="str">
        <v>UK</v>
      </c>
      <c r="H123" t="str">
        <v>2026-07</v>
      </c>
      <c r="I123" t="str">
        <v>UK speciality resin supplier Jun 2026. Aerospace/medical/oil&amp;gas. High temp (Tg~143°C, use to 250°C). coolFactor ~2.5 s/mm² Index-anchored 2026-07 (see RESIN PRICING BASIS).</v>
      </c>
      <c r="J123" t="str">
        <v>Low</v>
      </c>
      <c r="K123">
        <f>IFERROR(IF(OR(INDEX(Mapping!$C:$C,MATCH($A123,Mapping!$A:$A,0))="",INDEX(JLRrates!$C:$C,MATCH(INDEX(Mapping!$C:$C,MATCH($A123,Mapping!$A:$A,0)),JLRrates!$B:$B,0))=""),0,INDEX(JLRrates!$C:$C,MATCH(INDEX(Mapping!$C:$C,MATCH($A123,Mapping!$A:$A,0)),JLRrates!$B:$B,0))),0)</f>
        <v>0</v>
      </c>
      <c r="L123">
        <f>IFERROR(IF(OR(INDEX(Mapping!$C:$C,MATCH($A123,Mapping!$A:$A,0))="",INDEX(JLRrates!$D:$D,MATCH(INDEX(Mapping!$C:$C,MATCH($A123,Mapping!$A:$A,0)),JLRrates!$B:$B,0))=""),0,INDEX(JLRrates!$D:$D,MATCH(INDEX(Mapping!$C:$C,MATCH($A123,Mapping!$A:$A,0)),JLRrates!$B:$B,0))),0)</f>
        <v>0</v>
      </c>
    </row>
    <row r="124">
      <c r="A124" t="str">
        <v>mat-peek-gf30</v>
      </c>
      <c r="B124" t="str">
        <v>PEEK GF30</v>
      </c>
      <c r="C124" t="str">
        <v>High-Performance Thermoplastic</v>
      </c>
      <c r="D124">
        <f>IF($K124&gt;0,$K124,93)</f>
        <v>93</v>
      </c>
      <c r="E124">
        <f>IF($L124&gt;0,$L124,5)</f>
        <v>5</v>
      </c>
      <c r="F124">
        <v>1430</v>
      </c>
      <c r="G124" t="str">
        <v>UK</v>
      </c>
      <c r="H124" t="str">
        <v>2026-07</v>
      </c>
      <c r="I124" t="str">
        <v>UK speciality resin supplier Jun 2026. High-stiffness structural PEEK. Index-anchored 2026-07 (see RESIN PRICING BASIS).</v>
      </c>
      <c r="J124" t="str">
        <v>Low</v>
      </c>
      <c r="K124">
        <f>IFERROR(IF(OR(INDEX(Mapping!$C:$C,MATCH($A124,Mapping!$A:$A,0))="",INDEX(JLRrates!$C:$C,MATCH(INDEX(Mapping!$C:$C,MATCH($A124,Mapping!$A:$A,0)),JLRrates!$B:$B,0))=""),0,INDEX(JLRrates!$C:$C,MATCH(INDEX(Mapping!$C:$C,MATCH($A124,Mapping!$A:$A,0)),JLRrates!$B:$B,0))),0)</f>
        <v>0</v>
      </c>
      <c r="L124">
        <f>IFERROR(IF(OR(INDEX(Mapping!$C:$C,MATCH($A124,Mapping!$A:$A,0))="",INDEX(JLRrates!$D:$D,MATCH(INDEX(Mapping!$C:$C,MATCH($A124,Mapping!$A:$A,0)),JLRrates!$B:$B,0))=""),0,INDEX(JLRrates!$D:$D,MATCH(INDEX(Mapping!$C:$C,MATCH($A124,Mapping!$A:$A,0)),JLRrates!$B:$B,0))),0)</f>
        <v>0</v>
      </c>
    </row>
    <row r="125">
      <c r="A125" t="str">
        <v>mat-asa</v>
      </c>
      <c r="B125" t="str">
        <v>ASA (Weatherable)</v>
      </c>
      <c r="C125" t="str">
        <v>Thermoplastic</v>
      </c>
      <c r="D125">
        <f>IF($K125&gt;0,$K125,2.3)</f>
        <v>2.3</v>
      </c>
      <c r="E125">
        <f>IF($L125&gt;0,$L125,0.1)</f>
        <v>0.1</v>
      </c>
      <c r="F125">
        <v>1070</v>
      </c>
      <c r="G125" t="str">
        <v>UK</v>
      </c>
      <c r="H125" t="str">
        <v>2026-07</v>
      </c>
      <c r="I125" t="str">
        <v>UK resin distributor. Index-anchored 2026-07 (see RESIN PRICING BASIS). UV-stable styrenic — exterior trim, grilles, mirror caps, roof rails. coolFactor ~2.0 s/mm².</v>
      </c>
      <c r="J125" t="str">
        <v>Low</v>
      </c>
      <c r="K125">
        <f>IFERROR(IF(OR(INDEX(Mapping!$C:$C,MATCH($A125,Mapping!$A:$A,0))="",INDEX(JLRrates!$C:$C,MATCH(INDEX(Mapping!$C:$C,MATCH($A125,Mapping!$A:$A,0)),JLRrates!$B:$B,0))=""),0,INDEX(JLRrates!$C:$C,MATCH(INDEX(Mapping!$C:$C,MATCH($A125,Mapping!$A:$A,0)),JLRrates!$B:$B,0))),0)</f>
        <v>0</v>
      </c>
      <c r="L125">
        <f>IFERROR(IF(OR(INDEX(Mapping!$C:$C,MATCH($A125,Mapping!$A:$A,0))="",INDEX(JLRrates!$D:$D,MATCH(INDEX(Mapping!$C:$C,MATCH($A125,Mapping!$A:$A,0)),JLRrates!$B:$B,0))=""),0,INDEX(JLRrates!$D:$D,MATCH(INDEX(Mapping!$C:$C,MATCH($A125,Mapping!$A:$A,0)),JLRrates!$B:$B,0))),0)</f>
        <v>0</v>
      </c>
    </row>
    <row r="126">
      <c r="A126" t="str">
        <v>mat-san</v>
      </c>
      <c r="B126" t="str">
        <v>SAN (Styrene-Acrylonitrile)</v>
      </c>
      <c r="C126" t="str">
        <v>Thermoplastic</v>
      </c>
      <c r="D126">
        <f>IF($K126&gt;0,$K126,1.75)</f>
        <v>1.75</v>
      </c>
      <c r="E126">
        <f>IF($L126&gt;0,$L126,0.08)</f>
        <v>0.08</v>
      </c>
      <c r="F126">
        <v>1080</v>
      </c>
      <c r="G126" t="str">
        <v>UK</v>
      </c>
      <c r="H126" t="str">
        <v>2026-07</v>
      </c>
      <c r="I126" t="str">
        <v>UK resin distributor. Index-anchored 2026-07. Rigid, clear, chemical-resistant — housewares, cosmetics, lenses. coolFactor ~2.0 s/mm².</v>
      </c>
      <c r="J126" t="str">
        <v>Low</v>
      </c>
      <c r="K126">
        <f>IFERROR(IF(OR(INDEX(Mapping!$C:$C,MATCH($A126,Mapping!$A:$A,0))="",INDEX(JLRrates!$C:$C,MATCH(INDEX(Mapping!$C:$C,MATCH($A126,Mapping!$A:$A,0)),JLRrates!$B:$B,0))=""),0,INDEX(JLRrates!$C:$C,MATCH(INDEX(Mapping!$C:$C,MATCH($A126,Mapping!$A:$A,0)),JLRrates!$B:$B,0))),0)</f>
        <v>0</v>
      </c>
      <c r="L126">
        <f>IFERROR(IF(OR(INDEX(Mapping!$C:$C,MATCH($A126,Mapping!$A:$A,0))="",INDEX(JLRrates!$D:$D,MATCH(INDEX(Mapping!$C:$C,MATCH($A126,Mapping!$A:$A,0)),JLRrates!$B:$B,0))=""),0,INDEX(JLRrates!$D:$D,MATCH(INDEX(Mapping!$C:$C,MATCH($A126,Mapping!$A:$A,0)),JLRrates!$B:$B,0))),0)</f>
        <v>0</v>
      </c>
    </row>
    <row r="127">
      <c r="A127" t="str">
        <v>mat-pp-t20</v>
      </c>
      <c r="B127" t="str">
        <v>PP-T20 (20% Talc-filled)</v>
      </c>
      <c r="C127" t="str">
        <v>Thermoplastic</v>
      </c>
      <c r="D127">
        <f>IF($K127&gt;0,$K127,1.25)</f>
        <v>1.25</v>
      </c>
      <c r="E127">
        <f>IF($L127&gt;0,$L127,0.1)</f>
        <v>0.1</v>
      </c>
      <c r="F127">
        <v>1050</v>
      </c>
      <c r="G127" t="str">
        <v>UK</v>
      </c>
      <c r="H127" t="str">
        <v>2026-07</v>
      </c>
      <c r="I127" t="str">
        <v>UK resin distributor. Index-anchored 2026-07. Stiffened PP — instrument-panel carriers, interior trim, HVAC. coolFactor ~3.0 s/mm².</v>
      </c>
      <c r="J127" t="str">
        <v>Low</v>
      </c>
      <c r="K127">
        <f>IFERROR(IF(OR(INDEX(Mapping!$C:$C,MATCH($A127,Mapping!$A:$A,0))="",INDEX(JLRrates!$C:$C,MATCH(INDEX(Mapping!$C:$C,MATCH($A127,Mapping!$A:$A,0)),JLRrates!$B:$B,0))=""),0,INDEX(JLRrates!$C:$C,MATCH(INDEX(Mapping!$C:$C,MATCH($A127,Mapping!$A:$A,0)),JLRrates!$B:$B,0))),0)</f>
        <v>0</v>
      </c>
      <c r="L127">
        <f>IFERROR(IF(OR(INDEX(Mapping!$C:$C,MATCH($A127,Mapping!$A:$A,0))="",INDEX(JLRrates!$D:$D,MATCH(INDEX(Mapping!$C:$C,MATCH($A127,Mapping!$A:$A,0)),JLRrates!$B:$B,0))=""),0,INDEX(JLRrates!$D:$D,MATCH(INDEX(Mapping!$C:$C,MATCH($A127,Mapping!$A:$A,0)),JLRrates!$B:$B,0))),0)</f>
        <v>0</v>
      </c>
    </row>
    <row r="128">
      <c r="A128" t="str">
        <v>mat-pp-t30</v>
      </c>
      <c r="B128" t="str">
        <v>PP-T30 (30% Mineral/Talc-filled)</v>
      </c>
      <c r="C128" t="str">
        <v>Thermoplastic</v>
      </c>
      <c r="D128">
        <f>IF($K128&gt;0,$K128,1.35)</f>
        <v>1.35</v>
      </c>
      <c r="E128">
        <f>IF($L128&gt;0,$L128,0.1)</f>
        <v>0.1</v>
      </c>
      <c r="F128">
        <v>1130</v>
      </c>
      <c r="G128" t="str">
        <v>UK</v>
      </c>
      <c r="H128" t="str">
        <v>2026-07</v>
      </c>
      <c r="I128" t="str">
        <v>UK resin distributor. Index-anchored 2026-07. High-stiffness PP — bumper carriers, door panels, under-body shields. coolFactor ~3.0 s/mm².</v>
      </c>
      <c r="J128" t="str">
        <v>Low</v>
      </c>
      <c r="K128">
        <f>IFERROR(IF(OR(INDEX(Mapping!$C:$C,MATCH($A128,Mapping!$A:$A,0))="",INDEX(JLRrates!$C:$C,MATCH(INDEX(Mapping!$C:$C,MATCH($A128,Mapping!$A:$A,0)),JLRrates!$B:$B,0))=""),0,INDEX(JLRrates!$C:$C,MATCH(INDEX(Mapping!$C:$C,MATCH($A128,Mapping!$A:$A,0)),JLRrates!$B:$B,0))),0)</f>
        <v>0</v>
      </c>
      <c r="L128">
        <f>IFERROR(IF(OR(INDEX(Mapping!$C:$C,MATCH($A128,Mapping!$A:$A,0))="",INDEX(JLRrates!$D:$D,MATCH(INDEX(Mapping!$C:$C,MATCH($A128,Mapping!$A:$A,0)),JLRrates!$B:$B,0))=""),0,INDEX(JLRrates!$D:$D,MATCH(INDEX(Mapping!$C:$C,MATCH($A128,Mapping!$A:$A,0)),JLRrates!$B:$B,0))),0)</f>
        <v>0</v>
      </c>
    </row>
    <row r="129">
      <c r="A129" t="str">
        <v>mat-pp-lgf30</v>
      </c>
      <c r="B129" t="str">
        <v>PP-LGF30 (Long-Glass PP)</v>
      </c>
      <c r="C129" t="str">
        <v>Thermoplastic</v>
      </c>
      <c r="D129">
        <f>IF($K129&gt;0,$K129,2.6)</f>
        <v>2.6</v>
      </c>
      <c r="E129">
        <f>IF($L129&gt;0,$L129,0.08)</f>
        <v>0.08</v>
      </c>
      <c r="F129">
        <v>1120</v>
      </c>
      <c r="G129" t="str">
        <v>UK</v>
      </c>
      <c r="H129" t="str">
        <v>2026-07</v>
      </c>
      <c r="I129" t="str">
        <v>UK resin distributor. Index-anchored 2026-07. Long-glass-fibre PP — structural front-end carriers, door modules, seat structures (metal replacement). coolFactor ~3.0 s/mm².</v>
      </c>
      <c r="J129" t="str">
        <v>Low</v>
      </c>
      <c r="K129">
        <f>IFERROR(IF(OR(INDEX(Mapping!$C:$C,MATCH($A129,Mapping!$A:$A,0))="",INDEX(JLRrates!$C:$C,MATCH(INDEX(Mapping!$C:$C,MATCH($A129,Mapping!$A:$A,0)),JLRrates!$B:$B,0))=""),0,INDEX(JLRrates!$C:$C,MATCH(INDEX(Mapping!$C:$C,MATCH($A129,Mapping!$A:$A,0)),JLRrates!$B:$B,0))),0)</f>
        <v>0</v>
      </c>
      <c r="L129">
        <f>IFERROR(IF(OR(INDEX(Mapping!$C:$C,MATCH($A129,Mapping!$A:$A,0))="",INDEX(JLRrates!$D:$D,MATCH(INDEX(Mapping!$C:$C,MATCH($A129,Mapping!$A:$A,0)),JLRrates!$B:$B,0))=""),0,INDEX(JLRrates!$D:$D,MATCH(INDEX(Mapping!$C:$C,MATCH($A129,Mapping!$A:$A,0)),JLRrates!$B:$B,0))),0)</f>
        <v>0</v>
      </c>
    </row>
    <row r="130">
      <c r="A130" t="str">
        <v>mat-tpo</v>
      </c>
      <c r="B130" t="str">
        <v>TPO (Thermoplastic Olefin)</v>
      </c>
      <c r="C130" t="str">
        <v>Thermoplastic</v>
      </c>
      <c r="D130">
        <f>IF($K130&gt;0,$K130,1.85)</f>
        <v>1.85</v>
      </c>
      <c r="E130">
        <f>IF($L130&gt;0,$L130,0.1)</f>
        <v>0.1</v>
      </c>
      <c r="F130">
        <v>900</v>
      </c>
      <c r="G130" t="str">
        <v>UK</v>
      </c>
      <c r="H130" t="str">
        <v>2026-07</v>
      </c>
      <c r="I130" t="str">
        <v>UK resin distributor. Index-anchored 2026-07. Soft-touch olefinic — bumper fascia, cladding, skin/airbag covers. coolFactor ~3.2 s/mm².</v>
      </c>
      <c r="J130" t="str">
        <v>Low</v>
      </c>
      <c r="K130">
        <f>IFERROR(IF(OR(INDEX(Mapping!$C:$C,MATCH($A130,Mapping!$A:$A,0))="",INDEX(JLRrates!$C:$C,MATCH(INDEX(Mapping!$C:$C,MATCH($A130,Mapping!$A:$A,0)),JLRrates!$B:$B,0))=""),0,INDEX(JLRrates!$C:$C,MATCH(INDEX(Mapping!$C:$C,MATCH($A130,Mapping!$A:$A,0)),JLRrates!$B:$B,0))),0)</f>
        <v>0</v>
      </c>
      <c r="L130">
        <f>IFERROR(IF(OR(INDEX(Mapping!$C:$C,MATCH($A130,Mapping!$A:$A,0))="",INDEX(JLRrates!$D:$D,MATCH(INDEX(Mapping!$C:$C,MATCH($A130,Mapping!$A:$A,0)),JLRrates!$B:$B,0))=""),0,INDEX(JLRrates!$D:$D,MATCH(INDEX(Mapping!$C:$C,MATCH($A130,Mapping!$A:$A,0)),JLRrates!$B:$B,0))),0)</f>
        <v>0</v>
      </c>
    </row>
    <row r="131">
      <c r="A131" t="str">
        <v>mat-tpv</v>
      </c>
      <c r="B131" t="str">
        <v>TPV (Santoprene-type)</v>
      </c>
      <c r="C131" t="str">
        <v>Thermoplastic Elastomer</v>
      </c>
      <c r="D131">
        <f>IF($K131&gt;0,$K131,3.2)</f>
        <v>3.2</v>
      </c>
      <c r="E131">
        <f>IF($L131&gt;0,$L131,0.05)</f>
        <v>0.05</v>
      </c>
      <c r="F131">
        <v>970</v>
      </c>
      <c r="G131" t="str">
        <v>UK</v>
      </c>
      <c r="H131" t="str">
        <v>2026-07</v>
      </c>
      <c r="I131" t="str">
        <v>UK resin distributor. Index-anchored 2026-07. Vulcanised TPE — weatherseals, boots, glass encapsulation, grommets. coolFactor ~4.0 s/mm².</v>
      </c>
      <c r="J131" t="str">
        <v>Low</v>
      </c>
      <c r="K131">
        <f>IFERROR(IF(OR(INDEX(Mapping!$C:$C,MATCH($A131,Mapping!$A:$A,0))="",INDEX(JLRrates!$C:$C,MATCH(INDEX(Mapping!$C:$C,MATCH($A131,Mapping!$A:$A,0)),JLRrates!$B:$B,0))=""),0,INDEX(JLRrates!$C:$C,MATCH(INDEX(Mapping!$C:$C,MATCH($A131,Mapping!$A:$A,0)),JLRrates!$B:$B,0))),0)</f>
        <v>0</v>
      </c>
      <c r="L131">
        <f>IFERROR(IF(OR(INDEX(Mapping!$C:$C,MATCH($A131,Mapping!$A:$A,0))="",INDEX(JLRrates!$D:$D,MATCH(INDEX(Mapping!$C:$C,MATCH($A131,Mapping!$A:$A,0)),JLRrates!$B:$B,0))=""),0,INDEX(JLRrates!$D:$D,MATCH(INDEX(Mapping!$C:$C,MATCH($A131,Mapping!$A:$A,0)),JLRrates!$B:$B,0))),0)</f>
        <v>0</v>
      </c>
    </row>
    <row r="132">
      <c r="A132" t="str">
        <v>mat-pmma</v>
      </c>
      <c r="B132" t="str">
        <v>PMMA (Acrylic)</v>
      </c>
      <c r="C132" t="str">
        <v>Thermoplastic</v>
      </c>
      <c r="D132">
        <f>IF($K132&gt;0,$K132,2.4)</f>
        <v>2.4</v>
      </c>
      <c r="E132">
        <f>IF($L132&gt;0,$L132,0.08)</f>
        <v>0.08</v>
      </c>
      <c r="F132">
        <v>1190</v>
      </c>
      <c r="G132" t="str">
        <v>UK</v>
      </c>
      <c r="H132" t="str">
        <v>2026-07</v>
      </c>
      <c r="I132" t="str">
        <v>UK resin distributor. Index-anchored 2026-07. Optical-clear acrylic — lenses, light guides, tail-lamp, badges. coolFactor ~2.5 s/mm².</v>
      </c>
      <c r="J132" t="str">
        <v>Low</v>
      </c>
      <c r="K132">
        <f>IFERROR(IF(OR(INDEX(Mapping!$C:$C,MATCH($A132,Mapping!$A:$A,0))="",INDEX(JLRrates!$C:$C,MATCH(INDEX(Mapping!$C:$C,MATCH($A132,Mapping!$A:$A,0)),JLRrates!$B:$B,0))=""),0,INDEX(JLRrates!$C:$C,MATCH(INDEX(Mapping!$C:$C,MATCH($A132,Mapping!$A:$A,0)),JLRrates!$B:$B,0))),0)</f>
        <v>0</v>
      </c>
      <c r="L132">
        <f>IFERROR(IF(OR(INDEX(Mapping!$C:$C,MATCH($A132,Mapping!$A:$A,0))="",INDEX(JLRrates!$D:$D,MATCH(INDEX(Mapping!$C:$C,MATCH($A132,Mapping!$A:$A,0)),JLRrates!$B:$B,0))=""),0,INDEX(JLRrates!$D:$D,MATCH(INDEX(Mapping!$C:$C,MATCH($A132,Mapping!$A:$A,0)),JLRrates!$B:$B,0))),0)</f>
        <v>0</v>
      </c>
    </row>
    <row r="133">
      <c r="A133" t="str">
        <v>mat-pps-gf40</v>
      </c>
      <c r="B133" t="str">
        <v>PPS GF40</v>
      </c>
      <c r="C133" t="str">
        <v>High-Performance Thermoplastic</v>
      </c>
      <c r="D133">
        <f>IF($K133&gt;0,$K133,5.5)</f>
        <v>5.5</v>
      </c>
      <c r="E133">
        <f>IF($L133&gt;0,$L133,0.2)</f>
        <v>0.2</v>
      </c>
      <c r="F133">
        <v>1650</v>
      </c>
      <c r="G133" t="str">
        <v>UK</v>
      </c>
      <c r="H133" t="str">
        <v>2026-07</v>
      </c>
      <c r="I133" t="str">
        <v>UK speciality resin supplier. Index-anchored 2026-07. Polyphenylene-sulfide — under-hood, e-motor components, sensors, pumps, EV. Continuous use ~200°C. coolFactor ~2.5 s/mm².</v>
      </c>
      <c r="J133" t="str">
        <v>Low</v>
      </c>
      <c r="K133">
        <f>IFERROR(IF(OR(INDEX(Mapping!$C:$C,MATCH($A133,Mapping!$A:$A,0))="",INDEX(JLRrates!$C:$C,MATCH(INDEX(Mapping!$C:$C,MATCH($A133,Mapping!$A:$A,0)),JLRrates!$B:$B,0))=""),0,INDEX(JLRrates!$C:$C,MATCH(INDEX(Mapping!$C:$C,MATCH($A133,Mapping!$A:$A,0)),JLRrates!$B:$B,0))),0)</f>
        <v>0</v>
      </c>
      <c r="L133">
        <f>IFERROR(IF(OR(INDEX(Mapping!$C:$C,MATCH($A133,Mapping!$A:$A,0))="",INDEX(JLRrates!$D:$D,MATCH(INDEX(Mapping!$C:$C,MATCH($A133,Mapping!$A:$A,0)),JLRrates!$B:$B,0))=""),0,INDEX(JLRrates!$D:$D,MATCH(INDEX(Mapping!$C:$C,MATCH($A133,Mapping!$A:$A,0)),JLRrates!$B:$B,0))),0)</f>
        <v>0</v>
      </c>
    </row>
    <row r="134">
      <c r="A134" t="str">
        <v>mat-ppa-gf35</v>
      </c>
      <c r="B134" t="str">
        <v>PPA GF35 (High-Temp Polyamide)</v>
      </c>
      <c r="C134" t="str">
        <v>High-Performance Thermoplastic</v>
      </c>
      <c r="D134">
        <f>IF($K134&gt;0,$K134,6.8)</f>
        <v>6.8</v>
      </c>
      <c r="E134">
        <f>IF($L134&gt;0,$L134,0.15)</f>
        <v>0.15</v>
      </c>
      <c r="F134">
        <v>1450</v>
      </c>
      <c r="G134" t="str">
        <v>UK</v>
      </c>
      <c r="H134" t="str">
        <v>2026-07</v>
      </c>
      <c r="I134" t="str">
        <v>UK speciality resin supplier. Index-anchored 2026-07. Semi-aromatic PPA — high-temp connectors, e-mobility, thermal management. coolFactor ~2.2 s/mm².</v>
      </c>
      <c r="J134" t="str">
        <v>Low</v>
      </c>
      <c r="K134">
        <f>IFERROR(IF(OR(INDEX(Mapping!$C:$C,MATCH($A134,Mapping!$A:$A,0))="",INDEX(JLRrates!$C:$C,MATCH(INDEX(Mapping!$C:$C,MATCH($A134,Mapping!$A:$A,0)),JLRrates!$B:$B,0))=""),0,INDEX(JLRrates!$C:$C,MATCH(INDEX(Mapping!$C:$C,MATCH($A134,Mapping!$A:$A,0)),JLRrates!$B:$B,0))),0)</f>
        <v>0</v>
      </c>
      <c r="L134">
        <f>IFERROR(IF(OR(INDEX(Mapping!$C:$C,MATCH($A134,Mapping!$A:$A,0))="",INDEX(JLRrates!$D:$D,MATCH(INDEX(Mapping!$C:$C,MATCH($A134,Mapping!$A:$A,0)),JLRrates!$B:$B,0))=""),0,INDEX(JLRrates!$D:$D,MATCH(INDEX(Mapping!$C:$C,MATCH($A134,Mapping!$A:$A,0)),JLRrates!$B:$B,0))),0)</f>
        <v>0</v>
      </c>
    </row>
    <row r="135">
      <c r="A135" t="str">
        <v>mat-pei</v>
      </c>
      <c r="B135" t="str">
        <v>PEI (Ultem, Unfilled)</v>
      </c>
      <c r="C135" t="str">
        <v>High-Performance Thermoplastic</v>
      </c>
      <c r="D135">
        <f>IF($K135&gt;0,$K135,12.5)</f>
        <v>12.5</v>
      </c>
      <c r="E135">
        <f>IF($L135&gt;0,$L135,0.5)</f>
        <v>0.5</v>
      </c>
      <c r="F135">
        <v>1270</v>
      </c>
      <c r="G135" t="str">
        <v>UK</v>
      </c>
      <c r="H135" t="str">
        <v>2026-07</v>
      </c>
      <c r="I135" t="str">
        <v>UK speciality resin supplier. Index-anchored 2026-07. Polyetherimide — high-temp electrical, aerospace interiors, sterilisable medical. coolFactor ~2.5 s/mm².</v>
      </c>
      <c r="J135" t="str">
        <v>Low</v>
      </c>
      <c r="K135">
        <f>IFERROR(IF(OR(INDEX(Mapping!$C:$C,MATCH($A135,Mapping!$A:$A,0))="",INDEX(JLRrates!$C:$C,MATCH(INDEX(Mapping!$C:$C,MATCH($A135,Mapping!$A:$A,0)),JLRrates!$B:$B,0))=""),0,INDEX(JLRrates!$C:$C,MATCH(INDEX(Mapping!$C:$C,MATCH($A135,Mapping!$A:$A,0)),JLRrates!$B:$B,0))),0)</f>
        <v>0</v>
      </c>
      <c r="L135">
        <f>IFERROR(IF(OR(INDEX(Mapping!$C:$C,MATCH($A135,Mapping!$A:$A,0))="",INDEX(JLRrates!$D:$D,MATCH(INDEX(Mapping!$C:$C,MATCH($A135,Mapping!$A:$A,0)),JLRrates!$B:$B,0))=""),0,INDEX(JLRrates!$D:$D,MATCH(INDEX(Mapping!$C:$C,MATCH($A135,Mapping!$A:$A,0)),JLRrates!$B:$B,0))),0)</f>
        <v>0</v>
      </c>
    </row>
    <row r="136">
      <c r="A136" t="str">
        <v>mat-pei-gf30</v>
      </c>
      <c r="B136" t="str">
        <v>PEI GF30</v>
      </c>
      <c r="C136" t="str">
        <v>High-Performance Thermoplastic</v>
      </c>
      <c r="D136">
        <f>IF($K136&gt;0,$K136,14)</f>
        <v>14</v>
      </c>
      <c r="E136">
        <f>IF($L136&gt;0,$L136,0.5)</f>
        <v>0.5</v>
      </c>
      <c r="F136">
        <v>1510</v>
      </c>
      <c r="G136" t="str">
        <v>UK</v>
      </c>
      <c r="H136" t="str">
        <v>2026-07</v>
      </c>
      <c r="I136" t="str">
        <v>UK speciality resin supplier. Index-anchored 2026-07. Glass-reinforced PEI — structural high-temp. coolFactor ~2.5 s/mm².</v>
      </c>
      <c r="J136" t="str">
        <v>Low</v>
      </c>
      <c r="K136">
        <f>IFERROR(IF(OR(INDEX(Mapping!$C:$C,MATCH($A136,Mapping!$A:$A,0))="",INDEX(JLRrates!$C:$C,MATCH(INDEX(Mapping!$C:$C,MATCH($A136,Mapping!$A:$A,0)),JLRrates!$B:$B,0))=""),0,INDEX(JLRrates!$C:$C,MATCH(INDEX(Mapping!$C:$C,MATCH($A136,Mapping!$A:$A,0)),JLRrates!$B:$B,0))),0)</f>
        <v>0</v>
      </c>
      <c r="L136">
        <f>IFERROR(IF(OR(INDEX(Mapping!$C:$C,MATCH($A136,Mapping!$A:$A,0))="",INDEX(JLRrates!$D:$D,MATCH(INDEX(Mapping!$C:$C,MATCH($A136,Mapping!$A:$A,0)),JLRrates!$B:$B,0))=""),0,INDEX(JLRrates!$D:$D,MATCH(INDEX(Mapping!$C:$C,MATCH($A136,Mapping!$A:$A,0)),JLRrates!$B:$B,0))),0)</f>
        <v>0</v>
      </c>
    </row>
    <row r="137">
      <c r="A137" t="str">
        <v>mat-lcp-gf30</v>
      </c>
      <c r="B137" t="str">
        <v>LCP GF30 (Liquid-Crystal Polymer)</v>
      </c>
      <c r="C137" t="str">
        <v>High-Performance Thermoplastic</v>
      </c>
      <c r="D137">
        <f>IF($K137&gt;0,$K137,11)</f>
        <v>11</v>
      </c>
      <c r="E137">
        <f>IF($L137&gt;0,$L137,0.3)</f>
        <v>0.3</v>
      </c>
      <c r="F137">
        <v>1620</v>
      </c>
      <c r="G137" t="str">
        <v>UK</v>
      </c>
      <c r="H137" t="str">
        <v>2026-07</v>
      </c>
      <c r="I137" t="str">
        <v>UK speciality resin supplier. Index-anchored 2026-07. Ultra-thin-wall flow — fine-pitch connectors, SMT sockets, sensors. coolFactor ~1.8 s/mm².</v>
      </c>
      <c r="J137" t="str">
        <v>Low</v>
      </c>
      <c r="K137">
        <f>IFERROR(IF(OR(INDEX(Mapping!$C:$C,MATCH($A137,Mapping!$A:$A,0))="",INDEX(JLRrates!$C:$C,MATCH(INDEX(Mapping!$C:$C,MATCH($A137,Mapping!$A:$A,0)),JLRrates!$B:$B,0))=""),0,INDEX(JLRrates!$C:$C,MATCH(INDEX(Mapping!$C:$C,MATCH($A137,Mapping!$A:$A,0)),JLRrates!$B:$B,0))),0)</f>
        <v>0</v>
      </c>
      <c r="L137">
        <f>IFERROR(IF(OR(INDEX(Mapping!$C:$C,MATCH($A137,Mapping!$A:$A,0))="",INDEX(JLRrates!$D:$D,MATCH(INDEX(Mapping!$C:$C,MATCH($A137,Mapping!$A:$A,0)),JLRrates!$B:$B,0))=""),0,INDEX(JLRrates!$D:$D,MATCH(INDEX(Mapping!$C:$C,MATCH($A137,Mapping!$A:$A,0)),JLRrates!$B:$B,0))),0)</f>
        <v>0</v>
      </c>
    </row>
    <row r="138">
      <c r="A138" t="str">
        <v>mat-pa66-gf35</v>
      </c>
      <c r="B138" t="str">
        <v>PA66 GF35</v>
      </c>
      <c r="C138" t="str">
        <v>Thermoplastic</v>
      </c>
      <c r="D138">
        <f>IF($K138&gt;0,$K138,3.3)</f>
        <v>3.3</v>
      </c>
      <c r="E138">
        <f>IF($L138&gt;0,$L138,0.05)</f>
        <v>0.05</v>
      </c>
      <c r="F138">
        <v>1410</v>
      </c>
      <c r="G138" t="str">
        <v>UK</v>
      </c>
      <c r="H138" t="str">
        <v>2026-07</v>
      </c>
      <c r="I138" t="str">
        <v>UK resin distributor. Index-anchored 2026-07. 35% glass PA66 — structural brackets, engine mounts, pedals. coolFactor ~2.0 s/mm².</v>
      </c>
      <c r="J138" t="str">
        <v>Low</v>
      </c>
      <c r="K138">
        <f>IFERROR(IF(OR(INDEX(Mapping!$C:$C,MATCH($A138,Mapping!$A:$A,0))="",INDEX(JLRrates!$C:$C,MATCH(INDEX(Mapping!$C:$C,MATCH($A138,Mapping!$A:$A,0)),JLRrates!$B:$B,0))=""),0,INDEX(JLRrates!$C:$C,MATCH(INDEX(Mapping!$C:$C,MATCH($A138,Mapping!$A:$A,0)),JLRrates!$B:$B,0))),0)</f>
        <v>0</v>
      </c>
      <c r="L138">
        <f>IFERROR(IF(OR(INDEX(Mapping!$C:$C,MATCH($A138,Mapping!$A:$A,0))="",INDEX(JLRrates!$D:$D,MATCH(INDEX(Mapping!$C:$C,MATCH($A138,Mapping!$A:$A,0)),JLRrates!$B:$B,0))=""),0,INDEX(JLRrates!$D:$D,MATCH(INDEX(Mapping!$C:$C,MATCH($A138,Mapping!$A:$A,0)),JLRrates!$B:$B,0))),0)</f>
        <v>0</v>
      </c>
    </row>
    <row r="139">
      <c r="A139" t="str">
        <v>mat-pa66-gf50</v>
      </c>
      <c r="B139" t="str">
        <v>PA66 GF50</v>
      </c>
      <c r="C139" t="str">
        <v>Thermoplastic</v>
      </c>
      <c r="D139">
        <f>IF($K139&gt;0,$K139,3.55)</f>
        <v>3.55</v>
      </c>
      <c r="E139">
        <f>IF($L139&gt;0,$L139,0.05)</f>
        <v>0.05</v>
      </c>
      <c r="F139">
        <v>1560</v>
      </c>
      <c r="G139" t="str">
        <v>UK</v>
      </c>
      <c r="H139" t="str">
        <v>2026-07</v>
      </c>
      <c r="I139" t="str">
        <v>UK resin distributor. Index-anchored 2026-07. 50% glass PA66 — highest-stiffness metal-replacement structural parts. coolFactor ~2.0 s/mm².</v>
      </c>
      <c r="J139" t="str">
        <v>Low</v>
      </c>
      <c r="K139">
        <f>IFERROR(IF(OR(INDEX(Mapping!$C:$C,MATCH($A139,Mapping!$A:$A,0))="",INDEX(JLRrates!$C:$C,MATCH(INDEX(Mapping!$C:$C,MATCH($A139,Mapping!$A:$A,0)),JLRrates!$B:$B,0))=""),0,INDEX(JLRrates!$C:$C,MATCH(INDEX(Mapping!$C:$C,MATCH($A139,Mapping!$A:$A,0)),JLRrates!$B:$B,0))),0)</f>
        <v>0</v>
      </c>
      <c r="L139">
        <f>IFERROR(IF(OR(INDEX(Mapping!$C:$C,MATCH($A139,Mapping!$A:$A,0))="",INDEX(JLRrates!$D:$D,MATCH(INDEX(Mapping!$C:$C,MATCH($A139,Mapping!$A:$A,0)),JLRrates!$B:$B,0))=""),0,INDEX(JLRrates!$D:$D,MATCH(INDEX(Mapping!$C:$C,MATCH($A139,Mapping!$A:$A,0)),JLRrates!$B:$B,0))),0)</f>
        <v>0</v>
      </c>
    </row>
    <row r="140">
      <c r="A140" t="str">
        <v>mat-pa66-min</v>
      </c>
      <c r="B140" t="str">
        <v>PA66 Mineral-filled (Low-Warp)</v>
      </c>
      <c r="C140" t="str">
        <v>Thermoplastic</v>
      </c>
      <c r="D140">
        <f>IF($K140&gt;0,$K140,3)</f>
        <v>3</v>
      </c>
      <c r="E140">
        <f>IF($L140&gt;0,$L140,0.05)</f>
        <v>0.05</v>
      </c>
      <c r="F140">
        <v>1440</v>
      </c>
      <c r="G140" t="str">
        <v>UK</v>
      </c>
      <c r="H140" t="str">
        <v>2026-07</v>
      </c>
      <c r="I140" t="str">
        <v>UK resin distributor. Index-anchored 2026-07. Mineral-filled PA66 — low-warp precision housings, covers. coolFactor ~2.0 s/mm².</v>
      </c>
      <c r="J140" t="str">
        <v>Low</v>
      </c>
      <c r="K140">
        <f>IFERROR(IF(OR(INDEX(Mapping!$C:$C,MATCH($A140,Mapping!$A:$A,0))="",INDEX(JLRrates!$C:$C,MATCH(INDEX(Mapping!$C:$C,MATCH($A140,Mapping!$A:$A,0)),JLRrates!$B:$B,0))=""),0,INDEX(JLRrates!$C:$C,MATCH(INDEX(Mapping!$C:$C,MATCH($A140,Mapping!$A:$A,0)),JLRrates!$B:$B,0))),0)</f>
        <v>0</v>
      </c>
      <c r="L140">
        <f>IFERROR(IF(OR(INDEX(Mapping!$C:$C,MATCH($A140,Mapping!$A:$A,0))="",INDEX(JLRrates!$D:$D,MATCH(INDEX(Mapping!$C:$C,MATCH($A140,Mapping!$A:$A,0)),JLRrates!$B:$B,0))=""),0,INDEX(JLRrates!$D:$D,MATCH(INDEX(Mapping!$C:$C,MATCH($A140,Mapping!$A:$A,0)),JLRrates!$B:$B,0))),0)</f>
        <v>0</v>
      </c>
    </row>
    <row r="141">
      <c r="A141" t="str">
        <v>mat-pa12</v>
      </c>
      <c r="B141" t="str">
        <v>PA12 (Nylon 12)</v>
      </c>
      <c r="C141" t="str">
        <v>Thermoplastic</v>
      </c>
      <c r="D141">
        <f>IF($K141&gt;0,$K141,8.5)</f>
        <v>8.5</v>
      </c>
      <c r="E141">
        <f>IF($L141&gt;0,$L141,0.1)</f>
        <v>0.1</v>
      </c>
      <c r="F141">
        <v>1010</v>
      </c>
      <c r="G141" t="str">
        <v>UK</v>
      </c>
      <c r="H141" t="str">
        <v>2026-07</v>
      </c>
      <c r="I141" t="str">
        <v>UK resin distributor. Index-anchored 2026-07. Low-moisture, flexible polyamide — fuel/brake lines, air-brake tubing, quick-connectors. coolFactor ~2.2 s/mm².</v>
      </c>
      <c r="J141" t="str">
        <v>Low</v>
      </c>
      <c r="K141">
        <f>IFERROR(IF(OR(INDEX(Mapping!$C:$C,MATCH($A141,Mapping!$A:$A,0))="",INDEX(JLRrates!$C:$C,MATCH(INDEX(Mapping!$C:$C,MATCH($A141,Mapping!$A:$A,0)),JLRrates!$B:$B,0))=""),0,INDEX(JLRrates!$C:$C,MATCH(INDEX(Mapping!$C:$C,MATCH($A141,Mapping!$A:$A,0)),JLRrates!$B:$B,0))),0)</f>
        <v>0</v>
      </c>
      <c r="L141">
        <f>IFERROR(IF(OR(INDEX(Mapping!$C:$C,MATCH($A141,Mapping!$A:$A,0))="",INDEX(JLRrates!$D:$D,MATCH(INDEX(Mapping!$C:$C,MATCH($A141,Mapping!$A:$A,0)),JLRrates!$B:$B,0))=""),0,INDEX(JLRrates!$D:$D,MATCH(INDEX(Mapping!$C:$C,MATCH($A141,Mapping!$A:$A,0)),JLRrates!$B:$B,0))),0)</f>
        <v>0</v>
      </c>
    </row>
    <row r="142">
      <c r="A142" t="str">
        <v>mat-pc-pbt</v>
      </c>
      <c r="B142" t="str">
        <v>PC/PBT Blend</v>
      </c>
      <c r="C142" t="str">
        <v>Thermoplastic</v>
      </c>
      <c r="D142">
        <f>IF($K142&gt;0,$K142,3.2)</f>
        <v>3.2</v>
      </c>
      <c r="E142">
        <f>IF($L142&gt;0,$L142,0.08)</f>
        <v>0.08</v>
      </c>
      <c r="F142">
        <v>1210</v>
      </c>
      <c r="G142" t="str">
        <v>UK</v>
      </c>
      <c r="H142" t="str">
        <v>2026-07</v>
      </c>
      <c r="I142" t="str">
        <v>UK resin distributor. Index-anchored 2026-07. Impact + chemical resistance — bumper beams, exterior body panels, sill covers. coolFactor ~2.3 s/mm².</v>
      </c>
      <c r="J142" t="str">
        <v>Low</v>
      </c>
      <c r="K142">
        <f>IFERROR(IF(OR(INDEX(Mapping!$C:$C,MATCH($A142,Mapping!$A:$A,0))="",INDEX(JLRrates!$C:$C,MATCH(INDEX(Mapping!$C:$C,MATCH($A142,Mapping!$A:$A,0)),JLRrates!$B:$B,0))=""),0,INDEX(JLRrates!$C:$C,MATCH(INDEX(Mapping!$C:$C,MATCH($A142,Mapping!$A:$A,0)),JLRrates!$B:$B,0))),0)</f>
        <v>0</v>
      </c>
      <c r="L142">
        <f>IFERROR(IF(OR(INDEX(Mapping!$C:$C,MATCH($A142,Mapping!$A:$A,0))="",INDEX(JLRrates!$D:$D,MATCH(INDEX(Mapping!$C:$C,MATCH($A142,Mapping!$A:$A,0)),JLRrates!$B:$B,0))=""),0,INDEX(JLRrates!$D:$D,MATCH(INDEX(Mapping!$C:$C,MATCH($A142,Mapping!$A:$A,0)),JLRrates!$B:$B,0))),0)</f>
        <v>0</v>
      </c>
    </row>
    <row r="143">
      <c r="A143" t="str">
        <v>mat-mppe</v>
      </c>
      <c r="B143" t="str">
        <v>mPPE / PPO (Noryl-type)</v>
      </c>
      <c r="C143" t="str">
        <v>Thermoplastic</v>
      </c>
      <c r="D143">
        <f>IF($K143&gt;0,$K143,3.4)</f>
        <v>3.4</v>
      </c>
      <c r="E143">
        <f>IF($L143&gt;0,$L143,0.08)</f>
        <v>0.08</v>
      </c>
      <c r="F143">
        <v>1090</v>
      </c>
      <c r="G143" t="str">
        <v>UK</v>
      </c>
      <c r="H143" t="str">
        <v>2026-07</v>
      </c>
      <c r="I143" t="str">
        <v>UK resin distributor. Index-anchored 2026-07. Modified PPE — dimensional stability, low moisture — EV battery components, e-mobility, panels. coolFactor ~2.2 s/mm².</v>
      </c>
      <c r="J143" t="str">
        <v>Low</v>
      </c>
      <c r="K143">
        <f>IFERROR(IF(OR(INDEX(Mapping!$C:$C,MATCH($A143,Mapping!$A:$A,0))="",INDEX(JLRrates!$C:$C,MATCH(INDEX(Mapping!$C:$C,MATCH($A143,Mapping!$A:$A,0)),JLRrates!$B:$B,0))=""),0,INDEX(JLRrates!$C:$C,MATCH(INDEX(Mapping!$C:$C,MATCH($A143,Mapping!$A:$A,0)),JLRrates!$B:$B,0))),0)</f>
        <v>0</v>
      </c>
      <c r="L143">
        <f>IFERROR(IF(OR(INDEX(Mapping!$C:$C,MATCH($A143,Mapping!$A:$A,0))="",INDEX(JLRrates!$D:$D,MATCH(INDEX(Mapping!$C:$C,MATCH($A143,Mapping!$A:$A,0)),JLRrates!$B:$B,0))=""),0,INDEX(JLRrates!$D:$D,MATCH(INDEX(Mapping!$C:$C,MATCH($A143,Mapping!$A:$A,0)),JLRrates!$B:$B,0))),0)</f>
        <v>0</v>
      </c>
    </row>
    <row r="144">
      <c r="A144" t="str">
        <v>mat-pc-fr</v>
      </c>
      <c r="B144" t="str">
        <v>PC FR (UL94 V0)</v>
      </c>
      <c r="C144" t="str">
        <v>Thermoplastic</v>
      </c>
      <c r="D144">
        <f>IF($K144&gt;0,$K144,3.6)</f>
        <v>3.6</v>
      </c>
      <c r="E144">
        <f>IF($L144&gt;0,$L144,0.08)</f>
        <v>0.08</v>
      </c>
      <c r="F144">
        <v>1220</v>
      </c>
      <c r="G144" t="str">
        <v>UK</v>
      </c>
      <c r="H144" t="str">
        <v>2026-07</v>
      </c>
      <c r="I144" t="str">
        <v>UK resin distributor. Index-anchored 2026-07. Flame-retardant PC — EV enclosures, chargers, HV connectors, electronics. coolFactor ~2.5 s/mm².</v>
      </c>
      <c r="J144" t="str">
        <v>Low</v>
      </c>
      <c r="K144">
        <f>IFERROR(IF(OR(INDEX(Mapping!$C:$C,MATCH($A144,Mapping!$A:$A,0))="",INDEX(JLRrates!$C:$C,MATCH(INDEX(Mapping!$C:$C,MATCH($A144,Mapping!$A:$A,0)),JLRrates!$B:$B,0))=""),0,INDEX(JLRrates!$C:$C,MATCH(INDEX(Mapping!$C:$C,MATCH($A144,Mapping!$A:$A,0)),JLRrates!$B:$B,0))),0)</f>
        <v>0</v>
      </c>
      <c r="L144">
        <f>IFERROR(IF(OR(INDEX(Mapping!$C:$C,MATCH($A144,Mapping!$A:$A,0))="",INDEX(JLRrates!$D:$D,MATCH(INDEX(Mapping!$C:$C,MATCH($A144,Mapping!$A:$A,0)),JLRrates!$B:$B,0))=""),0,INDEX(JLRrates!$D:$D,MATCH(INDEX(Mapping!$C:$C,MATCH($A144,Mapping!$A:$A,0)),JLRrates!$B:$B,0))),0)</f>
        <v>0</v>
      </c>
    </row>
    <row r="145">
      <c r="A145" t="str">
        <v>mat-pa66-gf25-fr</v>
      </c>
      <c r="B145" t="str">
        <v>PA66 GF25 FR (UL94 V0)</v>
      </c>
      <c r="C145" t="str">
        <v>Thermoplastic</v>
      </c>
      <c r="D145">
        <f>IF($K145&gt;0,$K145,4.2)</f>
        <v>4.2</v>
      </c>
      <c r="E145">
        <f>IF($L145&gt;0,$L145,0.05)</f>
        <v>0.05</v>
      </c>
      <c r="F145">
        <v>1450</v>
      </c>
      <c r="G145" t="str">
        <v>UK</v>
      </c>
      <c r="H145" t="str">
        <v>2026-07</v>
      </c>
      <c r="I145" t="str">
        <v>UK resin distributor. Index-anchored 2026-07. Halogen-free FR glass-filled PA66 — HV connectors, busbar carriers, EV. coolFactor ~2.0 s/mm².</v>
      </c>
      <c r="J145" t="str">
        <v>Low</v>
      </c>
      <c r="K145">
        <f>IFERROR(IF(OR(INDEX(Mapping!$C:$C,MATCH($A145,Mapping!$A:$A,0))="",INDEX(JLRrates!$C:$C,MATCH(INDEX(Mapping!$C:$C,MATCH($A145,Mapping!$A:$A,0)),JLRrates!$B:$B,0))=""),0,INDEX(JLRrates!$C:$C,MATCH(INDEX(Mapping!$C:$C,MATCH($A145,Mapping!$A:$A,0)),JLRrates!$B:$B,0))),0)</f>
        <v>0</v>
      </c>
      <c r="L145">
        <f>IFERROR(IF(OR(INDEX(Mapping!$C:$C,MATCH($A145,Mapping!$A:$A,0))="",INDEX(JLRrates!$D:$D,MATCH(INDEX(Mapping!$C:$C,MATCH($A145,Mapping!$A:$A,0)),JLRrates!$B:$B,0))=""),0,INDEX(JLRrates!$D:$D,MATCH(INDEX(Mapping!$C:$C,MATCH($A145,Mapping!$A:$A,0)),JLRrates!$B:$B,0))),0)</f>
        <v>0</v>
      </c>
    </row>
    <row r="146">
      <c r="A146" t="str">
        <v>mat-pcr-pp</v>
      </c>
      <c r="B146" t="str">
        <v>PCR PP (Post-Consumer Recycled)</v>
      </c>
      <c r="C146" t="str">
        <v>Thermoplastic</v>
      </c>
      <c r="D146">
        <f>IF($K146&gt;0,$K146,0.95)</f>
        <v>0.95</v>
      </c>
      <c r="E146">
        <f>IF($L146&gt;0,$L146,0.1)</f>
        <v>0.1</v>
      </c>
      <c r="F146">
        <v>905</v>
      </c>
      <c r="G146" t="str">
        <v>UK</v>
      </c>
      <c r="H146" t="str">
        <v>2026-07</v>
      </c>
      <c r="I146" t="str">
        <v>UK recycler. Index-anchored 2026-07. Recycled PP — non-visible trim, wheel-arch liners, under-body. ~10% cheaper than virgin, far lower CO₂; wider property tolerance. coolFactor ~3.16 s/mm².</v>
      </c>
      <c r="J146" t="str">
        <v>Low</v>
      </c>
      <c r="K146">
        <f>IFERROR(IF(OR(INDEX(Mapping!$C:$C,MATCH($A146,Mapping!$A:$A,0))="",INDEX(JLRrates!$C:$C,MATCH(INDEX(Mapping!$C:$C,MATCH($A146,Mapping!$A:$A,0)),JLRrates!$B:$B,0))=""),0,INDEX(JLRrates!$C:$C,MATCH(INDEX(Mapping!$C:$C,MATCH($A146,Mapping!$A:$A,0)),JLRrates!$B:$B,0))),0)</f>
        <v>0</v>
      </c>
      <c r="L146">
        <f>IFERROR(IF(OR(INDEX(Mapping!$C:$C,MATCH($A146,Mapping!$A:$A,0))="",INDEX(JLRrates!$D:$D,MATCH(INDEX(Mapping!$C:$C,MATCH($A146,Mapping!$A:$A,0)),JLRrates!$B:$B,0))=""),0,INDEX(JLRrates!$D:$D,MATCH(INDEX(Mapping!$C:$C,MATCH($A146,Mapping!$A:$A,0)),JLRrates!$B:$B,0))),0)</f>
        <v>0</v>
      </c>
    </row>
    <row r="147">
      <c r="A147" t="str">
        <v>mat-bio-pa610</v>
      </c>
      <c r="B147" t="str">
        <v>Bio-PA610 (Castor-based)</v>
      </c>
      <c r="C147" t="str">
        <v>High-Performance Thermoplastic</v>
      </c>
      <c r="D147">
        <f>IF($K147&gt;0,$K147,5.5)</f>
        <v>5.5</v>
      </c>
      <c r="E147">
        <f>IF($L147&gt;0,$L147,0.1)</f>
        <v>0.1</v>
      </c>
      <c r="F147">
        <v>1070</v>
      </c>
      <c r="G147" t="str">
        <v>UK</v>
      </c>
      <c r="H147" t="str">
        <v>2026-07</v>
      </c>
      <c r="I147" t="str">
        <v>UK resin distributor. Index-anchored 2026-07. Partly bio-based polyamide — low moisture uptake, sustainable structural/fuel-system parts. coolFactor ~2.1 s/mm².</v>
      </c>
      <c r="J147" t="str">
        <v>Low</v>
      </c>
      <c r="K147">
        <f>IFERROR(IF(OR(INDEX(Mapping!$C:$C,MATCH($A147,Mapping!$A:$A,0))="",INDEX(JLRrates!$C:$C,MATCH(INDEX(Mapping!$C:$C,MATCH($A147,Mapping!$A:$A,0)),JLRrates!$B:$B,0))=""),0,INDEX(JLRrates!$C:$C,MATCH(INDEX(Mapping!$C:$C,MATCH($A147,Mapping!$A:$A,0)),JLRrates!$B:$B,0))),0)</f>
        <v>0</v>
      </c>
      <c r="L147">
        <f>IFERROR(IF(OR(INDEX(Mapping!$C:$C,MATCH($A147,Mapping!$A:$A,0))="",INDEX(JLRrates!$D:$D,MATCH(INDEX(Mapping!$C:$C,MATCH($A147,Mapping!$A:$A,0)),JLRrates!$B:$B,0))=""),0,INDEX(JLRrates!$D:$D,MATCH(INDEX(Mapping!$C:$C,MATCH($A147,Mapping!$A:$A,0)),JLRrates!$B:$B,0))),0)</f>
        <v>0</v>
      </c>
    </row>
    <row r="148">
      <c r="A148" t="str">
        <v>mat-pc-glazing</v>
      </c>
      <c r="B148" t="str">
        <v>PC Glazing Grade (Automotive)</v>
      </c>
      <c r="C148" t="str">
        <v>Thermoplastic</v>
      </c>
      <c r="D148">
        <f>IF($K148&gt;0,$K148,4.2)</f>
        <v>4.2</v>
      </c>
      <c r="E148">
        <f>IF($L148&gt;0,$L148,0.08)</f>
        <v>0.08</v>
      </c>
      <c r="F148">
        <v>1200</v>
      </c>
      <c r="G148" t="str">
        <v>UK</v>
      </c>
      <c r="H148" t="str">
        <v>2026-07</v>
      </c>
      <c r="I148" t="str">
        <v>UK resin distributor. Index-anchored 2026-07. Hard-coat-ready PC for polycarbonate glazing — panoramic roofs, fixed side windows, lightweighting vs glass. coolFactor ~2.5 s/mm².</v>
      </c>
      <c r="J148" t="str">
        <v>Low</v>
      </c>
      <c r="K148">
        <f>IFERROR(IF(OR(INDEX(Mapping!$C:$C,MATCH($A148,Mapping!$A:$A,0))="",INDEX(JLRrates!$C:$C,MATCH(INDEX(Mapping!$C:$C,MATCH($A148,Mapping!$A:$A,0)),JLRrates!$B:$B,0))=""),0,INDEX(JLRrates!$C:$C,MATCH(INDEX(Mapping!$C:$C,MATCH($A148,Mapping!$A:$A,0)),JLRrates!$B:$B,0))),0)</f>
        <v>0</v>
      </c>
      <c r="L148">
        <f>IFERROR(IF(OR(INDEX(Mapping!$C:$C,MATCH($A148,Mapping!$A:$A,0))="",INDEX(JLRrates!$D:$D,MATCH(INDEX(Mapping!$C:$C,MATCH($A148,Mapping!$A:$A,0)),JLRrates!$B:$B,0))=""),0,INDEX(JLRrates!$D:$D,MATCH(INDEX(Mapping!$C:$C,MATCH($A148,Mapping!$A:$A,0)),JLRrates!$B:$B,0))),0)</f>
        <v>0</v>
      </c>
    </row>
    <row r="149">
      <c r="A149" t="str">
        <v>mat-adc12</v>
      </c>
      <c r="B149" t="str">
        <v>ADC12 / A383</v>
      </c>
      <c r="C149" t="str">
        <v>Die Cast Aluminium</v>
      </c>
      <c r="D149">
        <f>IF($K149&gt;0,$K149,2.78)</f>
        <v>2.78</v>
      </c>
      <c r="E149">
        <f>IF($L149&gt;0,$L149,0.55)</f>
        <v>0.55</v>
      </c>
      <c r="F149">
        <v>2700</v>
      </c>
      <c r="G149" t="str">
        <v>UK</v>
      </c>
      <c r="H149" t="str">
        <v>2026-07</v>
      </c>
      <c r="I149" t="str">
        <v>UK Al alloy ingot, Jun 2026. Index-anchored 2026-07 (see CASTING PRICING BASIS).</v>
      </c>
      <c r="J149" t="str">
        <v>Medium</v>
      </c>
      <c r="K149">
        <f>IFERROR(IF(OR(INDEX(Mapping!$C:$C,MATCH($A149,Mapping!$A:$A,0))="",INDEX(JLRrates!$C:$C,MATCH(INDEX(Mapping!$C:$C,MATCH($A149,Mapping!$A:$A,0)),JLRrates!$B:$B,0))=""),0,INDEX(JLRrates!$C:$C,MATCH(INDEX(Mapping!$C:$C,MATCH($A149,Mapping!$A:$A,0)),JLRrates!$B:$B,0))),0)</f>
        <v>0</v>
      </c>
      <c r="L149">
        <f>IFERROR(IF(OR(INDEX(Mapping!$C:$C,MATCH($A149,Mapping!$A:$A,0))="",INDEX(JLRrates!$D:$D,MATCH(INDEX(Mapping!$C:$C,MATCH($A149,Mapping!$A:$A,0)),JLRrates!$B:$B,0))=""),0,INDEX(JLRrates!$D:$D,MATCH(INDEX(Mapping!$C:$C,MATCH($A149,Mapping!$A:$A,0)),JLRrates!$B:$B,0))),0)</f>
        <v>0</v>
      </c>
    </row>
    <row r="150">
      <c r="A150" t="str">
        <v>mat-a380</v>
      </c>
      <c r="B150" t="str">
        <v>A380 / EN AC-46000 (Al-Si Die-Cast Alloy)</v>
      </c>
      <c r="C150" t="str">
        <v>Die Cast Aluminium</v>
      </c>
      <c r="D150">
        <f>IF($K150&gt;0,$K150,2.83)</f>
        <v>2.83</v>
      </c>
      <c r="E150">
        <f>IF($L150&gt;0,$L150,0.55)</f>
        <v>0.55</v>
      </c>
      <c r="F150">
        <v>2680</v>
      </c>
      <c r="G150" t="str">
        <v>UK</v>
      </c>
      <c r="H150" t="str">
        <v>2026-07</v>
      </c>
      <c r="I150" t="str">
        <v>UK Al alloy ingot, Jun 2026. Index-anchored 2026-07 (see CASTING PRICING BASIS).</v>
      </c>
      <c r="J150" t="str">
        <v>Medium</v>
      </c>
      <c r="K150">
        <f>IFERROR(IF(OR(INDEX(Mapping!$C:$C,MATCH($A150,Mapping!$A:$A,0))="",INDEX(JLRrates!$C:$C,MATCH(INDEX(Mapping!$C:$C,MATCH($A150,Mapping!$A:$A,0)),JLRrates!$B:$B,0))=""),0,INDEX(JLRrates!$C:$C,MATCH(INDEX(Mapping!$C:$C,MATCH($A150,Mapping!$A:$A,0)),JLRrates!$B:$B,0))),0)</f>
        <v>0</v>
      </c>
      <c r="L150">
        <f>IFERROR(IF(OR(INDEX(Mapping!$C:$C,MATCH($A150,Mapping!$A:$A,0))="",INDEX(JLRrates!$D:$D,MATCH(INDEX(Mapping!$C:$C,MATCH($A150,Mapping!$A:$A,0)),JLRrates!$B:$B,0))=""),0,INDEX(JLRrates!$D:$D,MATCH(INDEX(Mapping!$C:$C,MATCH($A150,Mapping!$A:$A,0)),JLRrates!$B:$B,0))),0)</f>
        <v>0</v>
      </c>
    </row>
    <row r="151">
      <c r="A151" t="str">
        <v>mat-gjl250</v>
      </c>
      <c r="B151" t="str">
        <v>EN-GJL-250</v>
      </c>
      <c r="C151" t="str">
        <v>Grey Cast Iron</v>
      </c>
      <c r="D151">
        <f>IF($K151&gt;0,$K151,0.64)</f>
        <v>0.64</v>
      </c>
      <c r="E151">
        <f>IF($L151&gt;0,$L151,0.12)</f>
        <v>0.12</v>
      </c>
      <c r="F151">
        <v>7200</v>
      </c>
      <c r="G151" t="str">
        <v>UK</v>
      </c>
      <c r="H151" t="str">
        <v>2026-07</v>
      </c>
      <c r="I151" t="str">
        <v>UK iron foundry, Jun 2026. Index-anchored 2026-07 (see CASTING PRICING BASIS).</v>
      </c>
      <c r="J151" t="str">
        <v>Low</v>
      </c>
      <c r="K151">
        <f>IFERROR(IF(OR(INDEX(Mapping!$C:$C,MATCH($A151,Mapping!$A:$A,0))="",INDEX(JLRrates!$C:$C,MATCH(INDEX(Mapping!$C:$C,MATCH($A151,Mapping!$A:$A,0)),JLRrates!$B:$B,0))=""),0,INDEX(JLRrates!$C:$C,MATCH(INDEX(Mapping!$C:$C,MATCH($A151,Mapping!$A:$A,0)),JLRrates!$B:$B,0))),0)</f>
        <v>0</v>
      </c>
      <c r="L151">
        <f>IFERROR(IF(OR(INDEX(Mapping!$C:$C,MATCH($A151,Mapping!$A:$A,0))="",INDEX(JLRrates!$D:$D,MATCH(INDEX(Mapping!$C:$C,MATCH($A151,Mapping!$A:$A,0)),JLRrates!$B:$B,0))=""),0,INDEX(JLRrates!$D:$D,MATCH(INDEX(Mapping!$C:$C,MATCH($A151,Mapping!$A:$A,0)),JLRrates!$B:$B,0))),0)</f>
        <v>0</v>
      </c>
    </row>
    <row r="152">
      <c r="A152" t="str">
        <v>mat-lm25</v>
      </c>
      <c r="B152" t="str">
        <v>LM25 / A356</v>
      </c>
      <c r="C152" t="str">
        <v>Gravity/Sand Aluminium</v>
      </c>
      <c r="D152">
        <f>IF($K152&gt;0,$K152,3.04)</f>
        <v>3.04</v>
      </c>
      <c r="E152">
        <f>IF($L152&gt;0,$L152,0.55)</f>
        <v>0.55</v>
      </c>
      <c r="F152">
        <v>2680</v>
      </c>
      <c r="G152" t="str">
        <v>UK</v>
      </c>
      <c r="H152" t="str">
        <v>2026-07</v>
      </c>
      <c r="I152" t="str">
        <v>UK Al alloy ingot, Jun 2026. Index-anchored 2026-07 (see CASTING PRICING BASIS).</v>
      </c>
      <c r="J152" t="str">
        <v>Medium</v>
      </c>
      <c r="K152">
        <f>IFERROR(IF(OR(INDEX(Mapping!$C:$C,MATCH($A152,Mapping!$A:$A,0))="",INDEX(JLRrates!$C:$C,MATCH(INDEX(Mapping!$C:$C,MATCH($A152,Mapping!$A:$A,0)),JLRrates!$B:$B,0))=""),0,INDEX(JLRrates!$C:$C,MATCH(INDEX(Mapping!$C:$C,MATCH($A152,Mapping!$A:$A,0)),JLRrates!$B:$B,0))),0)</f>
        <v>0</v>
      </c>
      <c r="L152">
        <f>IFERROR(IF(OR(INDEX(Mapping!$C:$C,MATCH($A152,Mapping!$A:$A,0))="",INDEX(JLRrates!$D:$D,MATCH(INDEX(Mapping!$C:$C,MATCH($A152,Mapping!$A:$A,0)),JLRrates!$B:$B,0))=""),0,INDEX(JLRrates!$D:$D,MATCH(INDEX(Mapping!$C:$C,MATCH($A152,Mapping!$A:$A,0)),JLRrates!$B:$B,0))),0)</f>
        <v>0</v>
      </c>
    </row>
    <row r="153">
      <c r="A153" t="str">
        <v>mat-gjl350</v>
      </c>
      <c r="B153" t="str">
        <v>EN-GJL-350</v>
      </c>
      <c r="C153" t="str">
        <v>Grey Cast Iron</v>
      </c>
      <c r="D153">
        <f>IF($K153&gt;0,$K153,0.74)</f>
        <v>0.74</v>
      </c>
      <c r="E153">
        <f>IF($L153&gt;0,$L153,0.12)</f>
        <v>0.12</v>
      </c>
      <c r="F153">
        <v>7200</v>
      </c>
      <c r="G153" t="str">
        <v>UK</v>
      </c>
      <c r="H153" t="str">
        <v>2026-07</v>
      </c>
      <c r="I153" t="str">
        <v>UK iron foundry, Jun 2026. Index-anchored 2026-07 (see CASTING PRICING BASIS).</v>
      </c>
      <c r="J153" t="str">
        <v>Low</v>
      </c>
      <c r="K153">
        <f>IFERROR(IF(OR(INDEX(Mapping!$C:$C,MATCH($A153,Mapping!$A:$A,0))="",INDEX(JLRrates!$C:$C,MATCH(INDEX(Mapping!$C:$C,MATCH($A153,Mapping!$A:$A,0)),JLRrates!$B:$B,0))=""),0,INDEX(JLRrates!$C:$C,MATCH(INDEX(Mapping!$C:$C,MATCH($A153,Mapping!$A:$A,0)),JLRrates!$B:$B,0))),0)</f>
        <v>0</v>
      </c>
      <c r="L153">
        <f>IFERROR(IF(OR(INDEX(Mapping!$C:$C,MATCH($A153,Mapping!$A:$A,0))="",INDEX(JLRrates!$D:$D,MATCH(INDEX(Mapping!$C:$C,MATCH($A153,Mapping!$A:$A,0)),JLRrates!$B:$B,0))=""),0,INDEX(JLRrates!$D:$D,MATCH(INDEX(Mapping!$C:$C,MATCH($A153,Mapping!$A:$A,0)),JLRrates!$B:$B,0))),0)</f>
        <v>0</v>
      </c>
    </row>
    <row r="154">
      <c r="A154" t="str">
        <v>mat-bronze-c905</v>
      </c>
      <c r="B154" t="str">
        <v>C905 Phosphor Bronze</v>
      </c>
      <c r="C154" t="str">
        <v>Copper Alloy</v>
      </c>
      <c r="D154">
        <f>IF($K154&gt;0,$K154,8.9)</f>
        <v>8.9</v>
      </c>
      <c r="E154">
        <f>IF($L154&gt;0,$L154,2.8)</f>
        <v>2.8</v>
      </c>
      <c r="F154">
        <v>8800</v>
      </c>
      <c r="G154" t="str">
        <v>UK</v>
      </c>
      <c r="H154" t="str">
        <v>2026-07</v>
      </c>
      <c r="I154" t="str">
        <v>UK copper alloy distributor, Jun 2026. Index-anchored 2026-07 (see CASTING PRICING BASIS).</v>
      </c>
      <c r="J154" t="str">
        <v>Low</v>
      </c>
      <c r="K154">
        <f>IFERROR(IF(OR(INDEX(Mapping!$C:$C,MATCH($A154,Mapping!$A:$A,0))="",INDEX(JLRrates!$C:$C,MATCH(INDEX(Mapping!$C:$C,MATCH($A154,Mapping!$A:$A,0)),JLRrates!$B:$B,0))=""),0,INDEX(JLRrates!$C:$C,MATCH(INDEX(Mapping!$C:$C,MATCH($A154,Mapping!$A:$A,0)),JLRrates!$B:$B,0))),0)</f>
        <v>0</v>
      </c>
      <c r="L154">
        <f>IFERROR(IF(OR(INDEX(Mapping!$C:$C,MATCH($A154,Mapping!$A:$A,0))="",INDEX(JLRrates!$D:$D,MATCH(INDEX(Mapping!$C:$C,MATCH($A154,Mapping!$A:$A,0)),JLRrates!$B:$B,0))=""),0,INDEX(JLRrates!$D:$D,MATCH(INDEX(Mapping!$C:$C,MATCH($A154,Mapping!$A:$A,0)),JLRrates!$B:$B,0))),0)</f>
        <v>0</v>
      </c>
    </row>
    <row r="155">
      <c r="A155" t="str">
        <v>mat-mag-az91</v>
      </c>
      <c r="B155" t="str">
        <v>AZ91D Magnesium Die Cast</v>
      </c>
      <c r="C155" t="str">
        <v>Magnesium Alloy</v>
      </c>
      <c r="D155">
        <f>IF($K155&gt;0,$K155,3.99)</f>
        <v>3.99</v>
      </c>
      <c r="E155">
        <f>IF($L155&gt;0,$L155,0.8)</f>
        <v>0.8</v>
      </c>
      <c r="F155">
        <v>1810</v>
      </c>
      <c r="G155" t="str">
        <v>UK</v>
      </c>
      <c r="H155" t="str">
        <v>2026-07</v>
      </c>
      <c r="I155" t="str">
        <v>UK Mg alloy ingot, Jun 2026. Index-anchored 2026-07 (see CASTING PRICING BASIS).</v>
      </c>
      <c r="J155" t="str">
        <v>Low</v>
      </c>
      <c r="K155">
        <f>IFERROR(IF(OR(INDEX(Mapping!$C:$C,MATCH($A155,Mapping!$A:$A,0))="",INDEX(JLRrates!$C:$C,MATCH(INDEX(Mapping!$C:$C,MATCH($A155,Mapping!$A:$A,0)),JLRrates!$B:$B,0))=""),0,INDEX(JLRrates!$C:$C,MATCH(INDEX(Mapping!$C:$C,MATCH($A155,Mapping!$A:$A,0)),JLRrates!$B:$B,0))),0)</f>
        <v>0</v>
      </c>
      <c r="L155">
        <f>IFERROR(IF(OR(INDEX(Mapping!$C:$C,MATCH($A155,Mapping!$A:$A,0))="",INDEX(JLRrates!$D:$D,MATCH(INDEX(Mapping!$C:$C,MATCH($A155,Mapping!$A:$A,0)),JLRrates!$B:$B,0))=""),0,INDEX(JLRrates!$D:$D,MATCH(INDEX(Mapping!$C:$C,MATCH($A155,Mapping!$A:$A,0)),JLRrates!$B:$B,0))),0)</f>
        <v>0</v>
      </c>
    </row>
    <row r="156">
      <c r="A156" t="str">
        <v>mat-ss304-cast</v>
      </c>
      <c r="B156" t="str">
        <v>CF8 / 304 Cast Stainless</v>
      </c>
      <c r="C156" t="str">
        <v>Cast Stainless Steel</v>
      </c>
      <c r="D156">
        <f>IF($K156&gt;0,$K156,5.04)</f>
        <v>5.04</v>
      </c>
      <c r="E156">
        <f>IF($L156&gt;0,$L156,1.2)</f>
        <v>1.2</v>
      </c>
      <c r="F156">
        <v>7900</v>
      </c>
      <c r="G156" t="str">
        <v>UK</v>
      </c>
      <c r="H156" t="str">
        <v>2026-07</v>
      </c>
      <c r="I156" t="str">
        <v>UK stainless foundry, Jun 2026. Index-anchored 2026-07 (see CASTING PRICING BASIS).</v>
      </c>
      <c r="J156" t="str">
        <v>Low</v>
      </c>
      <c r="K156">
        <f>IFERROR(IF(OR(INDEX(Mapping!$C:$C,MATCH($A156,Mapping!$A:$A,0))="",INDEX(JLRrates!$C:$C,MATCH(INDEX(Mapping!$C:$C,MATCH($A156,Mapping!$A:$A,0)),JLRrates!$B:$B,0))=""),0,INDEX(JLRrates!$C:$C,MATCH(INDEX(Mapping!$C:$C,MATCH($A156,Mapping!$A:$A,0)),JLRrates!$B:$B,0))),0)</f>
        <v>0</v>
      </c>
      <c r="L156">
        <f>IFERROR(IF(OR(INDEX(Mapping!$C:$C,MATCH($A156,Mapping!$A:$A,0))="",INDEX(JLRrates!$D:$D,MATCH(INDEX(Mapping!$C:$C,MATCH($A156,Mapping!$A:$A,0)),JLRrates!$B:$B,0))=""),0,INDEX(JLRrates!$D:$D,MATCH(INDEX(Mapping!$C:$C,MATCH($A156,Mapping!$A:$A,0)),JLRrates!$B:$B,0))),0)</f>
        <v>0</v>
      </c>
    </row>
    <row r="157">
      <c r="A157" t="str">
        <v>mat-adc12-secondary</v>
      </c>
      <c r="B157" t="str">
        <v>ADC12 Secondary (recycled)</v>
      </c>
      <c r="C157" t="str">
        <v>Die Cast Aluminium</v>
      </c>
      <c r="D157">
        <f>IF($K157&gt;0,$K157,2.05)</f>
        <v>2.05</v>
      </c>
      <c r="E157">
        <f>IF($L157&gt;0,$L157,0.45)</f>
        <v>0.45</v>
      </c>
      <c r="F157">
        <v>2700</v>
      </c>
      <c r="G157" t="str">
        <v>UK</v>
      </c>
      <c r="H157" t="str">
        <v>2026-07</v>
      </c>
      <c r="I157" t="str">
        <v>UK secondary Al alloy ingot — lower purity, suitable for non-structural castings. Index-anchored 2026-07 (see CASTING PRICING BASIS).</v>
      </c>
      <c r="J157" t="str">
        <v>Low</v>
      </c>
      <c r="K157">
        <f>IFERROR(IF(OR(INDEX(Mapping!$C:$C,MATCH($A157,Mapping!$A:$A,0))="",INDEX(JLRrates!$C:$C,MATCH(INDEX(Mapping!$C:$C,MATCH($A157,Mapping!$A:$A,0)),JLRrates!$B:$B,0))=""),0,INDEX(JLRrates!$C:$C,MATCH(INDEX(Mapping!$C:$C,MATCH($A157,Mapping!$A:$A,0)),JLRrates!$B:$B,0))),0)</f>
        <v>0</v>
      </c>
      <c r="L157">
        <f>IFERROR(IF(OR(INDEX(Mapping!$C:$C,MATCH($A157,Mapping!$A:$A,0))="",INDEX(JLRrates!$D:$D,MATCH(INDEX(Mapping!$C:$C,MATCH($A157,Mapping!$A:$A,0)),JLRrates!$B:$B,0))=""),0,INDEX(JLRrates!$D:$D,MATCH(INDEX(Mapping!$C:$C,MATCH($A157,Mapping!$A:$A,0)),JLRrates!$B:$B,0))),0)</f>
        <v>0</v>
      </c>
    </row>
    <row r="158">
      <c r="A158" t="str">
        <v>mat-alsi10mg</v>
      </c>
      <c r="B158" t="str">
        <v>AlSi10Mg (A360/Scalmalloy)</v>
      </c>
      <c r="C158" t="str">
        <v>Die Cast Aluminium</v>
      </c>
      <c r="D158">
        <f>IF($K158&gt;0,$K158,2.94)</f>
        <v>2.94</v>
      </c>
      <c r="E158">
        <f>IF($L158&gt;0,$L158,0.55)</f>
        <v>0.55</v>
      </c>
      <c r="F158">
        <v>2670</v>
      </c>
      <c r="G158" t="str">
        <v>UK</v>
      </c>
      <c r="H158" t="str">
        <v>2026-07</v>
      </c>
      <c r="I158" t="str">
        <v>Premium structural HPDC alloy, T5 heat treated. UK Al alloy ingot Jun 2026. Index-anchored 2026-07 (see CASTING PRICING BASIS).</v>
      </c>
      <c r="J158" t="str">
        <v>Medium</v>
      </c>
      <c r="K158">
        <f>IFERROR(IF(OR(INDEX(Mapping!$C:$C,MATCH($A158,Mapping!$A:$A,0))="",INDEX(JLRrates!$C:$C,MATCH(INDEX(Mapping!$C:$C,MATCH($A158,Mapping!$A:$A,0)),JLRrates!$B:$B,0))=""),0,INDEX(JLRrates!$C:$C,MATCH(INDEX(Mapping!$C:$C,MATCH($A158,Mapping!$A:$A,0)),JLRrates!$B:$B,0))),0)</f>
        <v>0</v>
      </c>
      <c r="L158">
        <f>IFERROR(IF(OR(INDEX(Mapping!$C:$C,MATCH($A158,Mapping!$A:$A,0))="",INDEX(JLRrates!$D:$D,MATCH(INDEX(Mapping!$C:$C,MATCH($A158,Mapping!$A:$A,0)),JLRrates!$B:$B,0))=""),0,INDEX(JLRrates!$D:$D,MATCH(INDEX(Mapping!$C:$C,MATCH($A158,Mapping!$A:$A,0)),JLRrates!$B:$B,0))),0)</f>
        <v>0</v>
      </c>
    </row>
    <row r="159">
      <c r="A159" t="str">
        <v>mat-a365</v>
      </c>
      <c r="B159" t="str">
        <v>A365 / AlSi7Mg</v>
      </c>
      <c r="C159" t="str">
        <v>Die Cast Aluminium</v>
      </c>
      <c r="D159">
        <f>IF($K159&gt;0,$K159,2.83)</f>
        <v>2.83</v>
      </c>
      <c r="E159">
        <f>IF($L159&gt;0,$L159,0.52)</f>
        <v>0.52</v>
      </c>
      <c r="F159">
        <v>2680</v>
      </c>
      <c r="G159" t="str">
        <v>UK</v>
      </c>
      <c r="H159" t="str">
        <v>2026-07</v>
      </c>
      <c r="I159" t="str">
        <v>Structural automotive HPDC alloy (EDU housings, battery trays). UK Jun 2026. Index-anchored 2026-07 (see CASTING PRICING BASIS).</v>
      </c>
      <c r="J159" t="str">
        <v>Medium</v>
      </c>
      <c r="K159">
        <f>IFERROR(IF(OR(INDEX(Mapping!$C:$C,MATCH($A159,Mapping!$A:$A,0))="",INDEX(JLRrates!$C:$C,MATCH(INDEX(Mapping!$C:$C,MATCH($A159,Mapping!$A:$A,0)),JLRrates!$B:$B,0))=""),0,INDEX(JLRrates!$C:$C,MATCH(INDEX(Mapping!$C:$C,MATCH($A159,Mapping!$A:$A,0)),JLRrates!$B:$B,0))),0)</f>
        <v>0</v>
      </c>
      <c r="L159">
        <f>IFERROR(IF(OR(INDEX(Mapping!$C:$C,MATCH($A159,Mapping!$A:$A,0))="",INDEX(JLRrates!$D:$D,MATCH(INDEX(Mapping!$C:$C,MATCH($A159,Mapping!$A:$A,0)),JLRrates!$B:$B,0))=""),0,INDEX(JLRrates!$D:$D,MATCH(INDEX(Mapping!$C:$C,MATCH($A159,Mapping!$A:$A,0)),JLRrates!$B:$B,0))),0)</f>
        <v>0</v>
      </c>
    </row>
    <row r="160">
      <c r="A160" t="str">
        <v>mat-zamak3</v>
      </c>
      <c r="B160" t="str">
        <v>Zamak 3 (Zinc Die Cast)</v>
      </c>
      <c r="C160" t="str">
        <v>Zinc Die Cast</v>
      </c>
      <c r="D160">
        <f>IF($K160&gt;0,$K160,2.47)</f>
        <v>2.47</v>
      </c>
      <c r="E160">
        <f>IF($L160&gt;0,$L160,1.2)</f>
        <v>1.2</v>
      </c>
      <c r="F160">
        <v>6600</v>
      </c>
      <c r="G160" t="str">
        <v>UK</v>
      </c>
      <c r="H160" t="str">
        <v>2026-07</v>
      </c>
      <c r="I160" t="str">
        <v>Zamak 3 zinc alloy ingot, UK distributor Jun 2026. Index-anchored 2026-07 (see CASTING PRICING BASIS).</v>
      </c>
      <c r="J160" t="str">
        <v>Medium</v>
      </c>
      <c r="K160">
        <f>IFERROR(IF(OR(INDEX(Mapping!$C:$C,MATCH($A160,Mapping!$A:$A,0))="",INDEX(JLRrates!$C:$C,MATCH(INDEX(Mapping!$C:$C,MATCH($A160,Mapping!$A:$A,0)),JLRrates!$B:$B,0))=""),0,INDEX(JLRrates!$C:$C,MATCH(INDEX(Mapping!$C:$C,MATCH($A160,Mapping!$A:$A,0)),JLRrates!$B:$B,0))),0)</f>
        <v>0</v>
      </c>
      <c r="L160">
        <f>IFERROR(IF(OR(INDEX(Mapping!$C:$C,MATCH($A160,Mapping!$A:$A,0))="",INDEX(JLRrates!$D:$D,MATCH(INDEX(Mapping!$C:$C,MATCH($A160,Mapping!$A:$A,0)),JLRrates!$B:$B,0))=""),0,INDEX(JLRrates!$D:$D,MATCH(INDEX(Mapping!$C:$C,MATCH($A160,Mapping!$A:$A,0)),JLRrates!$B:$B,0))),0)</f>
        <v>0</v>
      </c>
    </row>
    <row r="161">
      <c r="A161" t="str">
        <v>mat-zamak5</v>
      </c>
      <c r="B161" t="str">
        <v>Zamak 5 (Zinc Die Cast, Hi-Strength)</v>
      </c>
      <c r="C161" t="str">
        <v>Zinc Die Cast</v>
      </c>
      <c r="D161">
        <f>IF($K161&gt;0,$K161,2.52)</f>
        <v>2.52</v>
      </c>
      <c r="E161">
        <f>IF($L161&gt;0,$L161,1.2)</f>
        <v>1.2</v>
      </c>
      <c r="F161">
        <v>6600</v>
      </c>
      <c r="G161" t="str">
        <v>UK</v>
      </c>
      <c r="H161" t="str">
        <v>2026-07</v>
      </c>
      <c r="I161" t="str">
        <v>Zamak 5 zinc alloy ingot, higher strength than Zamak 3. UK Jun 2026. Index-anchored 2026-07 (see CASTING PRICING BASIS).</v>
      </c>
      <c r="J161" t="str">
        <v>Medium</v>
      </c>
      <c r="K161">
        <f>IFERROR(IF(OR(INDEX(Mapping!$C:$C,MATCH($A161,Mapping!$A:$A,0))="",INDEX(JLRrates!$C:$C,MATCH(INDEX(Mapping!$C:$C,MATCH($A161,Mapping!$A:$A,0)),JLRrates!$B:$B,0))=""),0,INDEX(JLRrates!$C:$C,MATCH(INDEX(Mapping!$C:$C,MATCH($A161,Mapping!$A:$A,0)),JLRrates!$B:$B,0))),0)</f>
        <v>0</v>
      </c>
      <c r="L161">
        <f>IFERROR(IF(OR(INDEX(Mapping!$C:$C,MATCH($A161,Mapping!$A:$A,0))="",INDEX(JLRrates!$D:$D,MATCH(INDEX(Mapping!$C:$C,MATCH($A161,Mapping!$A:$A,0)),JLRrates!$B:$B,0))=""),0,INDEX(JLRrates!$D:$D,MATCH(INDEX(Mapping!$C:$C,MATCH($A161,Mapping!$A:$A,0)),JLRrates!$B:$B,0))),0)</f>
        <v>0</v>
      </c>
    </row>
    <row r="162">
      <c r="A162" t="str">
        <v>mat-gjs400</v>
      </c>
      <c r="B162" t="str">
        <v>EN-GJS-400-15 (Ductile Iron)</v>
      </c>
      <c r="C162" t="str">
        <v>Ductile Cast Iron</v>
      </c>
      <c r="D162">
        <f>IF($K162&gt;0,$K162,0.82)</f>
        <v>0.82</v>
      </c>
      <c r="E162">
        <f>IF($L162&gt;0,$L162,0.15)</f>
        <v>0.15</v>
      </c>
      <c r="F162">
        <v>7100</v>
      </c>
      <c r="G162" t="str">
        <v>UK</v>
      </c>
      <c r="H162" t="str">
        <v>2026-07</v>
      </c>
      <c r="I162" t="str">
        <v>Spheroidal graphite cast iron — highest volume casting material globally. UK foundry Jun 2026. Index-anchored 2026-07 (see CASTING PRICING BASIS).</v>
      </c>
      <c r="J162" t="str">
        <v>Low</v>
      </c>
      <c r="K162">
        <f>IFERROR(IF(OR(INDEX(Mapping!$C:$C,MATCH($A162,Mapping!$A:$A,0))="",INDEX(JLRrates!$C:$C,MATCH(INDEX(Mapping!$C:$C,MATCH($A162,Mapping!$A:$A,0)),JLRrates!$B:$B,0))=""),0,INDEX(JLRrates!$C:$C,MATCH(INDEX(Mapping!$C:$C,MATCH($A162,Mapping!$A:$A,0)),JLRrates!$B:$B,0))),0)</f>
        <v>0</v>
      </c>
      <c r="L162">
        <f>IFERROR(IF(OR(INDEX(Mapping!$C:$C,MATCH($A162,Mapping!$A:$A,0))="",INDEX(JLRrates!$D:$D,MATCH(INDEX(Mapping!$C:$C,MATCH($A162,Mapping!$A:$A,0)),JLRrates!$B:$B,0))=""),0,INDEX(JLRrates!$D:$D,MATCH(INDEX(Mapping!$C:$C,MATCH($A162,Mapping!$A:$A,0)),JLRrates!$B:$B,0))),0)</f>
        <v>0</v>
      </c>
    </row>
    <row r="163">
      <c r="A163" t="str">
        <v>mat-gjs600</v>
      </c>
      <c r="B163" t="str">
        <v>EN-GJS-600-3 (Ductile Iron Hi-Strength)</v>
      </c>
      <c r="C163" t="str">
        <v>Ductile Cast Iron</v>
      </c>
      <c r="D163">
        <f>IF($K163&gt;0,$K163,0.9)</f>
        <v>0.9</v>
      </c>
      <c r="E163">
        <f>IF($L163&gt;0,$L163,0.15)</f>
        <v>0.15</v>
      </c>
      <c r="F163">
        <v>7100</v>
      </c>
      <c r="G163" t="str">
        <v>UK</v>
      </c>
      <c r="H163" t="str">
        <v>2026-07</v>
      </c>
      <c r="I163" t="str">
        <v>High-strength ductile iron for crankshafts, diff housings. UK foundry Jun 2026. Index-anchored 2026-07 (see CASTING PRICING BASIS).</v>
      </c>
      <c r="J163" t="str">
        <v>Low</v>
      </c>
      <c r="K163">
        <f>IFERROR(IF(OR(INDEX(Mapping!$C:$C,MATCH($A163,Mapping!$A:$A,0))="",INDEX(JLRrates!$C:$C,MATCH(INDEX(Mapping!$C:$C,MATCH($A163,Mapping!$A:$A,0)),JLRrates!$B:$B,0))=""),0,INDEX(JLRrates!$C:$C,MATCH(INDEX(Mapping!$C:$C,MATCH($A163,Mapping!$A:$A,0)),JLRrates!$B:$B,0))),0)</f>
        <v>0</v>
      </c>
      <c r="L163">
        <f>IFERROR(IF(OR(INDEX(Mapping!$C:$C,MATCH($A163,Mapping!$A:$A,0))="",INDEX(JLRrates!$D:$D,MATCH(INDEX(Mapping!$C:$C,MATCH($A163,Mapping!$A:$A,0)),JLRrates!$B:$B,0))=""),0,INDEX(JLRrates!$D:$D,MATCH(INDEX(Mapping!$C:$C,MATCH($A163,Mapping!$A:$A,0)),JLRrates!$B:$B,0))),0)</f>
        <v>0</v>
      </c>
    </row>
    <row r="164">
      <c r="A164" t="str">
        <v>mat-aural5</v>
      </c>
      <c r="B164" t="str">
        <v>Aural-5 (AlSi9MnMg, Rheinfelden)</v>
      </c>
      <c r="C164" t="str">
        <v>Structural HPDC Aluminium</v>
      </c>
      <c r="D164">
        <f>IF($K164&gt;0,$K164,3.12)</f>
        <v>3.12</v>
      </c>
      <c r="E164">
        <f>IF($L164&gt;0,$L164,0.58)</f>
        <v>0.58</v>
      </c>
      <c r="F164">
        <v>2680</v>
      </c>
      <c r="G164" t="str">
        <v>UK</v>
      </c>
      <c r="H164" t="str">
        <v>2026-07</v>
      </c>
      <c r="I164" t="str">
        <v>Index-anchored 2026-07 (see CASTING PRICING BASIS). Ductile structural HPDC — shock towers, self-pierce-rivetable body nodes; T5/T7 heat treat.</v>
      </c>
      <c r="J164" t="str">
        <v>Medium</v>
      </c>
      <c r="K164">
        <f>IFERROR(IF(OR(INDEX(Mapping!$C:$C,MATCH($A164,Mapping!$A:$A,0))="",INDEX(JLRrates!$C:$C,MATCH(INDEX(Mapping!$C:$C,MATCH($A164,Mapping!$A:$A,0)),JLRrates!$B:$B,0))=""),0,INDEX(JLRrates!$C:$C,MATCH(INDEX(Mapping!$C:$C,MATCH($A164,Mapping!$A:$A,0)),JLRrates!$B:$B,0))),0)</f>
        <v>0</v>
      </c>
      <c r="L164">
        <f>IFERROR(IF(OR(INDEX(Mapping!$C:$C,MATCH($A164,Mapping!$A:$A,0))="",INDEX(JLRrates!$D:$D,MATCH(INDEX(Mapping!$C:$C,MATCH($A164,Mapping!$A:$A,0)),JLRrates!$B:$B,0))=""),0,INDEX(JLRrates!$D:$D,MATCH(INDEX(Mapping!$C:$C,MATCH($A164,Mapping!$A:$A,0)),JLRrates!$B:$B,0))),0)</f>
        <v>0</v>
      </c>
    </row>
    <row r="165">
      <c r="A165" t="str">
        <v>mat-silafont36</v>
      </c>
      <c r="B165" t="str">
        <v>Silafont-36 (AlSi10MnMg)</v>
      </c>
      <c r="C165" t="str">
        <v>Structural HPDC Aluminium</v>
      </c>
      <c r="D165">
        <f>IF($K165&gt;0,$K165,3.15)</f>
        <v>3.15</v>
      </c>
      <c r="E165">
        <f>IF($L165&gt;0,$L165,0.58)</f>
        <v>0.58</v>
      </c>
      <c r="F165">
        <v>2670</v>
      </c>
      <c r="G165" t="str">
        <v>UK</v>
      </c>
      <c r="H165" t="str">
        <v>2026-07</v>
      </c>
      <c r="I165" t="str">
        <v>Index-anchored 2026-07 (see CASTING PRICING BASIS). Crash-relevant structural HPDC — battery trays, longitudinal rails, megacastings; high elongation after T7.</v>
      </c>
      <c r="J165" t="str">
        <v>Medium</v>
      </c>
      <c r="K165">
        <f>IFERROR(IF(OR(INDEX(Mapping!$C:$C,MATCH($A165,Mapping!$A:$A,0))="",INDEX(JLRrates!$C:$C,MATCH(INDEX(Mapping!$C:$C,MATCH($A165,Mapping!$A:$A,0)),JLRrates!$B:$B,0))=""),0,INDEX(JLRrates!$C:$C,MATCH(INDEX(Mapping!$C:$C,MATCH($A165,Mapping!$A:$A,0)),JLRrates!$B:$B,0))),0)</f>
        <v>0</v>
      </c>
      <c r="L165">
        <f>IFERROR(IF(OR(INDEX(Mapping!$C:$C,MATCH($A165,Mapping!$A:$A,0))="",INDEX(JLRrates!$D:$D,MATCH(INDEX(Mapping!$C:$C,MATCH($A165,Mapping!$A:$A,0)),JLRrates!$B:$B,0))=""),0,INDEX(JLRrates!$D:$D,MATCH(INDEX(Mapping!$C:$C,MATCH($A165,Mapping!$A:$A,0)),JLRrates!$B:$B,0))),0)</f>
        <v>0</v>
      </c>
    </row>
    <row r="166">
      <c r="A166" t="str">
        <v>mat-castasil37</v>
      </c>
      <c r="B166" t="str">
        <v>Castasil-37 (AlSi9MnMoZr)</v>
      </c>
      <c r="C166" t="str">
        <v>Structural HPDC Aluminium</v>
      </c>
      <c r="D166">
        <f>IF($K166&gt;0,$K166,3.08)</f>
        <v>3.08</v>
      </c>
      <c r="E166">
        <f>IF($L166&gt;0,$L166,0.58)</f>
        <v>0.58</v>
      </c>
      <c r="F166">
        <v>2670</v>
      </c>
      <c r="G166" t="str">
        <v>UK</v>
      </c>
      <c r="H166" t="str">
        <v>2026-07</v>
      </c>
      <c r="I166" t="str">
        <v>Index-anchored 2026-07 (see CASTING PRICING BASIS). As-cast high-ductility HPDC needing no heat treatment — cross-car beams, structural brackets; dimensionally stable.</v>
      </c>
      <c r="J166" t="str">
        <v>Medium</v>
      </c>
      <c r="K166">
        <f>IFERROR(IF(OR(INDEX(Mapping!$C:$C,MATCH($A166,Mapping!$A:$A,0))="",INDEX(JLRrates!$C:$C,MATCH(INDEX(Mapping!$C:$C,MATCH($A166,Mapping!$A:$A,0)),JLRrates!$B:$B,0))=""),0,INDEX(JLRrates!$C:$C,MATCH(INDEX(Mapping!$C:$C,MATCH($A166,Mapping!$A:$A,0)),JLRrates!$B:$B,0))),0)</f>
        <v>0</v>
      </c>
      <c r="L166">
        <f>IFERROR(IF(OR(INDEX(Mapping!$C:$C,MATCH($A166,Mapping!$A:$A,0))="",INDEX(JLRrates!$D:$D,MATCH(INDEX(Mapping!$C:$C,MATCH($A166,Mapping!$A:$A,0)),JLRrates!$B:$B,0))=""),0,INDEX(JLRrates!$D:$D,MATCH(INDEX(Mapping!$C:$C,MATCH($A166,Mapping!$A:$A,0)),JLRrates!$B:$B,0))),0)</f>
        <v>0</v>
      </c>
    </row>
    <row r="167">
      <c r="A167" t="str">
        <v>mat-magsimal59</v>
      </c>
      <c r="B167" t="str">
        <v>Magsimal-59 (AlMg5Si2Mn)</v>
      </c>
      <c r="C167" t="str">
        <v>Structural HPDC Aluminium</v>
      </c>
      <c r="D167">
        <f>IF($K167&gt;0,$K167,3.22)</f>
        <v>3.22</v>
      </c>
      <c r="E167">
        <f>IF($L167&gt;0,$L167,0.58)</f>
        <v>0.58</v>
      </c>
      <c r="F167">
        <v>2650</v>
      </c>
      <c r="G167" t="str">
        <v>UK</v>
      </c>
      <c r="H167" t="str">
        <v>2026-07</v>
      </c>
      <c r="I167" t="str">
        <v>Index-anchored 2026-07 (see CASTING PRICING BASIS). High-strength/high-ductility as-cast HPDC — chassis nodes, suspension parts; excellent corrosion resistance.</v>
      </c>
      <c r="J167" t="str">
        <v>Medium</v>
      </c>
      <c r="K167">
        <f>IFERROR(IF(OR(INDEX(Mapping!$C:$C,MATCH($A167,Mapping!$A:$A,0))="",INDEX(JLRrates!$C:$C,MATCH(INDEX(Mapping!$C:$C,MATCH($A167,Mapping!$A:$A,0)),JLRrates!$B:$B,0))=""),0,INDEX(JLRrates!$C:$C,MATCH(INDEX(Mapping!$C:$C,MATCH($A167,Mapping!$A:$A,0)),JLRrates!$B:$B,0))),0)</f>
        <v>0</v>
      </c>
      <c r="L167">
        <f>IFERROR(IF(OR(INDEX(Mapping!$C:$C,MATCH($A167,Mapping!$A:$A,0))="",INDEX(JLRrates!$D:$D,MATCH(INDEX(Mapping!$C:$C,MATCH($A167,Mapping!$A:$A,0)),JLRrates!$B:$B,0))=""),0,INDEX(JLRrates!$D:$D,MATCH(INDEX(Mapping!$C:$C,MATCH($A167,Mapping!$A:$A,0)),JLRrates!$B:$B,0))),0)</f>
        <v>0</v>
      </c>
    </row>
    <row r="168">
      <c r="A168" t="str">
        <v>mat-al-hpdc-lowco2</v>
      </c>
      <c r="B168" t="str">
        <v>Low-CO₂ Recycled HPDC (AlSi10MnMg)</v>
      </c>
      <c r="C168" t="str">
        <v>Structural HPDC Aluminium</v>
      </c>
      <c r="D168">
        <f>IF($K168&gt;0,$K168,3.05)</f>
        <v>3.05</v>
      </c>
      <c r="E168">
        <f>IF($L168&gt;0,$L168,0.6)</f>
        <v>0.6</v>
      </c>
      <c r="F168">
        <v>2670</v>
      </c>
      <c r="G168" t="str">
        <v>UK</v>
      </c>
      <c r="H168" t="str">
        <v>2026-07</v>
      </c>
      <c r="I168" t="str">
        <v>Index-anchored 2026-07 (see CASTING PRICING BASIS). ≥75% recycled-content structural HPDC alloy — same mechanicals as Silafont, ~3–4 kg CO₂/kg vs ~8–20 for primary; OEM green-casting programmes.</v>
      </c>
      <c r="J168" t="str">
        <v>Low</v>
      </c>
      <c r="K168">
        <f>IFERROR(IF(OR(INDEX(Mapping!$C:$C,MATCH($A168,Mapping!$A:$A,0))="",INDEX(JLRrates!$C:$C,MATCH(INDEX(Mapping!$C:$C,MATCH($A168,Mapping!$A:$A,0)),JLRrates!$B:$B,0))=""),0,INDEX(JLRrates!$C:$C,MATCH(INDEX(Mapping!$C:$C,MATCH($A168,Mapping!$A:$A,0)),JLRrates!$B:$B,0))),0)</f>
        <v>0</v>
      </c>
      <c r="L168">
        <f>IFERROR(IF(OR(INDEX(Mapping!$C:$C,MATCH($A168,Mapping!$A:$A,0))="",INDEX(JLRrates!$D:$D,MATCH(INDEX(Mapping!$C:$C,MATCH($A168,Mapping!$A:$A,0)),JLRrates!$B:$B,0))=""),0,INDEX(JLRrates!$D:$D,MATCH(INDEX(Mapping!$C:$C,MATCH($A168,Mapping!$A:$A,0)),JLRrates!$B:$B,0))),0)</f>
        <v>0</v>
      </c>
    </row>
    <row r="169">
      <c r="A169" t="str">
        <v>mat-htf-gigacast</v>
      </c>
      <c r="B169" t="str">
        <v>Heat-Treat-Free Giga-Casting Alloy (Xiaomi Titan / Tesla-class)</v>
      </c>
      <c r="C169" t="str">
        <v>Structural HPDC Aluminium</v>
      </c>
      <c r="D169">
        <f>IF($K169&gt;0,$K169,3.35)</f>
        <v>3.35</v>
      </c>
      <c r="E169">
        <f>IF($L169&gt;0,$L169,0.6)</f>
        <v>0.6</v>
      </c>
      <c r="F169">
        <v>2680</v>
      </c>
      <c r="G169" t="str">
        <v>UK</v>
      </c>
      <c r="H169" t="str">
        <v>2026-07</v>
      </c>
      <c r="I169" t="str">
        <v>Index-anchored 2026-07 (see CASTING PRICING BASIS). Self-developed heat-treat-free AlSi(Mn)Mg family for single-piece rear/front-underbody megacastings on 6,000–9,000T+ giga-presses (Xiaomi "Titan Metal", Tesla HTF, BYD). As-cast ductility, no distortion-prone T7; represents the OEM self-alloyed class — override price with the actual supply quote.</v>
      </c>
      <c r="J169" t="str">
        <v>Low</v>
      </c>
      <c r="K169">
        <f>IFERROR(IF(OR(INDEX(Mapping!$C:$C,MATCH($A169,Mapping!$A:$A,0))="",INDEX(JLRrates!$C:$C,MATCH(INDEX(Mapping!$C:$C,MATCH($A169,Mapping!$A:$A,0)),JLRrates!$B:$B,0))=""),0,INDEX(JLRrates!$C:$C,MATCH(INDEX(Mapping!$C:$C,MATCH($A169,Mapping!$A:$A,0)),JLRrates!$B:$B,0))),0)</f>
        <v>0</v>
      </c>
      <c r="L169">
        <f>IFERROR(IF(OR(INDEX(Mapping!$C:$C,MATCH($A169,Mapping!$A:$A,0))="",INDEX(JLRrates!$D:$D,MATCH(INDEX(Mapping!$C:$C,MATCH($A169,Mapping!$A:$A,0)),JLRrates!$B:$B,0))=""),0,INDEX(JLRrates!$D:$D,MATCH(INDEX(Mapping!$C:$C,MATCH($A169,Mapping!$A:$A,0)),JLRrates!$B:$B,0))),0)</f>
        <v>0</v>
      </c>
    </row>
    <row r="170">
      <c r="A170" t="str">
        <v>mat-a413</v>
      </c>
      <c r="B170" t="str">
        <v>A413 / AlSi12 (Eutectic Die Cast)</v>
      </c>
      <c r="C170" t="str">
        <v>Die Cast Aluminium</v>
      </c>
      <c r="D170">
        <f>IF($K170&gt;0,$K170,2.8)</f>
        <v>2.8</v>
      </c>
      <c r="E170">
        <f>IF($L170&gt;0,$L170,0.54)</f>
        <v>0.54</v>
      </c>
      <c r="F170">
        <v>2660</v>
      </c>
      <c r="G170" t="str">
        <v>UK</v>
      </c>
      <c r="H170" t="str">
        <v>2026-07</v>
      </c>
      <c r="I170" t="str">
        <v>Index-anchored 2026-07 (see CASTING PRICING BASIS). Near-eutectic high-fluidity alloy — thin-wall pressure-tight housings, pump bodies, intricate die castings.</v>
      </c>
      <c r="J170" t="str">
        <v>Medium</v>
      </c>
      <c r="K170">
        <f>IFERROR(IF(OR(INDEX(Mapping!$C:$C,MATCH($A170,Mapping!$A:$A,0))="",INDEX(JLRrates!$C:$C,MATCH(INDEX(Mapping!$C:$C,MATCH($A170,Mapping!$A:$A,0)),JLRrates!$B:$B,0))=""),0,INDEX(JLRrates!$C:$C,MATCH(INDEX(Mapping!$C:$C,MATCH($A170,Mapping!$A:$A,0)),JLRrates!$B:$B,0))),0)</f>
        <v>0</v>
      </c>
      <c r="L170">
        <f>IFERROR(IF(OR(INDEX(Mapping!$C:$C,MATCH($A170,Mapping!$A:$A,0))="",INDEX(JLRrates!$D:$D,MATCH(INDEX(Mapping!$C:$C,MATCH($A170,Mapping!$A:$A,0)),JLRrates!$B:$B,0))=""),0,INDEX(JLRrates!$D:$D,MATCH(INDEX(Mapping!$C:$C,MATCH($A170,Mapping!$A:$A,0)),JLRrates!$B:$B,0))),0)</f>
        <v>0</v>
      </c>
    </row>
    <row r="171">
      <c r="A171" t="str">
        <v>mat-a319</v>
      </c>
      <c r="B171" t="str">
        <v>A319 / AlSi6Cu4</v>
      </c>
      <c r="C171" t="str">
        <v>Die Cast Aluminium</v>
      </c>
      <c r="D171">
        <f>IF($K171&gt;0,$K171,2.76)</f>
        <v>2.76</v>
      </c>
      <c r="E171">
        <f>IF($L171&gt;0,$L171,0.54)</f>
        <v>0.54</v>
      </c>
      <c r="F171">
        <v>2790</v>
      </c>
      <c r="G171" t="str">
        <v>UK</v>
      </c>
      <c r="H171" t="str">
        <v>2026-07</v>
      </c>
      <c r="I171" t="str">
        <v>Index-anchored 2026-07 (see CASTING PRICING BASIS). General-purpose Al-Si-Cu — sand/permanent-mould engine blocks, manifolds, cylinder heads; good machinability.</v>
      </c>
      <c r="J171" t="str">
        <v>Medium</v>
      </c>
      <c r="K171">
        <f>IFERROR(IF(OR(INDEX(Mapping!$C:$C,MATCH($A171,Mapping!$A:$A,0))="",INDEX(JLRrates!$C:$C,MATCH(INDEX(Mapping!$C:$C,MATCH($A171,Mapping!$A:$A,0)),JLRrates!$B:$B,0))=""),0,INDEX(JLRrates!$C:$C,MATCH(INDEX(Mapping!$C:$C,MATCH($A171,Mapping!$A:$A,0)),JLRrates!$B:$B,0))),0)</f>
        <v>0</v>
      </c>
      <c r="L171">
        <f>IFERROR(IF(OR(INDEX(Mapping!$C:$C,MATCH($A171,Mapping!$A:$A,0))="",INDEX(JLRrates!$D:$D,MATCH(INDEX(Mapping!$C:$C,MATCH($A171,Mapping!$A:$A,0)),JLRrates!$B:$B,0))=""),0,INDEX(JLRrates!$D:$D,MATCH(INDEX(Mapping!$C:$C,MATCH($A171,Mapping!$A:$A,0)),JLRrates!$B:$B,0))),0)</f>
        <v>0</v>
      </c>
    </row>
    <row r="172">
      <c r="A172" t="str">
        <v>mat-a390</v>
      </c>
      <c r="B172" t="str">
        <v>A390 / AlSi17Cu (Hypereutectic)</v>
      </c>
      <c r="C172" t="str">
        <v>Die Cast Aluminium</v>
      </c>
      <c r="D172">
        <f>IF($K172&gt;0,$K172,3.32)</f>
        <v>3.32</v>
      </c>
      <c r="E172">
        <f>IF($L172&gt;0,$L172,0.55)</f>
        <v>0.55</v>
      </c>
      <c r="F172">
        <v>2730</v>
      </c>
      <c r="G172" t="str">
        <v>UK</v>
      </c>
      <c r="H172" t="str">
        <v>2026-07</v>
      </c>
      <c r="I172" t="str">
        <v>Index-anchored 2026-07 (see CASTING PRICING BASIS). Hypereutectic wear-resistant alloy — compressor scrolls, pistons, cylinder liners; low CTE, high hardness.</v>
      </c>
      <c r="J172" t="str">
        <v>Medium</v>
      </c>
      <c r="K172">
        <f>IFERROR(IF(OR(INDEX(Mapping!$C:$C,MATCH($A172,Mapping!$A:$A,0))="",INDEX(JLRrates!$C:$C,MATCH(INDEX(Mapping!$C:$C,MATCH($A172,Mapping!$A:$A,0)),JLRrates!$B:$B,0))=""),0,INDEX(JLRrates!$C:$C,MATCH(INDEX(Mapping!$C:$C,MATCH($A172,Mapping!$A:$A,0)),JLRrates!$B:$B,0))),0)</f>
        <v>0</v>
      </c>
      <c r="L172">
        <f>IFERROR(IF(OR(INDEX(Mapping!$C:$C,MATCH($A172,Mapping!$A:$A,0))="",INDEX(JLRrates!$D:$D,MATCH(INDEX(Mapping!$C:$C,MATCH($A172,Mapping!$A:$A,0)),JLRrates!$B:$B,0))=""),0,INDEX(JLRrates!$D:$D,MATCH(INDEX(Mapping!$C:$C,MATCH($A172,Mapping!$A:$A,0)),JLRrates!$B:$B,0))),0)</f>
        <v>0</v>
      </c>
    </row>
    <row r="173">
      <c r="A173" t="str">
        <v>mat-a357</v>
      </c>
      <c r="B173" t="str">
        <v>A357 / AlSi7Mg0.6 (Premium T6)</v>
      </c>
      <c r="C173" t="str">
        <v>Gravity/Sand Aluminium</v>
      </c>
      <c r="D173">
        <f>IF($K173&gt;0,$K173,3.26)</f>
        <v>3.26</v>
      </c>
      <c r="E173">
        <f>IF($L173&gt;0,$L173,0.56)</f>
        <v>0.56</v>
      </c>
      <c r="F173">
        <v>2680</v>
      </c>
      <c r="G173" t="str">
        <v>UK</v>
      </c>
      <c r="H173" t="str">
        <v>2026-07</v>
      </c>
      <c r="I173" t="str">
        <v>Index-anchored 2026-07 (see CASTING PRICING BASIS). Premium high-integrity T6 alloy — aerospace structural, motorsport wheels, suspension uprights; HIP-capable.</v>
      </c>
      <c r="J173" t="str">
        <v>Medium</v>
      </c>
      <c r="K173">
        <f>IFERROR(IF(OR(INDEX(Mapping!$C:$C,MATCH($A173,Mapping!$A:$A,0))="",INDEX(JLRrates!$C:$C,MATCH(INDEX(Mapping!$C:$C,MATCH($A173,Mapping!$A:$A,0)),JLRrates!$B:$B,0))=""),0,INDEX(JLRrates!$C:$C,MATCH(INDEX(Mapping!$C:$C,MATCH($A173,Mapping!$A:$A,0)),JLRrates!$B:$B,0))),0)</f>
        <v>0</v>
      </c>
      <c r="L173">
        <f>IFERROR(IF(OR(INDEX(Mapping!$C:$C,MATCH($A173,Mapping!$A:$A,0))="",INDEX(JLRrates!$D:$D,MATCH(INDEX(Mapping!$C:$C,MATCH($A173,Mapping!$A:$A,0)),JLRrates!$B:$B,0))=""),0,INDEX(JLRrates!$D:$D,MATCH(INDEX(Mapping!$C:$C,MATCH($A173,Mapping!$A:$A,0)),JLRrates!$B:$B,0))),0)</f>
        <v>0</v>
      </c>
    </row>
    <row r="174">
      <c r="A174" t="str">
        <v>mat-gjl200</v>
      </c>
      <c r="B174" t="str">
        <v>EN-GJL-200 (Grey Iron)</v>
      </c>
      <c r="C174" t="str">
        <v>Grey Cast Iron</v>
      </c>
      <c r="D174">
        <f>IF($K174&gt;0,$K174,0.6)</f>
        <v>0.6</v>
      </c>
      <c r="E174">
        <f>IF($L174&gt;0,$L174,0.12)</f>
        <v>0.12</v>
      </c>
      <c r="F174">
        <v>7200</v>
      </c>
      <c r="G174" t="str">
        <v>UK</v>
      </c>
      <c r="H174" t="str">
        <v>2026-07</v>
      </c>
      <c r="I174" t="str">
        <v>Index-anchored 2026-07 (see CASTING PRICING BASIS). General-purpose grey iron — housings, covers, counterweights; good damping and machinability.</v>
      </c>
      <c r="J174" t="str">
        <v>Low</v>
      </c>
      <c r="K174">
        <f>IFERROR(IF(OR(INDEX(Mapping!$C:$C,MATCH($A174,Mapping!$A:$A,0))="",INDEX(JLRrates!$C:$C,MATCH(INDEX(Mapping!$C:$C,MATCH($A174,Mapping!$A:$A,0)),JLRrates!$B:$B,0))=""),0,INDEX(JLRrates!$C:$C,MATCH(INDEX(Mapping!$C:$C,MATCH($A174,Mapping!$A:$A,0)),JLRrates!$B:$B,0))),0)</f>
        <v>0</v>
      </c>
      <c r="L174">
        <f>IFERROR(IF(OR(INDEX(Mapping!$C:$C,MATCH($A174,Mapping!$A:$A,0))="",INDEX(JLRrates!$D:$D,MATCH(INDEX(Mapping!$C:$C,MATCH($A174,Mapping!$A:$A,0)),JLRrates!$B:$B,0))=""),0,INDEX(JLRrates!$D:$D,MATCH(INDEX(Mapping!$C:$C,MATCH($A174,Mapping!$A:$A,0)),JLRrates!$B:$B,0))),0)</f>
        <v>0</v>
      </c>
    </row>
    <row r="175">
      <c r="A175" t="str">
        <v>mat-gjl300</v>
      </c>
      <c r="B175" t="str">
        <v>EN-GJL-300 (Grey Iron Hi-Strength)</v>
      </c>
      <c r="C175" t="str">
        <v>Grey Cast Iron</v>
      </c>
      <c r="D175">
        <f>IF($K175&gt;0,$K175,0.7)</f>
        <v>0.7</v>
      </c>
      <c r="E175">
        <f>IF($L175&gt;0,$L175,0.12)</f>
        <v>0.12</v>
      </c>
      <c r="F175">
        <v>7200</v>
      </c>
      <c r="G175" t="str">
        <v>UK</v>
      </c>
      <c r="H175" t="str">
        <v>2026-07</v>
      </c>
      <c r="I175" t="str">
        <v>Index-anchored 2026-07 (see CASTING PRICING BASIS). Higher-strength grey iron — engine blocks, brake discs/drums, machine-tool structures.</v>
      </c>
      <c r="J175" t="str">
        <v>Low</v>
      </c>
      <c r="K175">
        <f>IFERROR(IF(OR(INDEX(Mapping!$C:$C,MATCH($A175,Mapping!$A:$A,0))="",INDEX(JLRrates!$C:$C,MATCH(INDEX(Mapping!$C:$C,MATCH($A175,Mapping!$A:$A,0)),JLRrates!$B:$B,0))=""),0,INDEX(JLRrates!$C:$C,MATCH(INDEX(Mapping!$C:$C,MATCH($A175,Mapping!$A:$A,0)),JLRrates!$B:$B,0))),0)</f>
        <v>0</v>
      </c>
      <c r="L175">
        <f>IFERROR(IF(OR(INDEX(Mapping!$C:$C,MATCH($A175,Mapping!$A:$A,0))="",INDEX(JLRrates!$D:$D,MATCH(INDEX(Mapping!$C:$C,MATCH($A175,Mapping!$A:$A,0)),JLRrates!$B:$B,0))=""),0,INDEX(JLRrates!$D:$D,MATCH(INDEX(Mapping!$C:$C,MATCH($A175,Mapping!$A:$A,0)),JLRrates!$B:$B,0))),0)</f>
        <v>0</v>
      </c>
    </row>
    <row r="176">
      <c r="A176" t="str">
        <v>mat-gjs500</v>
      </c>
      <c r="B176" t="str">
        <v>EN-GJS-500-7 (Ductile Iron)</v>
      </c>
      <c r="C176" t="str">
        <v>Ductile Cast Iron</v>
      </c>
      <c r="D176">
        <f>IF($K176&gt;0,$K176,0.86)</f>
        <v>0.86</v>
      </c>
      <c r="E176">
        <f>IF($L176&gt;0,$L176,0.15)</f>
        <v>0.15</v>
      </c>
      <c r="F176">
        <v>7100</v>
      </c>
      <c r="G176" t="str">
        <v>UK</v>
      </c>
      <c r="H176" t="str">
        <v>2026-07</v>
      </c>
      <c r="I176" t="str">
        <v>Index-anchored 2026-07 (see CASTING PRICING BASIS). Mid-grade ductile iron — steering knuckles, hubs, brackets; balance of strength and ductility.</v>
      </c>
      <c r="J176" t="str">
        <v>Low</v>
      </c>
      <c r="K176">
        <f>IFERROR(IF(OR(INDEX(Mapping!$C:$C,MATCH($A176,Mapping!$A:$A,0))="",INDEX(JLRrates!$C:$C,MATCH(INDEX(Mapping!$C:$C,MATCH($A176,Mapping!$A:$A,0)),JLRrates!$B:$B,0))=""),0,INDEX(JLRrates!$C:$C,MATCH(INDEX(Mapping!$C:$C,MATCH($A176,Mapping!$A:$A,0)),JLRrates!$B:$B,0))),0)</f>
        <v>0</v>
      </c>
      <c r="L176">
        <f>IFERROR(IF(OR(INDEX(Mapping!$C:$C,MATCH($A176,Mapping!$A:$A,0))="",INDEX(JLRrates!$D:$D,MATCH(INDEX(Mapping!$C:$C,MATCH($A176,Mapping!$A:$A,0)),JLRrates!$B:$B,0))=""),0,INDEX(JLRrates!$D:$D,MATCH(INDEX(Mapping!$C:$C,MATCH($A176,Mapping!$A:$A,0)),JLRrates!$B:$B,0))),0)</f>
        <v>0</v>
      </c>
    </row>
    <row r="177">
      <c r="A177" t="str">
        <v>mat-gjs700</v>
      </c>
      <c r="B177" t="str">
        <v>EN-GJS-700-2 (Ductile Iron Hi-Strength)</v>
      </c>
      <c r="C177" t="str">
        <v>Ductile Cast Iron</v>
      </c>
      <c r="D177">
        <f>IF($K177&gt;0,$K177,0.95)</f>
        <v>0.95</v>
      </c>
      <c r="E177">
        <f>IF($L177&gt;0,$L177,0.15)</f>
        <v>0.15</v>
      </c>
      <c r="F177">
        <v>7100</v>
      </c>
      <c r="G177" t="str">
        <v>UK</v>
      </c>
      <c r="H177" t="str">
        <v>2026-07</v>
      </c>
      <c r="I177" t="str">
        <v>Index-anchored 2026-07 (see CASTING PRICING BASIS). High-strength ductile iron — heavy-duty gears, crankshafts, hydraulic bodies.</v>
      </c>
      <c r="J177" t="str">
        <v>Low</v>
      </c>
      <c r="K177">
        <f>IFERROR(IF(OR(INDEX(Mapping!$C:$C,MATCH($A177,Mapping!$A:$A,0))="",INDEX(JLRrates!$C:$C,MATCH(INDEX(Mapping!$C:$C,MATCH($A177,Mapping!$A:$A,0)),JLRrates!$B:$B,0))=""),0,INDEX(JLRrates!$C:$C,MATCH(INDEX(Mapping!$C:$C,MATCH($A177,Mapping!$A:$A,0)),JLRrates!$B:$B,0))),0)</f>
        <v>0</v>
      </c>
      <c r="L177">
        <f>IFERROR(IF(OR(INDEX(Mapping!$C:$C,MATCH($A177,Mapping!$A:$A,0))="",INDEX(JLRrates!$D:$D,MATCH(INDEX(Mapping!$C:$C,MATCH($A177,Mapping!$A:$A,0)),JLRrates!$B:$B,0))=""),0,INDEX(JLRrates!$D:$D,MATCH(INDEX(Mapping!$C:$C,MATCH($A177,Mapping!$A:$A,0)),JLRrates!$B:$B,0))),0)</f>
        <v>0</v>
      </c>
    </row>
    <row r="178">
      <c r="A178" t="str">
        <v>mat-gjv450</v>
      </c>
      <c r="B178" t="str">
        <v>EN-GJV-450 (Compacted Graphite Iron)</v>
      </c>
      <c r="C178" t="str">
        <v>Compacted Graphite Iron</v>
      </c>
      <c r="D178">
        <f>IF($K178&gt;0,$K178,1.12)</f>
        <v>1.12</v>
      </c>
      <c r="E178">
        <f>IF($L178&gt;0,$L178,0.16)</f>
        <v>0.16</v>
      </c>
      <c r="F178">
        <v>7100</v>
      </c>
      <c r="G178" t="str">
        <v>UK</v>
      </c>
      <c r="H178" t="str">
        <v>2026-07</v>
      </c>
      <c r="I178" t="str">
        <v>Index-anchored 2026-07 (see CASTING PRICING BASIS). CGI — high-output diesel cylinder blocks/heads, exhaust manifolds; ~75% stronger than grey iron with better thermal fatigue.</v>
      </c>
      <c r="J178" t="str">
        <v>Low</v>
      </c>
      <c r="K178">
        <f>IFERROR(IF(OR(INDEX(Mapping!$C:$C,MATCH($A178,Mapping!$A:$A,0))="",INDEX(JLRrates!$C:$C,MATCH(INDEX(Mapping!$C:$C,MATCH($A178,Mapping!$A:$A,0)),JLRrates!$B:$B,0))=""),0,INDEX(JLRrates!$C:$C,MATCH(INDEX(Mapping!$C:$C,MATCH($A178,Mapping!$A:$A,0)),JLRrates!$B:$B,0))),0)</f>
        <v>0</v>
      </c>
      <c r="L178">
        <f>IFERROR(IF(OR(INDEX(Mapping!$C:$C,MATCH($A178,Mapping!$A:$A,0))="",INDEX(JLRrates!$D:$D,MATCH(INDEX(Mapping!$C:$C,MATCH($A178,Mapping!$A:$A,0)),JLRrates!$B:$B,0))=""),0,INDEX(JLRrates!$D:$D,MATCH(INDEX(Mapping!$C:$C,MATCH($A178,Mapping!$A:$A,0)),JLRrates!$B:$B,0))),0)</f>
        <v>0</v>
      </c>
    </row>
    <row r="179">
      <c r="A179" t="str">
        <v>mat-simo</v>
      </c>
      <c r="B179" t="str">
        <v>EN-GJS-SiMo (Heat-Resistant Ductile)</v>
      </c>
      <c r="C179" t="str">
        <v>Ductile Cast Iron</v>
      </c>
      <c r="D179">
        <f>IF($K179&gt;0,$K179,1.35)</f>
        <v>1.35</v>
      </c>
      <c r="E179">
        <f>IF($L179&gt;0,$L179,0.16)</f>
        <v>0.16</v>
      </c>
      <c r="F179">
        <v>7100</v>
      </c>
      <c r="G179" t="str">
        <v>UK</v>
      </c>
      <c r="H179" t="str">
        <v>2026-07</v>
      </c>
      <c r="I179" t="str">
        <v>Index-anchored 2026-07 (see CASTING PRICING BASIS). SiMo heat-resistant ductile iron — exhaust manifolds, turbocharger housings; stable to ~800°C.</v>
      </c>
      <c r="J179" t="str">
        <v>Low</v>
      </c>
      <c r="K179">
        <f>IFERROR(IF(OR(INDEX(Mapping!$C:$C,MATCH($A179,Mapping!$A:$A,0))="",INDEX(JLRrates!$C:$C,MATCH(INDEX(Mapping!$C:$C,MATCH($A179,Mapping!$A:$A,0)),JLRrates!$B:$B,0))=""),0,INDEX(JLRrates!$C:$C,MATCH(INDEX(Mapping!$C:$C,MATCH($A179,Mapping!$A:$A,0)),JLRrates!$B:$B,0))),0)</f>
        <v>0</v>
      </c>
      <c r="L179">
        <f>IFERROR(IF(OR(INDEX(Mapping!$C:$C,MATCH($A179,Mapping!$A:$A,0))="",INDEX(JLRrates!$D:$D,MATCH(INDEX(Mapping!$C:$C,MATCH($A179,Mapping!$A:$A,0)),JLRrates!$B:$B,0))=""),0,INDEX(JLRrates!$D:$D,MATCH(INDEX(Mapping!$C:$C,MATCH($A179,Mapping!$A:$A,0)),JLRrates!$B:$B,0))),0)</f>
        <v>0</v>
      </c>
    </row>
    <row r="180">
      <c r="A180" t="str">
        <v>mat-adi</v>
      </c>
      <c r="B180" t="str">
        <v>EN-GJS-800 ADI (Austempered Ductile Iron)</v>
      </c>
      <c r="C180" t="str">
        <v>Ductile Cast Iron</v>
      </c>
      <c r="D180">
        <f>IF($K180&gt;0,$K180,1.58)</f>
        <v>1.58</v>
      </c>
      <c r="E180">
        <f>IF($L180&gt;0,$L180,0.16)</f>
        <v>0.16</v>
      </c>
      <c r="F180">
        <v>7100</v>
      </c>
      <c r="G180" t="str">
        <v>UK</v>
      </c>
      <c r="H180" t="str">
        <v>2026-07</v>
      </c>
      <c r="I180" t="str">
        <v>Index-anchored 2026-07 (see CASTING PRICING BASIS). Austempered ductile iron — gears, crankshafts, suspension arms; steel-like strength at lower weight/cost, austempering heat-treat included.</v>
      </c>
      <c r="J180" t="str">
        <v>Low</v>
      </c>
      <c r="K180">
        <f>IFERROR(IF(OR(INDEX(Mapping!$C:$C,MATCH($A180,Mapping!$A:$A,0))="",INDEX(JLRrates!$C:$C,MATCH(INDEX(Mapping!$C:$C,MATCH($A180,Mapping!$A:$A,0)),JLRrates!$B:$B,0))=""),0,INDEX(JLRrates!$C:$C,MATCH(INDEX(Mapping!$C:$C,MATCH($A180,Mapping!$A:$A,0)),JLRrates!$B:$B,0))),0)</f>
        <v>0</v>
      </c>
      <c r="L180">
        <f>IFERROR(IF(OR(INDEX(Mapping!$C:$C,MATCH($A180,Mapping!$A:$A,0))="",INDEX(JLRrates!$D:$D,MATCH(INDEX(Mapping!$C:$C,MATCH($A180,Mapping!$A:$A,0)),JLRrates!$B:$B,0))=""),0,INDEX(JLRrates!$D:$D,MATCH(INDEX(Mapping!$C:$C,MATCH($A180,Mapping!$A:$A,0)),JLRrates!$B:$B,0))),0)</f>
        <v>0</v>
      </c>
    </row>
    <row r="181">
      <c r="A181" t="str">
        <v>mat-mag-am60</v>
      </c>
      <c r="B181" t="str">
        <v>AM60B Magnesium Die Cast</v>
      </c>
      <c r="C181" t="str">
        <v>Magnesium Alloy</v>
      </c>
      <c r="D181">
        <f>IF($K181&gt;0,$K181,3.85)</f>
        <v>3.85</v>
      </c>
      <c r="E181">
        <f>IF($L181&gt;0,$L181,0.8)</f>
        <v>0.8</v>
      </c>
      <c r="F181">
        <v>1800</v>
      </c>
      <c r="G181" t="str">
        <v>UK</v>
      </c>
      <c r="H181" t="str">
        <v>2026-07</v>
      </c>
      <c r="I181" t="str">
        <v>Index-anchored 2026-07 (see CASTING PRICING BASIS). High-ductility Mg — steering wheels, seat frames, instrument-panel beams; better elongation than AZ91.</v>
      </c>
      <c r="J181" t="str">
        <v>Low</v>
      </c>
      <c r="K181">
        <f>IFERROR(IF(OR(INDEX(Mapping!$C:$C,MATCH($A181,Mapping!$A:$A,0))="",INDEX(JLRrates!$C:$C,MATCH(INDEX(Mapping!$C:$C,MATCH($A181,Mapping!$A:$A,0)),JLRrates!$B:$B,0))=""),0,INDEX(JLRrates!$C:$C,MATCH(INDEX(Mapping!$C:$C,MATCH($A181,Mapping!$A:$A,0)),JLRrates!$B:$B,0))),0)</f>
        <v>0</v>
      </c>
      <c r="L181">
        <f>IFERROR(IF(OR(INDEX(Mapping!$C:$C,MATCH($A181,Mapping!$A:$A,0))="",INDEX(JLRrates!$D:$D,MATCH(INDEX(Mapping!$C:$C,MATCH($A181,Mapping!$A:$A,0)),JLRrates!$B:$B,0))=""),0,INDEX(JLRrates!$D:$D,MATCH(INDEX(Mapping!$C:$C,MATCH($A181,Mapping!$A:$A,0)),JLRrates!$B:$B,0))),0)</f>
        <v>0</v>
      </c>
    </row>
    <row r="182">
      <c r="A182" t="str">
        <v>mat-mag-am50</v>
      </c>
      <c r="B182" t="str">
        <v>AM50A Magnesium Die Cast</v>
      </c>
      <c r="C182" t="str">
        <v>Magnesium Alloy</v>
      </c>
      <c r="D182">
        <f>IF($K182&gt;0,$K182,3.9)</f>
        <v>3.9</v>
      </c>
      <c r="E182">
        <f>IF($L182&gt;0,$L182,0.8)</f>
        <v>0.8</v>
      </c>
      <c r="F182">
        <v>1770</v>
      </c>
      <c r="G182" t="str">
        <v>UK</v>
      </c>
      <c r="H182" t="str">
        <v>2026-07</v>
      </c>
      <c r="I182" t="str">
        <v>Index-anchored 2026-07 (see CASTING PRICING BASIS). Highest-ductility standard Mg die-cast alloy — safety-critical energy-absorbing structures, IP beams, brackets.</v>
      </c>
      <c r="J182" t="str">
        <v>Low</v>
      </c>
      <c r="K182">
        <f>IFERROR(IF(OR(INDEX(Mapping!$C:$C,MATCH($A182,Mapping!$A:$A,0))="",INDEX(JLRrates!$C:$C,MATCH(INDEX(Mapping!$C:$C,MATCH($A182,Mapping!$A:$A,0)),JLRrates!$B:$B,0))=""),0,INDEX(JLRrates!$C:$C,MATCH(INDEX(Mapping!$C:$C,MATCH($A182,Mapping!$A:$A,0)),JLRrates!$B:$B,0))),0)</f>
        <v>0</v>
      </c>
      <c r="L182">
        <f>IFERROR(IF(OR(INDEX(Mapping!$C:$C,MATCH($A182,Mapping!$A:$A,0))="",INDEX(JLRrates!$D:$D,MATCH(INDEX(Mapping!$C:$C,MATCH($A182,Mapping!$A:$A,0)),JLRrates!$B:$B,0))=""),0,INDEX(JLRrates!$D:$D,MATCH(INDEX(Mapping!$C:$C,MATCH($A182,Mapping!$A:$A,0)),JLRrates!$B:$B,0))),0)</f>
        <v>0</v>
      </c>
    </row>
    <row r="183">
      <c r="A183" t="str">
        <v>mat-mag-ae44</v>
      </c>
      <c r="B183" t="str">
        <v>AE44 Magnesium (Creep-Resistant)</v>
      </c>
      <c r="C183" t="str">
        <v>Magnesium Alloy</v>
      </c>
      <c r="D183">
        <f>IF($K183&gt;0,$K183,5.2)</f>
        <v>5.2</v>
      </c>
      <c r="E183">
        <f>IF($L183&gt;0,$L183,0.9)</f>
        <v>0.9</v>
      </c>
      <c r="F183">
        <v>1820</v>
      </c>
      <c r="G183" t="str">
        <v>UK</v>
      </c>
      <c r="H183" t="str">
        <v>2026-07</v>
      </c>
      <c r="I183" t="str">
        <v>Index-anchored 2026-07 (see CASTING PRICING BASIS). Rare-earth (Ce/La) creep-resistant Mg — powertrain, engine cradles, transmission cases at elevated temperature; RE adder over AZ/AM grades.</v>
      </c>
      <c r="J183" t="str">
        <v>Low</v>
      </c>
      <c r="K183">
        <f>IFERROR(IF(OR(INDEX(Mapping!$C:$C,MATCH($A183,Mapping!$A:$A,0))="",INDEX(JLRrates!$C:$C,MATCH(INDEX(Mapping!$C:$C,MATCH($A183,Mapping!$A:$A,0)),JLRrates!$B:$B,0))=""),0,INDEX(JLRrates!$C:$C,MATCH(INDEX(Mapping!$C:$C,MATCH($A183,Mapping!$A:$A,0)),JLRrates!$B:$B,0))),0)</f>
        <v>0</v>
      </c>
      <c r="L183">
        <f>IFERROR(IF(OR(INDEX(Mapping!$C:$C,MATCH($A183,Mapping!$A:$A,0))="",INDEX(JLRrates!$D:$D,MATCH(INDEX(Mapping!$C:$C,MATCH($A183,Mapping!$A:$A,0)),JLRrates!$B:$B,0))=""),0,INDEX(JLRrates!$D:$D,MATCH(INDEX(Mapping!$C:$C,MATCH($A183,Mapping!$A:$A,0)),JLRrates!$B:$B,0))),0)</f>
        <v>0</v>
      </c>
    </row>
    <row r="184">
      <c r="A184" t="str">
        <v>mat-za8</v>
      </c>
      <c r="B184" t="str">
        <v>ZA-8 (Zinc-Aluminium Die Cast)</v>
      </c>
      <c r="C184" t="str">
        <v>Zinc Die Cast</v>
      </c>
      <c r="D184">
        <f>IF($K184&gt;0,$K184,2.82)</f>
        <v>2.82</v>
      </c>
      <c r="E184">
        <f>IF($L184&gt;0,$L184,1.25)</f>
        <v>1.25</v>
      </c>
      <c r="F184">
        <v>6300</v>
      </c>
      <c r="G184" t="str">
        <v>UK</v>
      </c>
      <c r="H184" t="str">
        <v>2026-07</v>
      </c>
      <c r="I184" t="str">
        <v>Index-anchored 2026-07 (see CASTING PRICING BASIS). Hot-chamber ZA-8 — higher strength/creep than Zamak; hardware, gears, bushings.</v>
      </c>
      <c r="J184" t="str">
        <v>Low</v>
      </c>
      <c r="K184">
        <f>IFERROR(IF(OR(INDEX(Mapping!$C:$C,MATCH($A184,Mapping!$A:$A,0))="",INDEX(JLRrates!$C:$C,MATCH(INDEX(Mapping!$C:$C,MATCH($A184,Mapping!$A:$A,0)),JLRrates!$B:$B,0))=""),0,INDEX(JLRrates!$C:$C,MATCH(INDEX(Mapping!$C:$C,MATCH($A184,Mapping!$A:$A,0)),JLRrates!$B:$B,0))),0)</f>
        <v>0</v>
      </c>
      <c r="L184">
        <f>IFERROR(IF(OR(INDEX(Mapping!$C:$C,MATCH($A184,Mapping!$A:$A,0))="",INDEX(JLRrates!$D:$D,MATCH(INDEX(Mapping!$C:$C,MATCH($A184,Mapping!$A:$A,0)),JLRrates!$B:$B,0))=""),0,INDEX(JLRrates!$D:$D,MATCH(INDEX(Mapping!$C:$C,MATCH($A184,Mapping!$A:$A,0)),JLRrates!$B:$B,0))),0)</f>
        <v>0</v>
      </c>
    </row>
    <row r="185">
      <c r="A185" t="str">
        <v>mat-za27</v>
      </c>
      <c r="B185" t="str">
        <v>ZA-27 (High-Strength Zinc-Aluminium)</v>
      </c>
      <c r="C185" t="str">
        <v>Zinc Die Cast</v>
      </c>
      <c r="D185">
        <f>IF($K185&gt;0,$K185,3.1)</f>
        <v>3.1</v>
      </c>
      <c r="E185">
        <f>IF($L185&gt;0,$L185,1.15)</f>
        <v>1.15</v>
      </c>
      <c r="F185">
        <v>5000</v>
      </c>
      <c r="G185" t="str">
        <v>UK</v>
      </c>
      <c r="H185" t="str">
        <v>2026-07</v>
      </c>
      <c r="I185" t="str">
        <v>Index-anchored 2026-07 (see CASTING PRICING BASIS). Highest-strength ZA alloy — bronze-replacement bearings, high-load gravity/sand castings; lower density than Zamak.</v>
      </c>
      <c r="J185" t="str">
        <v>Low</v>
      </c>
      <c r="K185">
        <f>IFERROR(IF(OR(INDEX(Mapping!$C:$C,MATCH($A185,Mapping!$A:$A,0))="",INDEX(JLRrates!$C:$C,MATCH(INDEX(Mapping!$C:$C,MATCH($A185,Mapping!$A:$A,0)),JLRrates!$B:$B,0))=""),0,INDEX(JLRrates!$C:$C,MATCH(INDEX(Mapping!$C:$C,MATCH($A185,Mapping!$A:$A,0)),JLRrates!$B:$B,0))),0)</f>
        <v>0</v>
      </c>
      <c r="L185">
        <f>IFERROR(IF(OR(INDEX(Mapping!$C:$C,MATCH($A185,Mapping!$A:$A,0))="",INDEX(JLRrates!$D:$D,MATCH(INDEX(Mapping!$C:$C,MATCH($A185,Mapping!$A:$A,0)),JLRrates!$B:$B,0))=""),0,INDEX(JLRrates!$D:$D,MATCH(INDEX(Mapping!$C:$C,MATCH($A185,Mapping!$A:$A,0)),JLRrates!$B:$B,0))),0)</f>
        <v>0</v>
      </c>
    </row>
    <row r="186">
      <c r="A186" t="str">
        <v>mat-gs-c25</v>
      </c>
      <c r="B186" t="str">
        <v>GS-C25 (Cast Carbon Steel)</v>
      </c>
      <c r="C186" t="str">
        <v>Cast Carbon Steel</v>
      </c>
      <c r="D186">
        <f>IF($K186&gt;0,$K186,2.1)</f>
        <v>2.1</v>
      </c>
      <c r="E186">
        <f>IF($L186&gt;0,$L186,0.28)</f>
        <v>0.28</v>
      </c>
      <c r="F186">
        <v>7850</v>
      </c>
      <c r="G186" t="str">
        <v>UK</v>
      </c>
      <c r="H186" t="str">
        <v>2026-07</v>
      </c>
      <c r="I186" t="str">
        <v>Index-anchored 2026-07 (see CASTING PRICING BASIS). General-purpose cast carbon steel — structural brackets, valve bodies, machine frames; weldable, machinable.</v>
      </c>
      <c r="J186" t="str">
        <v>Low</v>
      </c>
      <c r="K186">
        <f>IFERROR(IF(OR(INDEX(Mapping!$C:$C,MATCH($A186,Mapping!$A:$A,0))="",INDEX(JLRrates!$C:$C,MATCH(INDEX(Mapping!$C:$C,MATCH($A186,Mapping!$A:$A,0)),JLRrates!$B:$B,0))=""),0,INDEX(JLRrates!$C:$C,MATCH(INDEX(Mapping!$C:$C,MATCH($A186,Mapping!$A:$A,0)),JLRrates!$B:$B,0))),0)</f>
        <v>0</v>
      </c>
      <c r="L186">
        <f>IFERROR(IF(OR(INDEX(Mapping!$C:$C,MATCH($A186,Mapping!$A:$A,0))="",INDEX(JLRrates!$D:$D,MATCH(INDEX(Mapping!$C:$C,MATCH($A186,Mapping!$A:$A,0)),JLRrates!$B:$B,0))=""),0,INDEX(JLRrates!$D:$D,MATCH(INDEX(Mapping!$C:$C,MATCH($A186,Mapping!$A:$A,0)),JLRrates!$B:$B,0))),0)</f>
        <v>0</v>
      </c>
    </row>
    <row r="187">
      <c r="A187" t="str">
        <v>mat-17-4ph-cast</v>
      </c>
      <c r="B187" t="str">
        <v>17-4PH (Investment Cast Stainless)</v>
      </c>
      <c r="C187" t="str">
        <v>Cast Stainless Steel</v>
      </c>
      <c r="D187">
        <f>IF($K187&gt;0,$K187,9.5)</f>
        <v>9.5</v>
      </c>
      <c r="E187">
        <f>IF($L187&gt;0,$L187,1.5)</f>
        <v>1.5</v>
      </c>
      <c r="F187">
        <v>7800</v>
      </c>
      <c r="G187" t="str">
        <v>UK</v>
      </c>
      <c r="H187" t="str">
        <v>2026-07</v>
      </c>
      <c r="I187" t="str">
        <v>Index-anchored 2026-07 (see CASTING PRICING BASIS). Precipitation-hardening martensitic stainless investment casting — pump/valve internals, aerospace fittings, high strength + corrosion resistance.</v>
      </c>
      <c r="J187" t="str">
        <v>Low</v>
      </c>
      <c r="K187">
        <f>IFERROR(IF(OR(INDEX(Mapping!$C:$C,MATCH($A187,Mapping!$A:$A,0))="",INDEX(JLRrates!$C:$C,MATCH(INDEX(Mapping!$C:$C,MATCH($A187,Mapping!$A:$A,0)),JLRrates!$B:$B,0))=""),0,INDEX(JLRrates!$C:$C,MATCH(INDEX(Mapping!$C:$C,MATCH($A187,Mapping!$A:$A,0)),JLRrates!$B:$B,0))),0)</f>
        <v>0</v>
      </c>
      <c r="L187">
        <f>IFERROR(IF(OR(INDEX(Mapping!$C:$C,MATCH($A187,Mapping!$A:$A,0))="",INDEX(JLRrates!$D:$D,MATCH(INDEX(Mapping!$C:$C,MATCH($A187,Mapping!$A:$A,0)),JLRrates!$B:$B,0))=""),0,INDEX(JLRrates!$D:$D,MATCH(INDEX(Mapping!$C:$C,MATCH($A187,Mapping!$A:$A,0)),JLRrates!$B:$B,0))),0)</f>
        <v>0</v>
      </c>
    </row>
    <row r="188">
      <c r="A188" t="str">
        <v>mat-inconel718-cast</v>
      </c>
      <c r="B188" t="str">
        <v>Inconel 718 (Investment Cast Superalloy)</v>
      </c>
      <c r="C188" t="str">
        <v>Nickel Superalloy Casting</v>
      </c>
      <c r="D188">
        <f>IF($K188&gt;0,$K188,42)</f>
        <v>42</v>
      </c>
      <c r="E188">
        <f>IF($L188&gt;0,$L188,8)</f>
        <v>8</v>
      </c>
      <c r="F188">
        <v>8190</v>
      </c>
      <c r="G188" t="str">
        <v>UK</v>
      </c>
      <c r="H188" t="str">
        <v>2026-07</v>
      </c>
      <c r="I188" t="str">
        <v>Index-anchored 2026-07 (see CASTING PRICING BASIS). Ni-Cr-Fe superalloy investment casting — turbine/hot-section, high-temperature structural; nickel + cobalt dominated, low casting yield.</v>
      </c>
      <c r="J188" t="str">
        <v>Low</v>
      </c>
      <c r="K188">
        <f>IFERROR(IF(OR(INDEX(Mapping!$C:$C,MATCH($A188,Mapping!$A:$A,0))="",INDEX(JLRrates!$C:$C,MATCH(INDEX(Mapping!$C:$C,MATCH($A188,Mapping!$A:$A,0)),JLRrates!$B:$B,0))=""),0,INDEX(JLRrates!$C:$C,MATCH(INDEX(Mapping!$C:$C,MATCH($A188,Mapping!$A:$A,0)),JLRrates!$B:$B,0))),0)</f>
        <v>0</v>
      </c>
      <c r="L188">
        <f>IFERROR(IF(OR(INDEX(Mapping!$C:$C,MATCH($A188,Mapping!$A:$A,0))="",INDEX(JLRrates!$D:$D,MATCH(INDEX(Mapping!$C:$C,MATCH($A188,Mapping!$A:$A,0)),JLRrates!$B:$B,0))=""),0,INDEX(JLRrates!$D:$D,MATCH(INDEX(Mapping!$C:$C,MATCH($A188,Mapping!$A:$A,0)),JLRrates!$B:$B,0))),0)</f>
        <v>0</v>
      </c>
    </row>
    <row r="189">
      <c r="A189" t="str">
        <v>mat-steel1020</v>
      </c>
      <c r="B189" t="str">
        <v>1020 / S20C</v>
      </c>
      <c r="C189" t="str">
        <v>Carbon Steel Billet</v>
      </c>
      <c r="D189">
        <f>IF($K189&gt;0,$K189,0.82)</f>
        <v>0.82</v>
      </c>
      <c r="E189">
        <f>IF($L189&gt;0,$L189,0.19)</f>
        <v>0.19</v>
      </c>
      <c r="F189">
        <v>7850</v>
      </c>
      <c r="G189" t="str">
        <v>UK</v>
      </c>
      <c r="H189" t="str">
        <v>2026-07</v>
      </c>
      <c r="I189" t="str">
        <v>UK steel billet, Jun 2026. Index-anchored 2026-07 (see FORGING PRICING BASIS).</v>
      </c>
      <c r="J189" t="str">
        <v>Medium</v>
      </c>
      <c r="K189">
        <f>IFERROR(IF(OR(INDEX(Mapping!$C:$C,MATCH($A189,Mapping!$A:$A,0))="",INDEX(JLRrates!$C:$C,MATCH(INDEX(Mapping!$C:$C,MATCH($A189,Mapping!$A:$A,0)),JLRrates!$B:$B,0))=""),0,INDEX(JLRrates!$C:$C,MATCH(INDEX(Mapping!$C:$C,MATCH($A189,Mapping!$A:$A,0)),JLRrates!$B:$B,0))),0)</f>
        <v>0</v>
      </c>
      <c r="L189">
        <f>IFERROR(IF(OR(INDEX(Mapping!$C:$C,MATCH($A189,Mapping!$A:$A,0))="",INDEX(JLRrates!$D:$D,MATCH(INDEX(Mapping!$C:$C,MATCH($A189,Mapping!$A:$A,0)),JLRrates!$B:$B,0))=""),0,INDEX(JLRrates!$D:$D,MATCH(INDEX(Mapping!$C:$C,MATCH($A189,Mapping!$A:$A,0)),JLRrates!$B:$B,0))),0)</f>
        <v>0</v>
      </c>
    </row>
    <row r="190">
      <c r="A190" t="str">
        <v>mat-steel4340</v>
      </c>
      <c r="B190" t="str">
        <v>4340 / 40NiCrMo22 / EN24 (Ni-Cr-Mo Alloy Steel)</v>
      </c>
      <c r="C190" t="str">
        <v>Alloy Steel Billet</v>
      </c>
      <c r="D190">
        <f>IF($K190&gt;0,$K190,1.45)</f>
        <v>1.45</v>
      </c>
      <c r="E190">
        <f>IF($L190&gt;0,$L190,0.22)</f>
        <v>0.22</v>
      </c>
      <c r="F190">
        <v>7850</v>
      </c>
      <c r="G190" t="str">
        <v>UK</v>
      </c>
      <c r="H190" t="str">
        <v>2026-07</v>
      </c>
      <c r="I190" t="str">
        <v>UK alloy billet, Jun 2026. Index-anchored 2026-07 (see FORGING PRICING BASIS).</v>
      </c>
      <c r="J190" t="str">
        <v>Medium</v>
      </c>
      <c r="K190">
        <f>IFERROR(IF(OR(INDEX(Mapping!$C:$C,MATCH($A190,Mapping!$A:$A,0))="",INDEX(JLRrates!$C:$C,MATCH(INDEX(Mapping!$C:$C,MATCH($A190,Mapping!$A:$A,0)),JLRrates!$B:$B,0))=""),0,INDEX(JLRrates!$C:$C,MATCH(INDEX(Mapping!$C:$C,MATCH($A190,Mapping!$A:$A,0)),JLRrates!$B:$B,0))),0)</f>
        <v>0</v>
      </c>
      <c r="L190">
        <f>IFERROR(IF(OR(INDEX(Mapping!$C:$C,MATCH($A190,Mapping!$A:$A,0))="",INDEX(JLRrates!$D:$D,MATCH(INDEX(Mapping!$C:$C,MATCH($A190,Mapping!$A:$A,0)),JLRrates!$B:$B,0))=""),0,INDEX(JLRrates!$D:$D,MATCH(INDEX(Mapping!$C:$C,MATCH($A190,Mapping!$A:$A,0)),JLRrates!$B:$B,0))),0)</f>
        <v>0</v>
      </c>
    </row>
    <row r="191">
      <c r="A191" t="str">
        <v>mat-steel1141</v>
      </c>
      <c r="B191" t="str">
        <v>1141 / 1144 (Free-Machining)</v>
      </c>
      <c r="C191" t="str">
        <v>Carbon Steel Billet</v>
      </c>
      <c r="D191">
        <f>IF($K191&gt;0,$K191,1.05)</f>
        <v>1.05</v>
      </c>
      <c r="E191">
        <f>IF($L191&gt;0,$L191,0.19)</f>
        <v>0.19</v>
      </c>
      <c r="F191">
        <v>7850</v>
      </c>
      <c r="G191" t="str">
        <v>UK</v>
      </c>
      <c r="H191" t="str">
        <v>2026-07</v>
      </c>
      <c r="I191" t="str">
        <v>Index-anchored 2026-07 (see FORGING PRICING BASIS). Resulphurised free-machining carbon steel — high-volume machined forgings, studs, couplings.</v>
      </c>
      <c r="J191" t="str">
        <v>Medium</v>
      </c>
      <c r="K191">
        <f>IFERROR(IF(OR(INDEX(Mapping!$C:$C,MATCH($A191,Mapping!$A:$A,0))="",INDEX(JLRrates!$C:$C,MATCH(INDEX(Mapping!$C:$C,MATCH($A191,Mapping!$A:$A,0)),JLRrates!$B:$B,0))=""),0,INDEX(JLRrates!$C:$C,MATCH(INDEX(Mapping!$C:$C,MATCH($A191,Mapping!$A:$A,0)),JLRrates!$B:$B,0))),0)</f>
        <v>0</v>
      </c>
      <c r="L191">
        <f>IFERROR(IF(OR(INDEX(Mapping!$C:$C,MATCH($A191,Mapping!$A:$A,0))="",INDEX(JLRrates!$D:$D,MATCH(INDEX(Mapping!$C:$C,MATCH($A191,Mapping!$A:$A,0)),JLRrates!$B:$B,0))=""),0,INDEX(JLRrates!$D:$D,MATCH(INDEX(Mapping!$C:$C,MATCH($A191,Mapping!$A:$A,0)),JLRrates!$B:$B,0))),0)</f>
        <v>0</v>
      </c>
    </row>
    <row r="192">
      <c r="A192" t="str">
        <v>mat-steel-38mnvs6</v>
      </c>
      <c r="B192" t="str">
        <v>38MnVS6 (Microalloyed)</v>
      </c>
      <c r="C192" t="str">
        <v>Microalloyed Steel Billet</v>
      </c>
      <c r="D192">
        <f>IF($K192&gt;0,$K192,1.15)</f>
        <v>1.15</v>
      </c>
      <c r="E192">
        <f>IF($L192&gt;0,$L192,0.2)</f>
        <v>0.2</v>
      </c>
      <c r="F192">
        <v>7850</v>
      </c>
      <c r="G192" t="str">
        <v>UK</v>
      </c>
      <c r="H192" t="str">
        <v>2026-07</v>
      </c>
      <c r="I192" t="str">
        <v>Index-anchored 2026-07 (see FORGING PRICING BASIS). Air-hardening V-microalloyed steel — con-rods, crankshafts; controlled-cooled from forge heat, no separate Q&amp;T.</v>
      </c>
      <c r="J192" t="str">
        <v>Medium</v>
      </c>
      <c r="K192">
        <f>IFERROR(IF(OR(INDEX(Mapping!$C:$C,MATCH($A192,Mapping!$A:$A,0))="",INDEX(JLRrates!$C:$C,MATCH(INDEX(Mapping!$C:$C,MATCH($A192,Mapping!$A:$A,0)),JLRrates!$B:$B,0))=""),0,INDEX(JLRrates!$C:$C,MATCH(INDEX(Mapping!$C:$C,MATCH($A192,Mapping!$A:$A,0)),JLRrates!$B:$B,0))),0)</f>
        <v>0</v>
      </c>
      <c r="L192">
        <f>IFERROR(IF(OR(INDEX(Mapping!$C:$C,MATCH($A192,Mapping!$A:$A,0))="",INDEX(JLRrates!$D:$D,MATCH(INDEX(Mapping!$C:$C,MATCH($A192,Mapping!$A:$A,0)),JLRrates!$B:$B,0))=""),0,INDEX(JLRrates!$D:$D,MATCH(INDEX(Mapping!$C:$C,MATCH($A192,Mapping!$A:$A,0)),JLRrates!$B:$B,0))),0)</f>
        <v>0</v>
      </c>
    </row>
    <row r="193">
      <c r="A193" t="str">
        <v>mat-steel4130</v>
      </c>
      <c r="B193" t="str">
        <v>4130 / 25CrMo4</v>
      </c>
      <c r="C193" t="str">
        <v>Alloy Steel Billet</v>
      </c>
      <c r="D193">
        <f>IF($K193&gt;0,$K193,1.6)</f>
        <v>1.6</v>
      </c>
      <c r="E193">
        <f>IF($L193&gt;0,$L193,0.22)</f>
        <v>0.22</v>
      </c>
      <c r="F193">
        <v>7850</v>
      </c>
      <c r="G193" t="str">
        <v>UK</v>
      </c>
      <c r="H193" t="str">
        <v>2026-07</v>
      </c>
      <c r="I193" t="str">
        <v>Index-anchored 2026-07 (see FORGING PRICING BASIS). Weldable chromoly — aerospace/pressure fittings, tube-and-node structures.</v>
      </c>
      <c r="J193" t="str">
        <v>Medium</v>
      </c>
      <c r="K193">
        <f>IFERROR(IF(OR(INDEX(Mapping!$C:$C,MATCH($A193,Mapping!$A:$A,0))="",INDEX(JLRrates!$C:$C,MATCH(INDEX(Mapping!$C:$C,MATCH($A193,Mapping!$A:$A,0)),JLRrates!$B:$B,0))=""),0,INDEX(JLRrates!$C:$C,MATCH(INDEX(Mapping!$C:$C,MATCH($A193,Mapping!$A:$A,0)),JLRrates!$B:$B,0))),0)</f>
        <v>0</v>
      </c>
      <c r="L193">
        <f>IFERROR(IF(OR(INDEX(Mapping!$C:$C,MATCH($A193,Mapping!$A:$A,0))="",INDEX(JLRrates!$D:$D,MATCH(INDEX(Mapping!$C:$C,MATCH($A193,Mapping!$A:$A,0)),JLRrates!$B:$B,0))=""),0,INDEX(JLRrates!$D:$D,MATCH(INDEX(Mapping!$C:$C,MATCH($A193,Mapping!$A:$A,0)),JLRrates!$B:$B,0))),0)</f>
        <v>0</v>
      </c>
    </row>
    <row r="194">
      <c r="A194" t="str">
        <v>mat-steel8620</v>
      </c>
      <c r="B194" t="str">
        <v>8620 (Case-Hardening)</v>
      </c>
      <c r="C194" t="str">
        <v>Alloy Steel Billet</v>
      </c>
      <c r="D194">
        <f>IF($K194&gt;0,$K194,1.5)</f>
        <v>1.5</v>
      </c>
      <c r="E194">
        <f>IF($L194&gt;0,$L194,0.22)</f>
        <v>0.22</v>
      </c>
      <c r="F194">
        <v>7850</v>
      </c>
      <c r="G194" t="str">
        <v>UK</v>
      </c>
      <c r="H194" t="str">
        <v>2026-07</v>
      </c>
      <c r="I194" t="str">
        <v>Index-anchored 2026-07 (see FORGING PRICING BASIS). Carburising gear steel — pinions, ring gears, bearings; tough core + hard case.</v>
      </c>
      <c r="J194" t="str">
        <v>Medium</v>
      </c>
      <c r="K194">
        <f>IFERROR(IF(OR(INDEX(Mapping!$C:$C,MATCH($A194,Mapping!$A:$A,0))="",INDEX(JLRrates!$C:$C,MATCH(INDEX(Mapping!$C:$C,MATCH($A194,Mapping!$A:$A,0)),JLRrates!$B:$B,0))=""),0,INDEX(JLRrates!$C:$C,MATCH(INDEX(Mapping!$C:$C,MATCH($A194,Mapping!$A:$A,0)),JLRrates!$B:$B,0))),0)</f>
        <v>0</v>
      </c>
      <c r="L194">
        <f>IFERROR(IF(OR(INDEX(Mapping!$C:$C,MATCH($A194,Mapping!$A:$A,0))="",INDEX(JLRrates!$D:$D,MATCH(INDEX(Mapping!$C:$C,MATCH($A194,Mapping!$A:$A,0)),JLRrates!$B:$B,0))=""),0,INDEX(JLRrates!$D:$D,MATCH(INDEX(Mapping!$C:$C,MATCH($A194,Mapping!$A:$A,0)),JLRrates!$B:$B,0))),0)</f>
        <v>0</v>
      </c>
    </row>
    <row r="195">
      <c r="A195" t="str">
        <v>mat-steel-20mncr5</v>
      </c>
      <c r="B195" t="str">
        <v>20MnCr5 (Gear Steel)</v>
      </c>
      <c r="C195" t="str">
        <v>Alloy Steel Billet</v>
      </c>
      <c r="D195">
        <f>IF($K195&gt;0,$K195,1.48)</f>
        <v>1.48</v>
      </c>
      <c r="E195">
        <f>IF($L195&gt;0,$L195,0.22)</f>
        <v>0.22</v>
      </c>
      <c r="F195">
        <v>7850</v>
      </c>
      <c r="G195" t="str">
        <v>UK</v>
      </c>
      <c r="H195" t="str">
        <v>2026-07</v>
      </c>
      <c r="I195" t="str">
        <v>Index-anchored 2026-07 (see FORGING PRICING BASIS). European case-hardening gear steel — transmission gears, shafts; excellent hardenability and grain control.</v>
      </c>
      <c r="J195" t="str">
        <v>Medium</v>
      </c>
      <c r="K195">
        <f>IFERROR(IF(OR(INDEX(Mapping!$C:$C,MATCH($A195,Mapping!$A:$A,0))="",INDEX(JLRrates!$C:$C,MATCH(INDEX(Mapping!$C:$C,MATCH($A195,Mapping!$A:$A,0)),JLRrates!$B:$B,0))=""),0,INDEX(JLRrates!$C:$C,MATCH(INDEX(Mapping!$C:$C,MATCH($A195,Mapping!$A:$A,0)),JLRrates!$B:$B,0))),0)</f>
        <v>0</v>
      </c>
      <c r="L195">
        <f>IFERROR(IF(OR(INDEX(Mapping!$C:$C,MATCH($A195,Mapping!$A:$A,0))="",INDEX(JLRrates!$D:$D,MATCH(INDEX(Mapping!$C:$C,MATCH($A195,Mapping!$A:$A,0)),JLRrates!$B:$B,0))=""),0,INDEX(JLRrates!$D:$D,MATCH(INDEX(Mapping!$C:$C,MATCH($A195,Mapping!$A:$A,0)),JLRrates!$B:$B,0))),0)</f>
        <v>0</v>
      </c>
    </row>
    <row r="196">
      <c r="A196" t="str">
        <v>mat-steel-52100</v>
      </c>
      <c r="B196" t="str">
        <v>52100 / 100Cr6 (Bearing Steel)</v>
      </c>
      <c r="C196" t="str">
        <v>Alloy Steel Billet</v>
      </c>
      <c r="D196">
        <f>IF($K196&gt;0,$K196,1.7)</f>
        <v>1.7</v>
      </c>
      <c r="E196">
        <f>IF($L196&gt;0,$L196,0.22)</f>
        <v>0.22</v>
      </c>
      <c r="F196">
        <v>7810</v>
      </c>
      <c r="G196" t="str">
        <v>UK</v>
      </c>
      <c r="H196" t="str">
        <v>2026-07</v>
      </c>
      <c r="I196" t="str">
        <v>Index-anchored 2026-07 (see FORGING PRICING BASIS). High-carbon chromium bearing steel — rings, rollers, races; clean, through-hardening.</v>
      </c>
      <c r="J196" t="str">
        <v>Medium</v>
      </c>
      <c r="K196">
        <f>IFERROR(IF(OR(INDEX(Mapping!$C:$C,MATCH($A196,Mapping!$A:$A,0))="",INDEX(JLRrates!$C:$C,MATCH(INDEX(Mapping!$C:$C,MATCH($A196,Mapping!$A:$A,0)),JLRrates!$B:$B,0))=""),0,INDEX(JLRrates!$C:$C,MATCH(INDEX(Mapping!$C:$C,MATCH($A196,Mapping!$A:$A,0)),JLRrates!$B:$B,0))),0)</f>
        <v>0</v>
      </c>
      <c r="L196">
        <f>IFERROR(IF(OR(INDEX(Mapping!$C:$C,MATCH($A196,Mapping!$A:$A,0))="",INDEX(JLRrates!$D:$D,MATCH(INDEX(Mapping!$C:$C,MATCH($A196,Mapping!$A:$A,0)),JLRrates!$B:$B,0))=""),0,INDEX(JLRrates!$D:$D,MATCH(INDEX(Mapping!$C:$C,MATCH($A196,Mapping!$A:$A,0)),JLRrates!$B:$B,0))),0)</f>
        <v>0</v>
      </c>
    </row>
    <row r="197">
      <c r="A197" t="str">
        <v>mat-steel-300m</v>
      </c>
      <c r="B197" t="str">
        <v>300M (UHS Aerospace)</v>
      </c>
      <c r="C197" t="str">
        <v>Alloy Steel Billet</v>
      </c>
      <c r="D197">
        <f>IF($K197&gt;0,$K197,3.8)</f>
        <v>3.8</v>
      </c>
      <c r="E197">
        <f>IF($L197&gt;0,$L197,0.3)</f>
        <v>0.3</v>
      </c>
      <c r="F197">
        <v>7830</v>
      </c>
      <c r="G197" t="str">
        <v>UK</v>
      </c>
      <c r="H197" t="str">
        <v>2026-07</v>
      </c>
      <c r="I197" t="str">
        <v>Index-anchored 2026-07 (see FORGING PRICING BASIS). Ultra-high-strength Si-modified 4340 — landing gear, aerospace structural; VAR remelt, tight cleanliness.</v>
      </c>
      <c r="J197" t="str">
        <v>Low</v>
      </c>
      <c r="K197">
        <f>IFERROR(IF(OR(INDEX(Mapping!$C:$C,MATCH($A197,Mapping!$A:$A,0))="",INDEX(JLRrates!$C:$C,MATCH(INDEX(Mapping!$C:$C,MATCH($A197,Mapping!$A:$A,0)),JLRrates!$B:$B,0))=""),0,INDEX(JLRrates!$C:$C,MATCH(INDEX(Mapping!$C:$C,MATCH($A197,Mapping!$A:$A,0)),JLRrates!$B:$B,0))),0)</f>
        <v>0</v>
      </c>
      <c r="L197">
        <f>IFERROR(IF(OR(INDEX(Mapping!$C:$C,MATCH($A197,Mapping!$A:$A,0))="",INDEX(JLRrates!$D:$D,MATCH(INDEX(Mapping!$C:$C,MATCH($A197,Mapping!$A:$A,0)),JLRrates!$B:$B,0))=""),0,INDEX(JLRrates!$D:$D,MATCH(INDEX(Mapping!$C:$C,MATCH($A197,Mapping!$A:$A,0)),JLRrates!$B:$B,0))),0)</f>
        <v>0</v>
      </c>
    </row>
    <row r="198">
      <c r="A198" t="str">
        <v>mat-ss410-bar</v>
      </c>
      <c r="B198" t="str">
        <v>410 (Martensitic Stainless Bar)</v>
      </c>
      <c r="C198" t="str">
        <v>Stainless Steel Billet</v>
      </c>
      <c r="D198">
        <f>IF($K198&gt;0,$K198,3.6)</f>
        <v>3.6</v>
      </c>
      <c r="E198">
        <f>IF($L198&gt;0,$L198,0.9)</f>
        <v>0.9</v>
      </c>
      <c r="F198">
        <v>7740</v>
      </c>
      <c r="G198" t="str">
        <v>UK</v>
      </c>
      <c r="H198" t="str">
        <v>2026-07</v>
      </c>
      <c r="I198" t="str">
        <v>Index-anchored 2026-07 (see FORGING PRICING BASIS). Hardenable martensitic stainless — valve stems, fasteners, turbine blades; moderate corrosion resistance.</v>
      </c>
      <c r="J198" t="str">
        <v>Low</v>
      </c>
      <c r="K198">
        <f>IFERROR(IF(OR(INDEX(Mapping!$C:$C,MATCH($A198,Mapping!$A:$A,0))="",INDEX(JLRrates!$C:$C,MATCH(INDEX(Mapping!$C:$C,MATCH($A198,Mapping!$A:$A,0)),JLRrates!$B:$B,0))=""),0,INDEX(JLRrates!$C:$C,MATCH(INDEX(Mapping!$C:$C,MATCH($A198,Mapping!$A:$A,0)),JLRrates!$B:$B,0))),0)</f>
        <v>0</v>
      </c>
      <c r="L198">
        <f>IFERROR(IF(OR(INDEX(Mapping!$C:$C,MATCH($A198,Mapping!$A:$A,0))="",INDEX(JLRrates!$D:$D,MATCH(INDEX(Mapping!$C:$C,MATCH($A198,Mapping!$A:$A,0)),JLRrates!$B:$B,0))=""),0,INDEX(JLRrates!$D:$D,MATCH(INDEX(Mapping!$C:$C,MATCH($A198,Mapping!$A:$A,0)),JLRrates!$B:$B,0))),0)</f>
        <v>0</v>
      </c>
    </row>
    <row r="199">
      <c r="A199" t="str">
        <v>mat-ss304l-bar</v>
      </c>
      <c r="B199" t="str">
        <v>304L (Austenitic Stainless Bar)</v>
      </c>
      <c r="C199" t="str">
        <v>Stainless Steel Billet</v>
      </c>
      <c r="D199">
        <f>IF($K199&gt;0,$K199,4.6)</f>
        <v>4.6</v>
      </c>
      <c r="E199">
        <f>IF($L199&gt;0,$L199,1.2)</f>
        <v>1.2</v>
      </c>
      <c r="F199">
        <v>8000</v>
      </c>
      <c r="G199" t="str">
        <v>UK</v>
      </c>
      <c r="H199" t="str">
        <v>2026-07</v>
      </c>
      <c r="I199" t="str">
        <v>Index-anchored 2026-07 (see FORGING PRICING BASIS). General-purpose austenitic forging bar — flanges, fittings, food/chemical; Ni/Cr surcharge driven.</v>
      </c>
      <c r="J199" t="str">
        <v>Low</v>
      </c>
      <c r="K199">
        <f>IFERROR(IF(OR(INDEX(Mapping!$C:$C,MATCH($A199,Mapping!$A:$A,0))="",INDEX(JLRrates!$C:$C,MATCH(INDEX(Mapping!$C:$C,MATCH($A199,Mapping!$A:$A,0)),JLRrates!$B:$B,0))=""),0,INDEX(JLRrates!$C:$C,MATCH(INDEX(Mapping!$C:$C,MATCH($A199,Mapping!$A:$A,0)),JLRrates!$B:$B,0))),0)</f>
        <v>0</v>
      </c>
      <c r="L199">
        <f>IFERROR(IF(OR(INDEX(Mapping!$C:$C,MATCH($A199,Mapping!$A:$A,0))="",INDEX(JLRrates!$D:$D,MATCH(INDEX(Mapping!$C:$C,MATCH($A199,Mapping!$A:$A,0)),JLRrates!$B:$B,0))=""),0,INDEX(JLRrates!$D:$D,MATCH(INDEX(Mapping!$C:$C,MATCH($A199,Mapping!$A:$A,0)),JLRrates!$B:$B,0))),0)</f>
        <v>0</v>
      </c>
    </row>
    <row r="200">
      <c r="A200" t="str">
        <v>mat-ss316l-bar</v>
      </c>
      <c r="B200" t="str">
        <v>316L (Austenitic Stainless Bar)</v>
      </c>
      <c r="C200" t="str">
        <v>Stainless Steel Billet</v>
      </c>
      <c r="D200">
        <f>IF($K200&gt;0,$K200,6.2)</f>
        <v>6.2</v>
      </c>
      <c r="E200">
        <f>IF($L200&gt;0,$L200,1.4)</f>
        <v>1.4</v>
      </c>
      <c r="F200">
        <v>8000</v>
      </c>
      <c r="G200" t="str">
        <v>UK</v>
      </c>
      <c r="H200" t="str">
        <v>2026-07</v>
      </c>
      <c r="I200" t="str">
        <v>Index-anchored 2026-07 (see FORGING PRICING BASIS). Mo-bearing austenitic — marine/chemical flanges, valve bodies; higher pitting resistance than 304.</v>
      </c>
      <c r="J200" t="str">
        <v>Low</v>
      </c>
      <c r="K200">
        <f>IFERROR(IF(OR(INDEX(Mapping!$C:$C,MATCH($A200,Mapping!$A:$A,0))="",INDEX(JLRrates!$C:$C,MATCH(INDEX(Mapping!$C:$C,MATCH($A200,Mapping!$A:$A,0)),JLRrates!$B:$B,0))=""),0,INDEX(JLRrates!$C:$C,MATCH(INDEX(Mapping!$C:$C,MATCH($A200,Mapping!$A:$A,0)),JLRrates!$B:$B,0))),0)</f>
        <v>0</v>
      </c>
      <c r="L200">
        <f>IFERROR(IF(OR(INDEX(Mapping!$C:$C,MATCH($A200,Mapping!$A:$A,0))="",INDEX(JLRrates!$D:$D,MATCH(INDEX(Mapping!$C:$C,MATCH($A200,Mapping!$A:$A,0)),JLRrates!$B:$B,0))=""),0,INDEX(JLRrates!$D:$D,MATCH(INDEX(Mapping!$C:$C,MATCH($A200,Mapping!$A:$A,0)),JLRrates!$B:$B,0))),0)</f>
        <v>0</v>
      </c>
    </row>
    <row r="201">
      <c r="A201" t="str">
        <v>mat-ss17-4ph-bar</v>
      </c>
      <c r="B201" t="str">
        <v>17-4PH (PH Stainless Bar)</v>
      </c>
      <c r="C201" t="str">
        <v>Stainless Steel Billet</v>
      </c>
      <c r="D201">
        <f>IF($K201&gt;0,$K201,9.2)</f>
        <v>9.2</v>
      </c>
      <c r="E201">
        <f>IF($L201&gt;0,$L201,1.6)</f>
        <v>1.6</v>
      </c>
      <c r="F201">
        <v>7800</v>
      </c>
      <c r="G201" t="str">
        <v>UK</v>
      </c>
      <c r="H201" t="str">
        <v>2026-07</v>
      </c>
      <c r="I201" t="str">
        <v>Index-anchored 2026-07 (see FORGING PRICING BASIS). Precipitation-hardening martensitic stainless — aerospace fittings, pump/valve, high strength + corrosion.</v>
      </c>
      <c r="J201" t="str">
        <v>Low</v>
      </c>
      <c r="K201">
        <f>IFERROR(IF(OR(INDEX(Mapping!$C:$C,MATCH($A201,Mapping!$A:$A,0))="",INDEX(JLRrates!$C:$C,MATCH(INDEX(Mapping!$C:$C,MATCH($A201,Mapping!$A:$A,0)),JLRrates!$B:$B,0))=""),0,INDEX(JLRrates!$C:$C,MATCH(INDEX(Mapping!$C:$C,MATCH($A201,Mapping!$A:$A,0)),JLRrates!$B:$B,0))),0)</f>
        <v>0</v>
      </c>
      <c r="L201">
        <f>IFERROR(IF(OR(INDEX(Mapping!$C:$C,MATCH($A201,Mapping!$A:$A,0))="",INDEX(JLRrates!$D:$D,MATCH(INDEX(Mapping!$C:$C,MATCH($A201,Mapping!$A:$A,0)),JLRrates!$B:$B,0))=""),0,INDEX(JLRrates!$D:$D,MATCH(INDEX(Mapping!$C:$C,MATCH($A201,Mapping!$A:$A,0)),JLRrates!$B:$B,0))),0)</f>
        <v>0</v>
      </c>
    </row>
    <row r="202">
      <c r="A202" t="str">
        <v>mat-ss15-5ph-bar</v>
      </c>
      <c r="B202" t="str">
        <v>15-5PH (PH Stainless Bar)</v>
      </c>
      <c r="C202" t="str">
        <v>Stainless Steel Billet</v>
      </c>
      <c r="D202">
        <f>IF($K202&gt;0,$K202,9.8)</f>
        <v>9.8</v>
      </c>
      <c r="E202">
        <f>IF($L202&gt;0,$L202,1.6)</f>
        <v>1.6</v>
      </c>
      <c r="F202">
        <v>7800</v>
      </c>
      <c r="G202" t="str">
        <v>UK</v>
      </c>
      <c r="H202" t="str">
        <v>2026-07</v>
      </c>
      <c r="I202" t="str">
        <v>Index-anchored 2026-07 (see FORGING PRICING BASIS). Transverse-toughness PH stainless — aerospace structural, landing-gear fittings; cleaner than 17-4.</v>
      </c>
      <c r="J202" t="str">
        <v>Low</v>
      </c>
      <c r="K202">
        <f>IFERROR(IF(OR(INDEX(Mapping!$C:$C,MATCH($A202,Mapping!$A:$A,0))="",INDEX(JLRrates!$C:$C,MATCH(INDEX(Mapping!$C:$C,MATCH($A202,Mapping!$A:$A,0)),JLRrates!$B:$B,0))=""),0,INDEX(JLRrates!$C:$C,MATCH(INDEX(Mapping!$C:$C,MATCH($A202,Mapping!$A:$A,0)),JLRrates!$B:$B,0))),0)</f>
        <v>0</v>
      </c>
      <c r="L202">
        <f>IFERROR(IF(OR(INDEX(Mapping!$C:$C,MATCH($A202,Mapping!$A:$A,0))="",INDEX(JLRrates!$D:$D,MATCH(INDEX(Mapping!$C:$C,MATCH($A202,Mapping!$A:$A,0)),JLRrates!$B:$B,0))=""),0,INDEX(JLRrates!$D:$D,MATCH(INDEX(Mapping!$C:$C,MATCH($A202,Mapping!$A:$A,0)),JLRrates!$B:$B,0))),0)</f>
        <v>0</v>
      </c>
    </row>
    <row r="203">
      <c r="A203" t="str">
        <v>mat-al6061-forge</v>
      </c>
      <c r="B203" t="str">
        <v>6061 (Al Forging Stock)</v>
      </c>
      <c r="C203" t="str">
        <v>Aluminium Forging Billet</v>
      </c>
      <c r="D203">
        <f>IF($K203&gt;0,$K203,3.4)</f>
        <v>3.4</v>
      </c>
      <c r="E203">
        <f>IF($L203&gt;0,$L203,0.55)</f>
        <v>0.55</v>
      </c>
      <c r="F203">
        <v>2700</v>
      </c>
      <c r="G203" t="str">
        <v>UK</v>
      </c>
      <c r="H203" t="str">
        <v>2026-07</v>
      </c>
      <c r="I203" t="str">
        <v>Index-anchored 2026-07 (see FORGING PRICING BASIS). General-purpose forged aluminium — brackets, fittings, structural; T6 heat-treatable, weldable.</v>
      </c>
      <c r="J203" t="str">
        <v>Medium</v>
      </c>
      <c r="K203">
        <f>IFERROR(IF(OR(INDEX(Mapping!$C:$C,MATCH($A203,Mapping!$A:$A,0))="",INDEX(JLRrates!$C:$C,MATCH(INDEX(Mapping!$C:$C,MATCH($A203,Mapping!$A:$A,0)),JLRrates!$B:$B,0))=""),0,INDEX(JLRrates!$C:$C,MATCH(INDEX(Mapping!$C:$C,MATCH($A203,Mapping!$A:$A,0)),JLRrates!$B:$B,0))),0)</f>
        <v>0</v>
      </c>
      <c r="L203">
        <f>IFERROR(IF(OR(INDEX(Mapping!$C:$C,MATCH($A203,Mapping!$A:$A,0))="",INDEX(JLRrates!$D:$D,MATCH(INDEX(Mapping!$C:$C,MATCH($A203,Mapping!$A:$A,0)),JLRrates!$B:$B,0))=""),0,INDEX(JLRrates!$D:$D,MATCH(INDEX(Mapping!$C:$C,MATCH($A203,Mapping!$A:$A,0)),JLRrates!$B:$B,0))),0)</f>
        <v>0</v>
      </c>
    </row>
    <row r="204">
      <c r="A204" t="str">
        <v>mat-al6082-forge</v>
      </c>
      <c r="B204" t="str">
        <v>6082 (Al Forging Stock)</v>
      </c>
      <c r="C204" t="str">
        <v>Aluminium Forging Billet</v>
      </c>
      <c r="D204">
        <f>IF($K204&gt;0,$K204,3.3)</f>
        <v>3.3</v>
      </c>
      <c r="E204">
        <f>IF($L204&gt;0,$L204,0.55)</f>
        <v>0.55</v>
      </c>
      <c r="F204">
        <v>2700</v>
      </c>
      <c r="G204" t="str">
        <v>UK</v>
      </c>
      <c r="H204" t="str">
        <v>2026-07</v>
      </c>
      <c r="I204" t="str">
        <v>Index-anchored 2026-07 (see FORGING PRICING BASIS). European structural forging alloy — suspension arms, chassis brackets; higher strength than 6061.</v>
      </c>
      <c r="J204" t="str">
        <v>Medium</v>
      </c>
      <c r="K204">
        <f>IFERROR(IF(OR(INDEX(Mapping!$C:$C,MATCH($A204,Mapping!$A:$A,0))="",INDEX(JLRrates!$C:$C,MATCH(INDEX(Mapping!$C:$C,MATCH($A204,Mapping!$A:$A,0)),JLRrates!$B:$B,0))=""),0,INDEX(JLRrates!$C:$C,MATCH(INDEX(Mapping!$C:$C,MATCH($A204,Mapping!$A:$A,0)),JLRrates!$B:$B,0))),0)</f>
        <v>0</v>
      </c>
      <c r="L204">
        <f>IFERROR(IF(OR(INDEX(Mapping!$C:$C,MATCH($A204,Mapping!$A:$A,0))="",INDEX(JLRrates!$D:$D,MATCH(INDEX(Mapping!$C:$C,MATCH($A204,Mapping!$A:$A,0)),JLRrates!$B:$B,0))=""),0,INDEX(JLRrates!$D:$D,MATCH(INDEX(Mapping!$C:$C,MATCH($A204,Mapping!$A:$A,0)),JLRrates!$B:$B,0))),0)</f>
        <v>0</v>
      </c>
    </row>
    <row r="205">
      <c r="A205" t="str">
        <v>mat-al7075-forge</v>
      </c>
      <c r="B205" t="str">
        <v>7075 (Al Forging Stock)</v>
      </c>
      <c r="C205" t="str">
        <v>Aluminium Forging Billet</v>
      </c>
      <c r="D205">
        <f>IF($K205&gt;0,$K205,4.6)</f>
        <v>4.6</v>
      </c>
      <c r="E205">
        <f>IF($L205&gt;0,$L205,0.55)</f>
        <v>0.55</v>
      </c>
      <c r="F205">
        <v>2810</v>
      </c>
      <c r="G205" t="str">
        <v>UK</v>
      </c>
      <c r="H205" t="str">
        <v>2026-07</v>
      </c>
      <c r="I205" t="str">
        <v>Index-anchored 2026-07 (see FORGING PRICING BASIS). High-strength Al-Zn — aerospace/defence structural forgings, motorsport uprights; T73 for SCC resistance.</v>
      </c>
      <c r="J205" t="str">
        <v>Medium</v>
      </c>
      <c r="K205">
        <f>IFERROR(IF(OR(INDEX(Mapping!$C:$C,MATCH($A205,Mapping!$A:$A,0))="",INDEX(JLRrates!$C:$C,MATCH(INDEX(Mapping!$C:$C,MATCH($A205,Mapping!$A:$A,0)),JLRrates!$B:$B,0))=""),0,INDEX(JLRrates!$C:$C,MATCH(INDEX(Mapping!$C:$C,MATCH($A205,Mapping!$A:$A,0)),JLRrates!$B:$B,0))),0)</f>
        <v>0</v>
      </c>
      <c r="L205">
        <f>IFERROR(IF(OR(INDEX(Mapping!$C:$C,MATCH($A205,Mapping!$A:$A,0))="",INDEX(JLRrates!$D:$D,MATCH(INDEX(Mapping!$C:$C,MATCH($A205,Mapping!$A:$A,0)),JLRrates!$B:$B,0))=""),0,INDEX(JLRrates!$D:$D,MATCH(INDEX(Mapping!$C:$C,MATCH($A205,Mapping!$A:$A,0)),JLRrates!$B:$B,0))),0)</f>
        <v>0</v>
      </c>
    </row>
    <row r="206">
      <c r="A206" t="str">
        <v>mat-al2618-forge</v>
      </c>
      <c r="B206" t="str">
        <v>2618 (Al-Cu Piston/Aero)</v>
      </c>
      <c r="C206" t="str">
        <v>Aluminium Forging Billet</v>
      </c>
      <c r="D206">
        <f>IF($K206&gt;0,$K206,5.2)</f>
        <v>5.2</v>
      </c>
      <c r="E206">
        <f>IF($L206&gt;0,$L206,0.55)</f>
        <v>0.55</v>
      </c>
      <c r="F206">
        <v>2760</v>
      </c>
      <c r="G206" t="str">
        <v>UK</v>
      </c>
      <c r="H206" t="str">
        <v>2026-07</v>
      </c>
      <c r="I206" t="str">
        <v>Index-anchored 2026-07 (see FORGING PRICING BASIS). Elevated-temperature Al-Cu — forged pistons, compressor/turbo wheels; creep-resistant to ~200°C.</v>
      </c>
      <c r="J206" t="str">
        <v>Low</v>
      </c>
      <c r="K206">
        <f>IFERROR(IF(OR(INDEX(Mapping!$C:$C,MATCH($A206,Mapping!$A:$A,0))="",INDEX(JLRrates!$C:$C,MATCH(INDEX(Mapping!$C:$C,MATCH($A206,Mapping!$A:$A,0)),JLRrates!$B:$B,0))=""),0,INDEX(JLRrates!$C:$C,MATCH(INDEX(Mapping!$C:$C,MATCH($A206,Mapping!$A:$A,0)),JLRrates!$B:$B,0))),0)</f>
        <v>0</v>
      </c>
      <c r="L206">
        <f>IFERROR(IF(OR(INDEX(Mapping!$C:$C,MATCH($A206,Mapping!$A:$A,0))="",INDEX(JLRrates!$D:$D,MATCH(INDEX(Mapping!$C:$C,MATCH($A206,Mapping!$A:$A,0)),JLRrates!$B:$B,0))=""),0,INDEX(JLRrates!$D:$D,MATCH(INDEX(Mapping!$C:$C,MATCH($A206,Mapping!$A:$A,0)),JLRrates!$B:$B,0))),0)</f>
        <v>0</v>
      </c>
    </row>
    <row r="207">
      <c r="A207" t="str">
        <v>mat-ti-cp-gr2</v>
      </c>
      <c r="B207" t="str">
        <v>CP Titanium Grade 2 (Forging Bar)</v>
      </c>
      <c r="C207" t="str">
        <v>Titanium Forging Billet</v>
      </c>
      <c r="D207">
        <f>IF($K207&gt;0,$K207,26)</f>
        <v>26</v>
      </c>
      <c r="E207">
        <f>IF($L207&gt;0,$L207,4)</f>
        <v>4</v>
      </c>
      <c r="F207">
        <v>4510</v>
      </c>
      <c r="G207" t="str">
        <v>UK</v>
      </c>
      <c r="H207" t="str">
        <v>2026-07</v>
      </c>
      <c r="I207" t="str">
        <v>Index-anchored 2026-07 (see FORGING PRICING BASIS). Commercially-pure titanium — chemical/marine, medical, corrosion service; readily forged/formed.</v>
      </c>
      <c r="J207" t="str">
        <v>Low</v>
      </c>
      <c r="K207">
        <f>IFERROR(IF(OR(INDEX(Mapping!$C:$C,MATCH($A207,Mapping!$A:$A,0))="",INDEX(JLRrates!$C:$C,MATCH(INDEX(Mapping!$C:$C,MATCH($A207,Mapping!$A:$A,0)),JLRrates!$B:$B,0))=""),0,INDEX(JLRrates!$C:$C,MATCH(INDEX(Mapping!$C:$C,MATCH($A207,Mapping!$A:$A,0)),JLRrates!$B:$B,0))),0)</f>
        <v>0</v>
      </c>
      <c r="L207">
        <f>IFERROR(IF(OR(INDEX(Mapping!$C:$C,MATCH($A207,Mapping!$A:$A,0))="",INDEX(JLRrates!$D:$D,MATCH(INDEX(Mapping!$C:$C,MATCH($A207,Mapping!$A:$A,0)),JLRrates!$B:$B,0))=""),0,INDEX(JLRrates!$D:$D,MATCH(INDEX(Mapping!$C:$C,MATCH($A207,Mapping!$A:$A,0)),JLRrates!$B:$B,0))),0)</f>
        <v>0</v>
      </c>
    </row>
    <row r="208">
      <c r="A208" t="str">
        <v>mat-ti-6al4v-forge</v>
      </c>
      <c r="B208" t="str">
        <v>Ti-6Al-4V Grade 5 (Forging Bar)</v>
      </c>
      <c r="C208" t="str">
        <v>Titanium Forging Billet</v>
      </c>
      <c r="D208">
        <f>IF($K208&gt;0,$K208,38)</f>
        <v>38</v>
      </c>
      <c r="E208">
        <f>IF($L208&gt;0,$L208,5.5)</f>
        <v>5.5</v>
      </c>
      <c r="F208">
        <v>4430</v>
      </c>
      <c r="G208" t="str">
        <v>UK</v>
      </c>
      <c r="H208" t="str">
        <v>2026-07</v>
      </c>
      <c r="I208" t="str">
        <v>Index-anchored 2026-07 (see FORGING PRICING BASIS). Workhorse aerospace/medical titanium — airframe/engine forgings, implants; high strength-to-weight, β-forged for toughness.</v>
      </c>
      <c r="J208" t="str">
        <v>Low</v>
      </c>
      <c r="K208">
        <f>IFERROR(IF(OR(INDEX(Mapping!$C:$C,MATCH($A208,Mapping!$A:$A,0))="",INDEX(JLRrates!$C:$C,MATCH(INDEX(Mapping!$C:$C,MATCH($A208,Mapping!$A:$A,0)),JLRrates!$B:$B,0))=""),0,INDEX(JLRrates!$C:$C,MATCH(INDEX(Mapping!$C:$C,MATCH($A208,Mapping!$A:$A,0)),JLRrates!$B:$B,0))),0)</f>
        <v>0</v>
      </c>
      <c r="L208">
        <f>IFERROR(IF(OR(INDEX(Mapping!$C:$C,MATCH($A208,Mapping!$A:$A,0))="",INDEX(JLRrates!$D:$D,MATCH(INDEX(Mapping!$C:$C,MATCH($A208,Mapping!$A:$A,0)),JLRrates!$B:$B,0))=""),0,INDEX(JLRrates!$D:$D,MATCH(INDEX(Mapping!$C:$C,MATCH($A208,Mapping!$A:$A,0)),JLRrates!$B:$B,0))),0)</f>
        <v>0</v>
      </c>
    </row>
    <row r="209">
      <c r="A209" t="str">
        <v>mat-inconel718-forge</v>
      </c>
      <c r="B209" t="str">
        <v>Inconel 718 (Forging Bar)</v>
      </c>
      <c r="C209" t="str">
        <v>Nickel Superalloy Billet</v>
      </c>
      <c r="D209">
        <f>IF($K209&gt;0,$K209,44)</f>
        <v>44</v>
      </c>
      <c r="E209">
        <f>IF($L209&gt;0,$L209,8)</f>
        <v>8</v>
      </c>
      <c r="F209">
        <v>8190</v>
      </c>
      <c r="G209" t="str">
        <v>UK</v>
      </c>
      <c r="H209" t="str">
        <v>2026-07</v>
      </c>
      <c r="I209" t="str">
        <v>Index-anchored 2026-07 (see FORGING PRICING BASIS). Age-hardenable Ni-Cr superalloy — turbine discs, shafts, rings; VIM/VAR remelt, high hot-strength.</v>
      </c>
      <c r="J209" t="str">
        <v>Low</v>
      </c>
      <c r="K209">
        <f>IFERROR(IF(OR(INDEX(Mapping!$C:$C,MATCH($A209,Mapping!$A:$A,0))="",INDEX(JLRrates!$C:$C,MATCH(INDEX(Mapping!$C:$C,MATCH($A209,Mapping!$A:$A,0)),JLRrates!$B:$B,0))=""),0,INDEX(JLRrates!$C:$C,MATCH(INDEX(Mapping!$C:$C,MATCH($A209,Mapping!$A:$A,0)),JLRrates!$B:$B,0))),0)</f>
        <v>0</v>
      </c>
      <c r="L209">
        <f>IFERROR(IF(OR(INDEX(Mapping!$C:$C,MATCH($A209,Mapping!$A:$A,0))="",INDEX(JLRrates!$D:$D,MATCH(INDEX(Mapping!$C:$C,MATCH($A209,Mapping!$A:$A,0)),JLRrates!$B:$B,0))=""),0,INDEX(JLRrates!$D:$D,MATCH(INDEX(Mapping!$C:$C,MATCH($A209,Mapping!$A:$A,0)),JLRrates!$B:$B,0))),0)</f>
        <v>0</v>
      </c>
    </row>
    <row r="210">
      <c r="A210" t="str">
        <v>mat-waspaloy-forge</v>
      </c>
      <c r="B210" t="str">
        <v>Waspaloy (Forging Bar)</v>
      </c>
      <c r="C210" t="str">
        <v>Nickel Superalloy Billet</v>
      </c>
      <c r="D210">
        <f>IF($K210&gt;0,$K210,70)</f>
        <v>70</v>
      </c>
      <c r="E210">
        <f>IF($L210&gt;0,$L210,12)</f>
        <v>12</v>
      </c>
      <c r="F210">
        <v>8190</v>
      </c>
      <c r="G210" t="str">
        <v>UK</v>
      </c>
      <c r="H210" t="str">
        <v>2026-07</v>
      </c>
      <c r="I210" t="str">
        <v>Index-anchored 2026-07 (see FORGING PRICING BASIS). Co-strengthened Ni superalloy — hot-section turbine discs, seals; retains strength to ~700°C, Co adder over 718.</v>
      </c>
      <c r="J210" t="str">
        <v>Low</v>
      </c>
      <c r="K210">
        <f>IFERROR(IF(OR(INDEX(Mapping!$C:$C,MATCH($A210,Mapping!$A:$A,0))="",INDEX(JLRrates!$C:$C,MATCH(INDEX(Mapping!$C:$C,MATCH($A210,Mapping!$A:$A,0)),JLRrates!$B:$B,0))=""),0,INDEX(JLRrates!$C:$C,MATCH(INDEX(Mapping!$C:$C,MATCH($A210,Mapping!$A:$A,0)),JLRrates!$B:$B,0))),0)</f>
        <v>0</v>
      </c>
      <c r="L210">
        <f>IFERROR(IF(OR(INDEX(Mapping!$C:$C,MATCH($A210,Mapping!$A:$A,0))="",INDEX(JLRrates!$D:$D,MATCH(INDEX(Mapping!$C:$C,MATCH($A210,Mapping!$A:$A,0)),JLRrates!$B:$B,0))=""),0,INDEX(JLRrates!$D:$D,MATCH(INDEX(Mapping!$C:$C,MATCH($A210,Mapping!$A:$A,0)),JLRrates!$B:$B,0))),0)</f>
        <v>0</v>
      </c>
    </row>
    <row r="211">
      <c r="A211" t="str">
        <v>mat-inconel625-forge</v>
      </c>
      <c r="B211" t="str">
        <v>Inconel 625 (Forging Bar)</v>
      </c>
      <c r="C211" t="str">
        <v>Nickel Superalloy Billet</v>
      </c>
      <c r="D211">
        <f>IF($K211&gt;0,$K211,38)</f>
        <v>38</v>
      </c>
      <c r="E211">
        <f>IF($L211&gt;0,$L211,7)</f>
        <v>7</v>
      </c>
      <c r="F211">
        <v>8440</v>
      </c>
      <c r="G211" t="str">
        <v>UK</v>
      </c>
      <c r="H211" t="str">
        <v>2026-07</v>
      </c>
      <c r="I211" t="str">
        <v>Index-anchored 2026-07 (see FORGING PRICING BASIS). Solid-solution Ni-Cr-Mo — marine/chemical, exhaust, subsea; excellent corrosion + weldability, non-age-hardening.</v>
      </c>
      <c r="J211" t="str">
        <v>Low</v>
      </c>
      <c r="K211">
        <f>IFERROR(IF(OR(INDEX(Mapping!$C:$C,MATCH($A211,Mapping!$A:$A,0))="",INDEX(JLRrates!$C:$C,MATCH(INDEX(Mapping!$C:$C,MATCH($A211,Mapping!$A:$A,0)),JLRrates!$B:$B,0))=""),0,INDEX(JLRrates!$C:$C,MATCH(INDEX(Mapping!$C:$C,MATCH($A211,Mapping!$A:$A,0)),JLRrates!$B:$B,0))),0)</f>
        <v>0</v>
      </c>
      <c r="L211">
        <f>IFERROR(IF(OR(INDEX(Mapping!$C:$C,MATCH($A211,Mapping!$A:$A,0))="",INDEX(JLRrates!$D:$D,MATCH(INDEX(Mapping!$C:$C,MATCH($A211,Mapping!$A:$A,0)),JLRrates!$B:$B,0))=""),0,INDEX(JLRrates!$D:$D,MATCH(INDEX(Mapping!$C:$C,MATCH($A211,Mapping!$A:$A,0)),JLRrates!$B:$B,0))),0)</f>
        <v>0</v>
      </c>
    </row>
    <row r="212">
      <c r="A212" t="str">
        <v>mat-hastelloy-c276-forge</v>
      </c>
      <c r="B212" t="str">
        <v>Hastelloy C-276 (Forging Bar)</v>
      </c>
      <c r="C212" t="str">
        <v>Nickel Superalloy Billet</v>
      </c>
      <c r="D212">
        <f>IF($K212&gt;0,$K212,55)</f>
        <v>55</v>
      </c>
      <c r="E212">
        <f>IF($L212&gt;0,$L212,9)</f>
        <v>9</v>
      </c>
      <c r="F212">
        <v>8890</v>
      </c>
      <c r="G212" t="str">
        <v>UK</v>
      </c>
      <c r="H212" t="str">
        <v>2026-07</v>
      </c>
      <c r="I212" t="str">
        <v>Index-anchored 2026-07 (see FORGING PRICING BASIS). Ni-Mo-Cr — severe chemical/acid, flue-gas, subsea valves; outstanding pitting/crevice resistance, high Mo adder.</v>
      </c>
      <c r="J212" t="str">
        <v>Low</v>
      </c>
      <c r="K212">
        <f>IFERROR(IF(OR(INDEX(Mapping!$C:$C,MATCH($A212,Mapping!$A:$A,0))="",INDEX(JLRrates!$C:$C,MATCH(INDEX(Mapping!$C:$C,MATCH($A212,Mapping!$A:$A,0)),JLRrates!$B:$B,0))=""),0,INDEX(JLRrates!$C:$C,MATCH(INDEX(Mapping!$C:$C,MATCH($A212,Mapping!$A:$A,0)),JLRrates!$B:$B,0))),0)</f>
        <v>0</v>
      </c>
      <c r="L212">
        <f>IFERROR(IF(OR(INDEX(Mapping!$C:$C,MATCH($A212,Mapping!$A:$A,0))="",INDEX(JLRrates!$D:$D,MATCH(INDEX(Mapping!$C:$C,MATCH($A212,Mapping!$A:$A,0)),JLRrates!$B:$B,0))=""),0,INDEX(JLRrates!$D:$D,MATCH(INDEX(Mapping!$C:$C,MATCH($A212,Mapping!$A:$A,0)),JLRrates!$B:$B,0))),0)</f>
        <v>0</v>
      </c>
    </row>
    <row r="213">
      <c r="A213" t="str">
        <v>mat-monel400-forge</v>
      </c>
      <c r="B213" t="str">
        <v>Monel 400 (Forging Bar)</v>
      </c>
      <c r="C213" t="str">
        <v>Nickel Alloy Billet</v>
      </c>
      <c r="D213">
        <f>IF($K213&gt;0,$K213,28)</f>
        <v>28</v>
      </c>
      <c r="E213">
        <f>IF($L213&gt;0,$L213,5)</f>
        <v>5</v>
      </c>
      <c r="F213">
        <v>8800</v>
      </c>
      <c r="G213" t="str">
        <v>UK</v>
      </c>
      <c r="H213" t="str">
        <v>2026-07</v>
      </c>
      <c r="I213" t="str">
        <v>Index-anchored 2026-07 (see FORGING PRICING BASIS). Ni-Cu — marine shafting, valves, seawater service; resists chlorides and HF, non-hardenable.</v>
      </c>
      <c r="J213" t="str">
        <v>Low</v>
      </c>
      <c r="K213">
        <f>IFERROR(IF(OR(INDEX(Mapping!$C:$C,MATCH($A213,Mapping!$A:$A,0))="",INDEX(JLRrates!$C:$C,MATCH(INDEX(Mapping!$C:$C,MATCH($A213,Mapping!$A:$A,0)),JLRrates!$B:$B,0))=""),0,INDEX(JLRrates!$C:$C,MATCH(INDEX(Mapping!$C:$C,MATCH($A213,Mapping!$A:$A,0)),JLRrates!$B:$B,0))),0)</f>
        <v>0</v>
      </c>
      <c r="L213">
        <f>IFERROR(IF(OR(INDEX(Mapping!$C:$C,MATCH($A213,Mapping!$A:$A,0))="",INDEX(JLRrates!$D:$D,MATCH(INDEX(Mapping!$C:$C,MATCH($A213,Mapping!$A:$A,0)),JLRrates!$B:$B,0))=""),0,INDEX(JLRrates!$D:$D,MATCH(INDEX(Mapping!$C:$C,MATCH($A213,Mapping!$A:$A,0)),JLRrates!$B:$B,0))),0)</f>
        <v>0</v>
      </c>
    </row>
    <row r="214">
      <c r="A214" t="str">
        <v>mat-ti-6242-forge</v>
      </c>
      <c r="B214" t="str">
        <v>Ti-6Al-2Sn-4Zr-2Mo (Forging Bar)</v>
      </c>
      <c r="C214" t="str">
        <v>Titanium Forging Billet</v>
      </c>
      <c r="D214">
        <f>IF($K214&gt;0,$K214,52)</f>
        <v>52</v>
      </c>
      <c r="E214">
        <f>IF($L214&gt;0,$L214,6.5)</f>
        <v>6.5</v>
      </c>
      <c r="F214">
        <v>4540</v>
      </c>
      <c r="G214" t="str">
        <v>UK</v>
      </c>
      <c r="H214" t="str">
        <v>2026-07</v>
      </c>
      <c r="I214" t="str">
        <v>Index-anchored 2026-07 (see FORGING PRICING BASIS). Near-α high-temp titanium — compressor discs/blades to ~540°C, engine forgings; premium over Ti-6Al-4V.</v>
      </c>
      <c r="J214" t="str">
        <v>Low</v>
      </c>
      <c r="K214">
        <f>IFERROR(IF(OR(INDEX(Mapping!$C:$C,MATCH($A214,Mapping!$A:$A,0))="",INDEX(JLRrates!$C:$C,MATCH(INDEX(Mapping!$C:$C,MATCH($A214,Mapping!$A:$A,0)),JLRrates!$B:$B,0))=""),0,INDEX(JLRrates!$C:$C,MATCH(INDEX(Mapping!$C:$C,MATCH($A214,Mapping!$A:$A,0)),JLRrates!$B:$B,0))),0)</f>
        <v>0</v>
      </c>
      <c r="L214">
        <f>IFERROR(IF(OR(INDEX(Mapping!$C:$C,MATCH($A214,Mapping!$A:$A,0))="",INDEX(JLRrates!$D:$D,MATCH(INDEX(Mapping!$C:$C,MATCH($A214,Mapping!$A:$A,0)),JLRrates!$B:$B,0))=""),0,INDEX(JLRrates!$D:$D,MATCH(INDEX(Mapping!$C:$C,MATCH($A214,Mapping!$A:$A,0)),JLRrates!$B:$B,0))),0)</f>
        <v>0</v>
      </c>
    </row>
    <row r="215">
      <c r="A215" t="str">
        <v>mat-al7050-forge</v>
      </c>
      <c r="B215" t="str">
        <v>7050 (Al-Zn Aero Forging Stock)</v>
      </c>
      <c r="C215" t="str">
        <v>Aluminium Forging Billet</v>
      </c>
      <c r="D215">
        <f>IF($K215&gt;0,$K215,8.5)</f>
        <v>8.5</v>
      </c>
      <c r="E215">
        <f>IF($L215&gt;0,$L215,1.1)</f>
        <v>1.1</v>
      </c>
      <c r="F215">
        <v>2830</v>
      </c>
      <c r="G215" t="str">
        <v>UK</v>
      </c>
      <c r="H215" t="str">
        <v>2026-07</v>
      </c>
      <c r="I215" t="str">
        <v>Index-anchored 2026-07 (see FORGING PRICING BASIS). High-strength aerospace 7xxx — thick-section airframe fittings, bulkheads; better SCC resistance than 7075.</v>
      </c>
      <c r="J215" t="str">
        <v>Low</v>
      </c>
      <c r="K215">
        <f>IFERROR(IF(OR(INDEX(Mapping!$C:$C,MATCH($A215,Mapping!$A:$A,0))="",INDEX(JLRrates!$C:$C,MATCH(INDEX(Mapping!$C:$C,MATCH($A215,Mapping!$A:$A,0)),JLRrates!$B:$B,0))=""),0,INDEX(JLRrates!$C:$C,MATCH(INDEX(Mapping!$C:$C,MATCH($A215,Mapping!$A:$A,0)),JLRrates!$B:$B,0))),0)</f>
        <v>0</v>
      </c>
      <c r="L215">
        <f>IFERROR(IF(OR(INDEX(Mapping!$C:$C,MATCH($A215,Mapping!$A:$A,0))="",INDEX(JLRrates!$D:$D,MATCH(INDEX(Mapping!$C:$C,MATCH($A215,Mapping!$A:$A,0)),JLRrates!$B:$B,0))=""),0,INDEX(JLRrates!$D:$D,MATCH(INDEX(Mapping!$C:$C,MATCH($A215,Mapping!$A:$A,0)),JLRrates!$B:$B,0))),0)</f>
        <v>0</v>
      </c>
    </row>
    <row r="216">
      <c r="A216" t="str">
        <v>mat-mg-az31-forge</v>
      </c>
      <c r="B216" t="str">
        <v>AZ31B (Mg Forging Bar)</v>
      </c>
      <c r="C216" t="str">
        <v>Magnesium Forging Billet</v>
      </c>
      <c r="D216">
        <f>IF($K216&gt;0,$K216,6.5)</f>
        <v>6.5</v>
      </c>
      <c r="E216">
        <f>IF($L216&gt;0,$L216,0.9)</f>
        <v>0.9</v>
      </c>
      <c r="F216">
        <v>1770</v>
      </c>
      <c r="G216" t="str">
        <v>UK</v>
      </c>
      <c r="H216" t="str">
        <v>2026-07</v>
      </c>
      <c r="I216" t="str">
        <v>Index-anchored 2026-07 (see FORGING PRICING BASIS). Wrought Mg-Al-Zn — lightweight brackets, aerospace/defence, portable structures; forged warm (~300–400°C).</v>
      </c>
      <c r="J216" t="str">
        <v>Low</v>
      </c>
      <c r="K216">
        <f>IFERROR(IF(OR(INDEX(Mapping!$C:$C,MATCH($A216,Mapping!$A:$A,0))="",INDEX(JLRrates!$C:$C,MATCH(INDEX(Mapping!$C:$C,MATCH($A216,Mapping!$A:$A,0)),JLRrates!$B:$B,0))=""),0,INDEX(JLRrates!$C:$C,MATCH(INDEX(Mapping!$C:$C,MATCH($A216,Mapping!$A:$A,0)),JLRrates!$B:$B,0))),0)</f>
        <v>0</v>
      </c>
      <c r="L216">
        <f>IFERROR(IF(OR(INDEX(Mapping!$C:$C,MATCH($A216,Mapping!$A:$A,0))="",INDEX(JLRrates!$D:$D,MATCH(INDEX(Mapping!$C:$C,MATCH($A216,Mapping!$A:$A,0)),JLRrates!$B:$B,0))=""),0,INDEX(JLRrates!$D:$D,MATCH(INDEX(Mapping!$C:$C,MATCH($A216,Mapping!$A:$A,0)),JLRrates!$B:$B,0))),0)</f>
        <v>0</v>
      </c>
    </row>
    <row r="217">
      <c r="A217" t="str">
        <v>mat-brass-cz122-forge</v>
      </c>
      <c r="B217" t="str">
        <v>CZ122 / CW617N (Forging Brass)</v>
      </c>
      <c r="C217" t="str">
        <v>Copper Alloy Billet</v>
      </c>
      <c r="D217">
        <f>IF($K217&gt;0,$K217,7.2)</f>
        <v>7.2</v>
      </c>
      <c r="E217">
        <f>IF($L217&gt;0,$L217,3)</f>
        <v>3</v>
      </c>
      <c r="F217">
        <v>8500</v>
      </c>
      <c r="G217" t="str">
        <v>UK</v>
      </c>
      <c r="H217" t="str">
        <v>2026-07</v>
      </c>
      <c r="I217" t="str">
        <v>Index-anchored 2026-07 (see FORGING PRICING BASIS). Hot-stamping brass — valve bodies, fittings, plumbing; excellent forgeability and machinability.</v>
      </c>
      <c r="J217" t="str">
        <v>Low</v>
      </c>
      <c r="K217">
        <f>IFERROR(IF(OR(INDEX(Mapping!$C:$C,MATCH($A217,Mapping!$A:$A,0))="",INDEX(JLRrates!$C:$C,MATCH(INDEX(Mapping!$C:$C,MATCH($A217,Mapping!$A:$A,0)),JLRrates!$B:$B,0))=""),0,INDEX(JLRrates!$C:$C,MATCH(INDEX(Mapping!$C:$C,MATCH($A217,Mapping!$A:$A,0)),JLRrates!$B:$B,0))),0)</f>
        <v>0</v>
      </c>
      <c r="L217">
        <f>IFERROR(IF(OR(INDEX(Mapping!$C:$C,MATCH($A217,Mapping!$A:$A,0))="",INDEX(JLRrates!$D:$D,MATCH(INDEX(Mapping!$C:$C,MATCH($A217,Mapping!$A:$A,0)),JLRrates!$B:$B,0))=""),0,INDEX(JLRrates!$D:$D,MATCH(INDEX(Mapping!$C:$C,MATCH($A217,Mapping!$A:$A,0)),JLRrates!$B:$B,0))),0)</f>
        <v>0</v>
      </c>
    </row>
    <row r="218">
      <c r="A218" t="str">
        <v>mat-paint-ecoat</v>
      </c>
      <c r="B218" t="str">
        <v>E-coat (Cathodic)</v>
      </c>
      <c r="C218" t="str">
        <v>Paint</v>
      </c>
      <c r="D218">
        <f>IF($K218&gt;0,$K218,3.68)</f>
        <v>3.68</v>
      </c>
      <c r="E218">
        <f>IF($L218&gt;0,$L218,0)</f>
        <v>0</v>
      </c>
      <c r="F218">
        <v>1300</v>
      </c>
      <c r="G218" t="str">
        <v>UK</v>
      </c>
      <c r="H218" t="str">
        <v>2026-07</v>
      </c>
      <c r="I218" t="str">
        <v>UK coating supplier, Jun 2026. Index-anchored 2026-07 refresh.</v>
      </c>
      <c r="J218" t="str">
        <v>Low</v>
      </c>
      <c r="K218">
        <f>IFERROR(IF(OR(INDEX(Mapping!$C:$C,MATCH($A218,Mapping!$A:$A,0))="",INDEX(JLRrates!$C:$C,MATCH(INDEX(Mapping!$C:$C,MATCH($A218,Mapping!$A:$A,0)),JLRrates!$B:$B,0))=""),0,INDEX(JLRrates!$C:$C,MATCH(INDEX(Mapping!$C:$C,MATCH($A218,Mapping!$A:$A,0)),JLRrates!$B:$B,0))),0)</f>
        <v>0</v>
      </c>
      <c r="L218">
        <f>IFERROR(IF(OR(INDEX(Mapping!$C:$C,MATCH($A218,Mapping!$A:$A,0))="",INDEX(JLRrates!$D:$D,MATCH(INDEX(Mapping!$C:$C,MATCH($A218,Mapping!$A:$A,0)),JLRrates!$B:$B,0))=""),0,INDEX(JLRrates!$D:$D,MATCH(INDEX(Mapping!$C:$C,MATCH($A218,Mapping!$A:$A,0)),JLRrates!$B:$B,0))),0)</f>
        <v>0</v>
      </c>
    </row>
    <row r="219">
      <c r="A219" t="str">
        <v>mat-paint-primer</v>
      </c>
      <c r="B219" t="str">
        <v>2K Primer</v>
      </c>
      <c r="C219" t="str">
        <v>Paint</v>
      </c>
      <c r="D219">
        <f>IF($K219&gt;0,$K219,6.1)</f>
        <v>6.1</v>
      </c>
      <c r="E219">
        <f>IF($L219&gt;0,$L219,0)</f>
        <v>0</v>
      </c>
      <c r="F219">
        <v>1350</v>
      </c>
      <c r="G219" t="str">
        <v>UK</v>
      </c>
      <c r="H219" t="str">
        <v>2026-07</v>
      </c>
      <c r="I219" t="str">
        <v>UK coating supplier, Jun 2026. Index-anchored 2026-07 refresh.</v>
      </c>
      <c r="J219" t="str">
        <v>Low</v>
      </c>
      <c r="K219">
        <f>IFERROR(IF(OR(INDEX(Mapping!$C:$C,MATCH($A219,Mapping!$A:$A,0))="",INDEX(JLRrates!$C:$C,MATCH(INDEX(Mapping!$C:$C,MATCH($A219,Mapping!$A:$A,0)),JLRrates!$B:$B,0))=""),0,INDEX(JLRrates!$C:$C,MATCH(INDEX(Mapping!$C:$C,MATCH($A219,Mapping!$A:$A,0)),JLRrates!$B:$B,0))),0)</f>
        <v>0</v>
      </c>
      <c r="L219">
        <f>IFERROR(IF(OR(INDEX(Mapping!$C:$C,MATCH($A219,Mapping!$A:$A,0))="",INDEX(JLRrates!$D:$D,MATCH(INDEX(Mapping!$C:$C,MATCH($A219,Mapping!$A:$A,0)),JLRrates!$B:$B,0))=""),0,INDEX(JLRrates!$D:$D,MATCH(INDEX(Mapping!$C:$C,MATCH($A219,Mapping!$A:$A,0)),JLRrates!$B:$B,0))),0)</f>
        <v>0</v>
      </c>
    </row>
    <row r="220">
      <c r="A220" t="str">
        <v>mat-paint-basecoat</v>
      </c>
      <c r="B220" t="str">
        <v>Waterborne Basecoat</v>
      </c>
      <c r="C220" t="str">
        <v>Paint</v>
      </c>
      <c r="D220">
        <f>IF($K220&gt;0,$K220,8.62)</f>
        <v>8.62</v>
      </c>
      <c r="E220">
        <f>IF($L220&gt;0,$L220,0)</f>
        <v>0</v>
      </c>
      <c r="F220">
        <v>1250</v>
      </c>
      <c r="G220" t="str">
        <v>UK</v>
      </c>
      <c r="H220" t="str">
        <v>2026-07</v>
      </c>
      <c r="I220" t="str">
        <v>UK coating supplier, Jun 2026. Index-anchored 2026-07 refresh.</v>
      </c>
      <c r="J220" t="str">
        <v>Low</v>
      </c>
      <c r="K220">
        <f>IFERROR(IF(OR(INDEX(Mapping!$C:$C,MATCH($A220,Mapping!$A:$A,0))="",INDEX(JLRrates!$C:$C,MATCH(INDEX(Mapping!$C:$C,MATCH($A220,Mapping!$A:$A,0)),JLRrates!$B:$B,0))=""),0,INDEX(JLRrates!$C:$C,MATCH(INDEX(Mapping!$C:$C,MATCH($A220,Mapping!$A:$A,0)),JLRrates!$B:$B,0))),0)</f>
        <v>0</v>
      </c>
      <c r="L220">
        <f>IFERROR(IF(OR(INDEX(Mapping!$C:$C,MATCH($A220,Mapping!$A:$A,0))="",INDEX(JLRrates!$D:$D,MATCH(INDEX(Mapping!$C:$C,MATCH($A220,Mapping!$A:$A,0)),JLRrates!$B:$B,0))=""),0,INDEX(JLRrates!$D:$D,MATCH(INDEX(Mapping!$C:$C,MATCH($A220,Mapping!$A:$A,0)),JLRrates!$B:$B,0))),0)</f>
        <v>0</v>
      </c>
    </row>
    <row r="221">
      <c r="A221" t="str">
        <v>mat-paint-clearcoat</v>
      </c>
      <c r="B221" t="str">
        <v>2K Clearcoat</v>
      </c>
      <c r="C221" t="str">
        <v>Paint</v>
      </c>
      <c r="D221">
        <f>IF($K221&gt;0,$K221,9.98)</f>
        <v>9.98</v>
      </c>
      <c r="E221">
        <f>IF($L221&gt;0,$L221,0)</f>
        <v>0</v>
      </c>
      <c r="F221">
        <v>1100</v>
      </c>
      <c r="G221" t="str">
        <v>UK</v>
      </c>
      <c r="H221" t="str">
        <v>2026-07</v>
      </c>
      <c r="I221" t="str">
        <v>UK coating supplier, Jun 2026. Index-anchored 2026-07 refresh.</v>
      </c>
      <c r="J221" t="str">
        <v>Low</v>
      </c>
      <c r="K221">
        <f>IFERROR(IF(OR(INDEX(Mapping!$C:$C,MATCH($A221,Mapping!$A:$A,0))="",INDEX(JLRrates!$C:$C,MATCH(INDEX(Mapping!$C:$C,MATCH($A221,Mapping!$A:$A,0)),JLRrates!$B:$B,0))=""),0,INDEX(JLRrates!$C:$C,MATCH(INDEX(Mapping!$C:$C,MATCH($A221,Mapping!$A:$A,0)),JLRrates!$B:$B,0))),0)</f>
        <v>0</v>
      </c>
      <c r="L221">
        <f>IFERROR(IF(OR(INDEX(Mapping!$C:$C,MATCH($A221,Mapping!$A:$A,0))="",INDEX(JLRrates!$D:$D,MATCH(INDEX(Mapping!$C:$C,MATCH($A221,Mapping!$A:$A,0)),JLRrates!$B:$B,0))=""),0,INDEX(JLRrates!$D:$D,MATCH(INDEX(Mapping!$C:$C,MATCH($A221,Mapping!$A:$A,0)),JLRrates!$B:$B,0))),0)</f>
        <v>0</v>
      </c>
    </row>
    <row r="222">
      <c r="A222" t="str">
        <v>mat-paint-powder</v>
      </c>
      <c r="B222" t="str">
        <v>Powder Coat (Polyester)</v>
      </c>
      <c r="C222" t="str">
        <v>Paint</v>
      </c>
      <c r="D222">
        <f>IF($K222&gt;0,$K222,3.36)</f>
        <v>3.36</v>
      </c>
      <c r="E222">
        <f>IF($L222&gt;0,$L222,0.5)</f>
        <v>0.5</v>
      </c>
      <c r="F222">
        <v>1400</v>
      </c>
      <c r="G222" t="str">
        <v>UK</v>
      </c>
      <c r="H222" t="str">
        <v>2026-07</v>
      </c>
      <c r="I222" t="str">
        <v>UK powder coat supplier, Jun 2026. Index-anchored 2026-07 refresh.</v>
      </c>
      <c r="J222" t="str">
        <v>Medium</v>
      </c>
      <c r="K222">
        <f>IFERROR(IF(OR(INDEX(Mapping!$C:$C,MATCH($A222,Mapping!$A:$A,0))="",INDEX(JLRrates!$C:$C,MATCH(INDEX(Mapping!$C:$C,MATCH($A222,Mapping!$A:$A,0)),JLRrates!$B:$B,0))=""),0,INDEX(JLRrates!$C:$C,MATCH(INDEX(Mapping!$C:$C,MATCH($A222,Mapping!$A:$A,0)),JLRrates!$B:$B,0))),0)</f>
        <v>0</v>
      </c>
      <c r="L222">
        <f>IFERROR(IF(OR(INDEX(Mapping!$C:$C,MATCH($A222,Mapping!$A:$A,0))="",INDEX(JLRrates!$D:$D,MATCH(INDEX(Mapping!$C:$C,MATCH($A222,Mapping!$A:$A,0)),JLRrates!$B:$B,0))=""),0,INDEX(JLRrates!$D:$D,MATCH(INDEX(Mapping!$C:$C,MATCH($A222,Mapping!$A:$A,0)),JLRrates!$B:$B,0))),0)</f>
        <v>0</v>
      </c>
    </row>
    <row r="223">
      <c r="A223" t="str">
        <v>mat-paint-1k-primer</v>
      </c>
      <c r="B223" t="str">
        <v>1K Etch Primer</v>
      </c>
      <c r="C223" t="str">
        <v>Paint</v>
      </c>
      <c r="D223">
        <f>IF($K223&gt;0,$K223,5.4)</f>
        <v>5.4</v>
      </c>
      <c r="E223">
        <f>IF($L223&gt;0,$L223,0)</f>
        <v>0</v>
      </c>
      <c r="F223">
        <v>1300</v>
      </c>
      <c r="G223" t="str">
        <v>UK</v>
      </c>
      <c r="H223" t="str">
        <v>2026-07</v>
      </c>
      <c r="I223" t="str">
        <v>Index-anchored 2026-07. Single-pack etch/adhesion primer — pretreat for aluminium/mixed substrates.</v>
      </c>
      <c r="J223" t="str">
        <v>Low</v>
      </c>
      <c r="K223">
        <f>IFERROR(IF(OR(INDEX(Mapping!$C:$C,MATCH($A223,Mapping!$A:$A,0))="",INDEX(JLRrates!$C:$C,MATCH(INDEX(Mapping!$C:$C,MATCH($A223,Mapping!$A:$A,0)),JLRrates!$B:$B,0))=""),0,INDEX(JLRrates!$C:$C,MATCH(INDEX(Mapping!$C:$C,MATCH($A223,Mapping!$A:$A,0)),JLRrates!$B:$B,0))),0)</f>
        <v>0</v>
      </c>
      <c r="L223">
        <f>IFERROR(IF(OR(INDEX(Mapping!$C:$C,MATCH($A223,Mapping!$A:$A,0))="",INDEX(JLRrates!$D:$D,MATCH(INDEX(Mapping!$C:$C,MATCH($A223,Mapping!$A:$A,0)),JLRrates!$B:$B,0))=""),0,INDEX(JLRrates!$D:$D,MATCH(INDEX(Mapping!$C:$C,MATCH($A223,Mapping!$A:$A,0)),JLRrates!$B:$B,0))),0)</f>
        <v>0</v>
      </c>
    </row>
    <row r="224">
      <c r="A224" t="str">
        <v>mat-paint-sb-basecoat</v>
      </c>
      <c r="B224" t="str">
        <v>Solventborne Basecoat</v>
      </c>
      <c r="C224" t="str">
        <v>Paint</v>
      </c>
      <c r="D224">
        <f>IF($K224&gt;0,$K224,9.2)</f>
        <v>9.2</v>
      </c>
      <c r="E224">
        <f>IF($L224&gt;0,$L224,0)</f>
        <v>0</v>
      </c>
      <c r="F224">
        <v>1050</v>
      </c>
      <c r="G224" t="str">
        <v>UK</v>
      </c>
      <c r="H224" t="str">
        <v>2026-07</v>
      </c>
      <c r="I224" t="str">
        <v>Index-anchored 2026-07. Solventborne colour basecoat — refinish/low-volume lines where waterborne cure is impractical.</v>
      </c>
      <c r="J224" t="str">
        <v>Low</v>
      </c>
      <c r="K224">
        <f>IFERROR(IF(OR(INDEX(Mapping!$C:$C,MATCH($A224,Mapping!$A:$A,0))="",INDEX(JLRrates!$C:$C,MATCH(INDEX(Mapping!$C:$C,MATCH($A224,Mapping!$A:$A,0)),JLRrates!$B:$B,0))=""),0,INDEX(JLRrates!$C:$C,MATCH(INDEX(Mapping!$C:$C,MATCH($A224,Mapping!$A:$A,0)),JLRrates!$B:$B,0))),0)</f>
        <v>0</v>
      </c>
      <c r="L224">
        <f>IFERROR(IF(OR(INDEX(Mapping!$C:$C,MATCH($A224,Mapping!$A:$A,0))="",INDEX(JLRrates!$D:$D,MATCH(INDEX(Mapping!$C:$C,MATCH($A224,Mapping!$A:$A,0)),JLRrates!$B:$B,0))=""),0,INDEX(JLRrates!$D:$D,MATCH(INDEX(Mapping!$C:$C,MATCH($A224,Mapping!$A:$A,0)),JLRrates!$B:$B,0))),0)</f>
        <v>0</v>
      </c>
    </row>
    <row r="225">
      <c r="A225" t="str">
        <v>mat-paint-uv-clear</v>
      </c>
      <c r="B225" t="str">
        <v>UV-Cure Clearcoat</v>
      </c>
      <c r="C225" t="str">
        <v>Paint</v>
      </c>
      <c r="D225">
        <f>IF($K225&gt;0,$K225,14.5)</f>
        <v>14.5</v>
      </c>
      <c r="E225">
        <f>IF($L225&gt;0,$L225,0)</f>
        <v>0</v>
      </c>
      <c r="F225">
        <v>1080</v>
      </c>
      <c r="G225" t="str">
        <v>UK</v>
      </c>
      <c r="H225" t="str">
        <v>2026-07</v>
      </c>
      <c r="I225" t="str">
        <v>Index-anchored 2026-07. UV-cure clearcoat — instant cure, high scratch resistance, headlamp lenses and trim.</v>
      </c>
      <c r="J225" t="str">
        <v>Low</v>
      </c>
      <c r="K225">
        <f>IFERROR(IF(OR(INDEX(Mapping!$C:$C,MATCH($A225,Mapping!$A:$A,0))="",INDEX(JLRrates!$C:$C,MATCH(INDEX(Mapping!$C:$C,MATCH($A225,Mapping!$A:$A,0)),JLRrates!$B:$B,0))=""),0,INDEX(JLRrates!$C:$C,MATCH(INDEX(Mapping!$C:$C,MATCH($A225,Mapping!$A:$A,0)),JLRrates!$B:$B,0))),0)</f>
        <v>0</v>
      </c>
      <c r="L225">
        <f>IFERROR(IF(OR(INDEX(Mapping!$C:$C,MATCH($A225,Mapping!$A:$A,0))="",INDEX(JLRrates!$D:$D,MATCH(INDEX(Mapping!$C:$C,MATCH($A225,Mapping!$A:$A,0)),JLRrates!$B:$B,0))=""),0,INDEX(JLRrates!$D:$D,MATCH(INDEX(Mapping!$C:$C,MATCH($A225,Mapping!$A:$A,0)),JLRrates!$B:$B,0))),0)</f>
        <v>0</v>
      </c>
    </row>
    <row r="226">
      <c r="A226" t="str">
        <v>mat-paint-pvc-underbody</v>
      </c>
      <c r="B226" t="str">
        <v>PVC Underbody / Anti-Chip Sealer</v>
      </c>
      <c r="C226" t="str">
        <v>Paint</v>
      </c>
      <c r="D226">
        <f>IF($K226&gt;0,$K226,2.6)</f>
        <v>2.6</v>
      </c>
      <c r="E226">
        <f>IF($L226&gt;0,$L226,0)</f>
        <v>0</v>
      </c>
      <c r="F226">
        <v>1250</v>
      </c>
      <c r="G226" t="str">
        <v>UK</v>
      </c>
      <c r="H226" t="str">
        <v>2026-07</v>
      </c>
      <c r="I226" t="str">
        <v>Index-anchored 2026-07. Sprayable PVC underbody/anti-chip coating — sills, wheel arches, stone-chip protection.</v>
      </c>
      <c r="J226" t="str">
        <v>Low</v>
      </c>
      <c r="K226">
        <f>IFERROR(IF(OR(INDEX(Mapping!$C:$C,MATCH($A226,Mapping!$A:$A,0))="",INDEX(JLRrates!$C:$C,MATCH(INDEX(Mapping!$C:$C,MATCH($A226,Mapping!$A:$A,0)),JLRrates!$B:$B,0))=""),0,INDEX(JLRrates!$C:$C,MATCH(INDEX(Mapping!$C:$C,MATCH($A226,Mapping!$A:$A,0)),JLRrates!$B:$B,0))),0)</f>
        <v>0</v>
      </c>
      <c r="L226">
        <f>IFERROR(IF(OR(INDEX(Mapping!$C:$C,MATCH($A226,Mapping!$A:$A,0))="",INDEX(JLRrates!$D:$D,MATCH(INDEX(Mapping!$C:$C,MATCH($A226,Mapping!$A:$A,0)),JLRrates!$B:$B,0))=""),0,INDEX(JLRrates!$D:$D,MATCH(INDEX(Mapping!$C:$C,MATCH($A226,Mapping!$A:$A,0)),JLRrates!$B:$B,0))),0)</f>
        <v>0</v>
      </c>
    </row>
    <row r="227">
      <c r="A227" t="str">
        <v>mat-pp-bm</v>
      </c>
      <c r="B227" t="str">
        <v>PP Blow Grade (MFI 1.0, random co-polymer)</v>
      </c>
      <c r="C227" t="str">
        <v>Blow Moulding</v>
      </c>
      <c r="D227">
        <f>IF($K227&gt;0,$K227,1.08)</f>
        <v>1.08</v>
      </c>
      <c r="E227">
        <f>IF($L227&gt;0,$L227,0.1)</f>
        <v>0.1</v>
      </c>
      <c r="F227">
        <v>905</v>
      </c>
      <c r="G227" t="str">
        <v>UK</v>
      </c>
      <c r="H227" t="str">
        <v>2026-07</v>
      </c>
      <c r="I227" t="str">
        <v>UK resin distributor Jun 2026. PP blow grade (random co-polymer, MFI 1.0) — automotive ducts, coolant reservoirs, squeeze bottles. CoolFactor ~3.16 s/mm². Index-anchored 2026-07 refresh.</v>
      </c>
      <c r="J227" t="str">
        <v>Medium</v>
      </c>
      <c r="K227">
        <f>IFERROR(IF(OR(INDEX(Mapping!$C:$C,MATCH($A227,Mapping!$A:$A,0))="",INDEX(JLRrates!$C:$C,MATCH(INDEX(Mapping!$C:$C,MATCH($A227,Mapping!$A:$A,0)),JLRrates!$B:$B,0))=""),0,INDEX(JLRrates!$C:$C,MATCH(INDEX(Mapping!$C:$C,MATCH($A227,Mapping!$A:$A,0)),JLRrates!$B:$B,0))),0)</f>
        <v>0</v>
      </c>
      <c r="L227">
        <f>IFERROR(IF(OR(INDEX(Mapping!$C:$C,MATCH($A227,Mapping!$A:$A,0))="",INDEX(JLRrates!$D:$D,MATCH(INDEX(Mapping!$C:$C,MATCH($A227,Mapping!$A:$A,0)),JLRrates!$B:$B,0))=""),0,INDEX(JLRrates!$D:$D,MATCH(INDEX(Mapping!$C:$C,MATCH($A227,Mapping!$A:$A,0)),JLRrates!$B:$B,0))),0)</f>
        <v>0</v>
      </c>
    </row>
    <row r="228">
      <c r="A228" t="str">
        <v>mat-petg-bm</v>
      </c>
      <c r="B228" t="str">
        <v>PETG Clear Blow Grade</v>
      </c>
      <c r="C228" t="str">
        <v>Blow Moulding</v>
      </c>
      <c r="D228">
        <f>IF($K228&gt;0,$K228,2.18)</f>
        <v>2.18</v>
      </c>
      <c r="E228">
        <f>IF($L228&gt;0,$L228,0.08)</f>
        <v>0.08</v>
      </c>
      <c r="F228">
        <v>1270</v>
      </c>
      <c r="G228" t="str">
        <v>UK</v>
      </c>
      <c r="H228" t="str">
        <v>2026-07</v>
      </c>
      <c r="I228" t="str">
        <v>UK resin distributor Jun 2026. PETG — clear cosmetic/food bottles, chemical containers. Excellent clarity. CoolFactor ~3.0 s/mm². Index-anchored 2026-07 refresh.</v>
      </c>
      <c r="J228" t="str">
        <v>Medium</v>
      </c>
      <c r="K228">
        <f>IFERROR(IF(OR(INDEX(Mapping!$C:$C,MATCH($A228,Mapping!$A:$A,0))="",INDEX(JLRrates!$C:$C,MATCH(INDEX(Mapping!$C:$C,MATCH($A228,Mapping!$A:$A,0)),JLRrates!$B:$B,0))=""),0,INDEX(JLRrates!$C:$C,MATCH(INDEX(Mapping!$C:$C,MATCH($A228,Mapping!$A:$A,0)),JLRrates!$B:$B,0))),0)</f>
        <v>0</v>
      </c>
      <c r="L228">
        <f>IFERROR(IF(OR(INDEX(Mapping!$C:$C,MATCH($A228,Mapping!$A:$A,0))="",INDEX(JLRrates!$D:$D,MATCH(INDEX(Mapping!$C:$C,MATCH($A228,Mapping!$A:$A,0)),JLRrates!$B:$B,0))=""),0,INDEX(JLRrates!$D:$D,MATCH(INDEX(Mapping!$C:$C,MATCH($A228,Mapping!$A:$A,0)),JLRrates!$B:$B,0))),0)</f>
        <v>0</v>
      </c>
    </row>
    <row r="229">
      <c r="A229" t="str">
        <v>mat-pvc-bm</v>
      </c>
      <c r="B229" t="str">
        <v>PVC Rigid Blow Grade (uPVC bottle grade)</v>
      </c>
      <c r="C229" t="str">
        <v>Blow Moulding</v>
      </c>
      <c r="D229">
        <f>IF($K229&gt;0,$K229,0.92)</f>
        <v>0.92</v>
      </c>
      <c r="E229">
        <f>IF($L229&gt;0,$L229,0.05)</f>
        <v>0.05</v>
      </c>
      <c r="F229">
        <v>1380</v>
      </c>
      <c r="G229" t="str">
        <v>UK</v>
      </c>
      <c r="H229" t="str">
        <v>2026-07</v>
      </c>
      <c r="I229" t="str">
        <v>UK resin distributor Jun 2026. Rigid PVC blow grade — detergent/shampoo/food bottles. Good chemical resistance. CoolFactor ~2.5 s/mm². Index-anchored 2026-07 refresh.</v>
      </c>
      <c r="J229" t="str">
        <v>Medium</v>
      </c>
      <c r="K229">
        <f>IFERROR(IF(OR(INDEX(Mapping!$C:$C,MATCH($A229,Mapping!$A:$A,0))="",INDEX(JLRrates!$C:$C,MATCH(INDEX(Mapping!$C:$C,MATCH($A229,Mapping!$A:$A,0)),JLRrates!$B:$B,0))=""),0,INDEX(JLRrates!$C:$C,MATCH(INDEX(Mapping!$C:$C,MATCH($A229,Mapping!$A:$A,0)),JLRrates!$B:$B,0))),0)</f>
        <v>0</v>
      </c>
      <c r="L229">
        <f>IFERROR(IF(OR(INDEX(Mapping!$C:$C,MATCH($A229,Mapping!$A:$A,0))="",INDEX(JLRrates!$D:$D,MATCH(INDEX(Mapping!$C:$C,MATCH($A229,Mapping!$A:$A,0)),JLRrates!$B:$B,0))=""),0,INDEX(JLRrates!$D:$D,MATCH(INDEX(Mapping!$C:$C,MATCH($A229,Mapping!$A:$A,0)),JLRrates!$B:$B,0))),0)</f>
        <v>0</v>
      </c>
    </row>
    <row r="230">
      <c r="A230" t="str">
        <v>mat-tpe-bm</v>
      </c>
      <c r="B230" t="str">
        <v>TPE Blow Grade 40 Shore A</v>
      </c>
      <c r="C230" t="str">
        <v>Blow Moulding</v>
      </c>
      <c r="D230">
        <f>IF($K230&gt;0,$K230,2.48)</f>
        <v>2.48</v>
      </c>
      <c r="E230">
        <f>IF($L230&gt;0,$L230,0.12)</f>
        <v>0.12</v>
      </c>
      <c r="F230">
        <v>900</v>
      </c>
      <c r="G230" t="str">
        <v>UK</v>
      </c>
      <c r="H230" t="str">
        <v>2026-07</v>
      </c>
      <c r="I230" t="str">
        <v>UK resin distributor Jun 2026. TPE blow grade — soft-touch squeeze bottles, medical bulbs, automotive boots, flexible ducts. Shore 40A. Index-anchored 2026-07 refresh.</v>
      </c>
      <c r="J230" t="str">
        <v>Low</v>
      </c>
      <c r="K230">
        <f>IFERROR(IF(OR(INDEX(Mapping!$C:$C,MATCH($A230,Mapping!$A:$A,0))="",INDEX(JLRrates!$C:$C,MATCH(INDEX(Mapping!$C:$C,MATCH($A230,Mapping!$A:$A,0)),JLRrates!$B:$B,0))=""),0,INDEX(JLRrates!$C:$C,MATCH(INDEX(Mapping!$C:$C,MATCH($A230,Mapping!$A:$A,0)),JLRrates!$B:$B,0))),0)</f>
        <v>0</v>
      </c>
      <c r="L230">
        <f>IFERROR(IF(OR(INDEX(Mapping!$C:$C,MATCH($A230,Mapping!$A:$A,0))="",INDEX(JLRrates!$D:$D,MATCH(INDEX(Mapping!$C:$C,MATCH($A230,Mapping!$A:$A,0)),JLRrates!$B:$B,0))=""),0,INDEX(JLRrates!$D:$D,MATCH(INDEX(Mapping!$C:$C,MATCH($A230,Mapping!$A:$A,0)),JLRrates!$B:$B,0))),0)</f>
        <v>0</v>
      </c>
    </row>
    <row r="231">
      <c r="A231" t="str">
        <v>mat-eva-bm</v>
      </c>
      <c r="B231" t="str">
        <v>EVA Blow Grade (14% VA)</v>
      </c>
      <c r="C231" t="str">
        <v>Blow Moulding</v>
      </c>
      <c r="D231">
        <f>IF($K231&gt;0,$K231,1.68)</f>
        <v>1.68</v>
      </c>
      <c r="E231">
        <f>IF($L231&gt;0,$L231,0.08)</f>
        <v>0.08</v>
      </c>
      <c r="F231">
        <v>930</v>
      </c>
      <c r="G231" t="str">
        <v>UK</v>
      </c>
      <c r="H231" t="str">
        <v>2026-07</v>
      </c>
      <c r="I231" t="str">
        <v>UK resin distributor Jun 2026. EVA 14% vinyl acetate — flexible squeeze bottles, wine casks, co-extrusion tie layers. CoolFactor ~3.3 s/mm². Index-anchored 2026-07 refresh.</v>
      </c>
      <c r="J231" t="str">
        <v>Low</v>
      </c>
      <c r="K231">
        <f>IFERROR(IF(OR(INDEX(Mapping!$C:$C,MATCH($A231,Mapping!$A:$A,0))="",INDEX(JLRrates!$C:$C,MATCH(INDEX(Mapping!$C:$C,MATCH($A231,Mapping!$A:$A,0)),JLRrates!$B:$B,0))=""),0,INDEX(JLRrates!$C:$C,MATCH(INDEX(Mapping!$C:$C,MATCH($A231,Mapping!$A:$A,0)),JLRrates!$B:$B,0))),0)</f>
        <v>0</v>
      </c>
      <c r="L231">
        <f>IFERROR(IF(OR(INDEX(Mapping!$C:$C,MATCH($A231,Mapping!$A:$A,0))="",INDEX(JLRrates!$D:$D,MATCH(INDEX(Mapping!$C:$C,MATCH($A231,Mapping!$A:$A,0)),JLRrates!$B:$B,0))=""),0,INDEX(JLRrates!$D:$D,MATCH(INDEX(Mapping!$C:$C,MATCH($A231,Mapping!$A:$A,0)),JLRrates!$B:$B,0))),0)</f>
        <v>0</v>
      </c>
    </row>
    <row r="232">
      <c r="A232" t="str">
        <v>mat-hdpe-bm</v>
      </c>
      <c r="B232" t="str">
        <v>HDPE Blow Grade (jerry can / drum)</v>
      </c>
      <c r="C232" t="str">
        <v>Blow Moulding</v>
      </c>
      <c r="D232">
        <f>IF($K232&gt;0,$K232,1.15)</f>
        <v>1.15</v>
      </c>
      <c r="E232">
        <f>IF($L232&gt;0,$L232,0.12)</f>
        <v>0.12</v>
      </c>
      <c r="F232">
        <v>950</v>
      </c>
      <c r="G232" t="str">
        <v>UK</v>
      </c>
      <c r="H232" t="str">
        <v>2026-07</v>
      </c>
      <c r="I232" t="str">
        <v>Index-anchored 2026-07. Blow-moulding HDPE (high MW) — jerry cans, drums, IBC bottles, industrial containers. The workhorse blow resin. CoolFactor ~3.0 s/mm².</v>
      </c>
      <c r="J232" t="str">
        <v>Medium</v>
      </c>
      <c r="K232">
        <f>IFERROR(IF(OR(INDEX(Mapping!$C:$C,MATCH($A232,Mapping!$A:$A,0))="",INDEX(JLRrates!$C:$C,MATCH(INDEX(Mapping!$C:$C,MATCH($A232,Mapping!$A:$A,0)),JLRrates!$B:$B,0))=""),0,INDEX(JLRrates!$C:$C,MATCH(INDEX(Mapping!$C:$C,MATCH($A232,Mapping!$A:$A,0)),JLRrates!$B:$B,0))),0)</f>
        <v>0</v>
      </c>
      <c r="L232">
        <f>IFERROR(IF(OR(INDEX(Mapping!$C:$C,MATCH($A232,Mapping!$A:$A,0))="",INDEX(JLRrates!$D:$D,MATCH(INDEX(Mapping!$C:$C,MATCH($A232,Mapping!$A:$A,0)),JLRrates!$B:$B,0))=""),0,INDEX(JLRrates!$D:$D,MATCH(INDEX(Mapping!$C:$C,MATCH($A232,Mapping!$A:$A,0)),JLRrates!$B:$B,0))),0)</f>
        <v>0</v>
      </c>
    </row>
    <row r="233">
      <c r="A233" t="str">
        <v>mat-hdpe-fuel-coex</v>
      </c>
      <c r="B233" t="str">
        <v>HDPE Coex Fuel-Tank Grade (6-layer/EVOH)</v>
      </c>
      <c r="C233" t="str">
        <v>Blow Moulding</v>
      </c>
      <c r="D233">
        <f>IF($K233&gt;0,$K233,1.55)</f>
        <v>1.55</v>
      </c>
      <c r="E233">
        <f>IF($L233&gt;0,$L233,0.1)</f>
        <v>0.1</v>
      </c>
      <c r="F233">
        <v>950</v>
      </c>
      <c r="G233" t="str">
        <v>UK</v>
      </c>
      <c r="H233" t="str">
        <v>2026-07</v>
      </c>
      <c r="I233" t="str">
        <v>Index-anchored 2026-07. Multilayer HDPE/EVOH barrier grade — automotive fuel tanks, permeation-controlled containers. CoolFactor ~3.0 s/mm².</v>
      </c>
      <c r="J233" t="str">
        <v>Low</v>
      </c>
      <c r="K233">
        <f>IFERROR(IF(OR(INDEX(Mapping!$C:$C,MATCH($A233,Mapping!$A:$A,0))="",INDEX(JLRrates!$C:$C,MATCH(INDEX(Mapping!$C:$C,MATCH($A233,Mapping!$A:$A,0)),JLRrates!$B:$B,0))=""),0,INDEX(JLRrates!$C:$C,MATCH(INDEX(Mapping!$C:$C,MATCH($A233,Mapping!$A:$A,0)),JLRrates!$B:$B,0))),0)</f>
        <v>0</v>
      </c>
      <c r="L233">
        <f>IFERROR(IF(OR(INDEX(Mapping!$C:$C,MATCH($A233,Mapping!$A:$A,0))="",INDEX(JLRrates!$D:$D,MATCH(INDEX(Mapping!$C:$C,MATCH($A233,Mapping!$A:$A,0)),JLRrates!$B:$B,0))=""),0,INDEX(JLRrates!$D:$D,MATCH(INDEX(Mapping!$C:$C,MATCH($A233,Mapping!$A:$A,0)),JLRrates!$B:$B,0))),0)</f>
        <v>0</v>
      </c>
    </row>
    <row r="234">
      <c r="A234" t="str">
        <v>mat-pa6-bm</v>
      </c>
      <c r="B234" t="str">
        <v>PA6 Blow Grade (charge-air / ducts)</v>
      </c>
      <c r="C234" t="str">
        <v>Blow Moulding</v>
      </c>
      <c r="D234">
        <f>IF($K234&gt;0,$K234,3.1)</f>
        <v>3.1</v>
      </c>
      <c r="E234">
        <f>IF($L234&gt;0,$L234,0.1)</f>
        <v>0.1</v>
      </c>
      <c r="F234">
        <v>1130</v>
      </c>
      <c r="G234" t="str">
        <v>UK</v>
      </c>
      <c r="H234" t="str">
        <v>2026-07</v>
      </c>
      <c r="I234" t="str">
        <v>Index-anchored 2026-07. High-melt-strength PA6 — 3D-blown charge-air ducts, turbo hoses, under-bonnet. CoolFactor ~2.4 s/mm².</v>
      </c>
      <c r="J234" t="str">
        <v>Low</v>
      </c>
      <c r="K234">
        <f>IFERROR(IF(OR(INDEX(Mapping!$C:$C,MATCH($A234,Mapping!$A:$A,0))="",INDEX(JLRrates!$C:$C,MATCH(INDEX(Mapping!$C:$C,MATCH($A234,Mapping!$A:$A,0)),JLRrates!$B:$B,0))=""),0,INDEX(JLRrates!$C:$C,MATCH(INDEX(Mapping!$C:$C,MATCH($A234,Mapping!$A:$A,0)),JLRrates!$B:$B,0))),0)</f>
        <v>0</v>
      </c>
      <c r="L234">
        <f>IFERROR(IF(OR(INDEX(Mapping!$C:$C,MATCH($A234,Mapping!$A:$A,0))="",INDEX(JLRrates!$D:$D,MATCH(INDEX(Mapping!$C:$C,MATCH($A234,Mapping!$A:$A,0)),JLRrates!$B:$B,0))=""),0,INDEX(JLRrates!$D:$D,MATCH(INDEX(Mapping!$C:$C,MATCH($A234,Mapping!$A:$A,0)),JLRrates!$B:$B,0))),0)</f>
        <v>0</v>
      </c>
    </row>
    <row r="235">
      <c r="A235" t="str">
        <v>mat-pc-bm</v>
      </c>
      <c r="B235" t="str">
        <v>PC Blow Grade (clear/impact)</v>
      </c>
      <c r="C235" t="str">
        <v>Blow Moulding</v>
      </c>
      <c r="D235">
        <f>IF($K235&gt;0,$K235,3.9)</f>
        <v>3.9</v>
      </c>
      <c r="E235">
        <f>IF($L235&gt;0,$L235,0.08)</f>
        <v>0.08</v>
      </c>
      <c r="F235">
        <v>1200</v>
      </c>
      <c r="G235" t="str">
        <v>UK</v>
      </c>
      <c r="H235" t="str">
        <v>2026-07</v>
      </c>
      <c r="I235" t="str">
        <v>Index-anchored 2026-07. Blow-grade polycarbonate — water bottles (5-gal), light globes, impact-clear containers. CoolFactor ~2.5 s/mm².</v>
      </c>
      <c r="J235" t="str">
        <v>Low</v>
      </c>
      <c r="K235">
        <f>IFERROR(IF(OR(INDEX(Mapping!$C:$C,MATCH($A235,Mapping!$A:$A,0))="",INDEX(JLRrates!$C:$C,MATCH(INDEX(Mapping!$C:$C,MATCH($A235,Mapping!$A:$A,0)),JLRrates!$B:$B,0))=""),0,INDEX(JLRrates!$C:$C,MATCH(INDEX(Mapping!$C:$C,MATCH($A235,Mapping!$A:$A,0)),JLRrates!$B:$B,0))),0)</f>
        <v>0</v>
      </c>
      <c r="L235">
        <f>IFERROR(IF(OR(INDEX(Mapping!$C:$C,MATCH($A235,Mapping!$A:$A,0))="",INDEX(JLRrates!$D:$D,MATCH(INDEX(Mapping!$C:$C,MATCH($A235,Mapping!$A:$A,0)),JLRrates!$B:$B,0))=""),0,INDEX(JLRrates!$D:$D,MATCH(INDEX(Mapping!$C:$C,MATCH($A235,Mapping!$A:$A,0)),JLRrates!$B:$B,0))),0)</f>
        <v>0</v>
      </c>
    </row>
    <row r="236">
      <c r="A236" t="str">
        <v>mat-ldpe-bm</v>
      </c>
      <c r="B236" t="str">
        <v>LDPE Blow Grade</v>
      </c>
      <c r="C236" t="str">
        <v>Blow Moulding</v>
      </c>
      <c r="D236">
        <f>IF($K236&gt;0,$K236,0.98)</f>
        <v>0.98</v>
      </c>
      <c r="E236">
        <f>IF($L236&gt;0,$L236,0.1)</f>
        <v>0.1</v>
      </c>
      <c r="F236">
        <v>920</v>
      </c>
      <c r="G236" t="str">
        <v>UK</v>
      </c>
      <c r="H236" t="str">
        <v>2026-07</v>
      </c>
      <c r="I236" t="str">
        <v>Index-anchored 2026-07. Soft squeeze bottles, tubes — low stiffness, high ESCR. CoolFactor ~3.5 s/mm².</v>
      </c>
      <c r="J236" t="str">
        <v>Medium</v>
      </c>
      <c r="K236">
        <f>IFERROR(IF(OR(INDEX(Mapping!$C:$C,MATCH($A236,Mapping!$A:$A,0))="",INDEX(JLRrates!$C:$C,MATCH(INDEX(Mapping!$C:$C,MATCH($A236,Mapping!$A:$A,0)),JLRrates!$B:$B,0))=""),0,INDEX(JLRrates!$C:$C,MATCH(INDEX(Mapping!$C:$C,MATCH($A236,Mapping!$A:$A,0)),JLRrates!$B:$B,0))),0)</f>
        <v>0</v>
      </c>
      <c r="L236">
        <f>IFERROR(IF(OR(INDEX(Mapping!$C:$C,MATCH($A236,Mapping!$A:$A,0))="",INDEX(JLRrates!$D:$D,MATCH(INDEX(Mapping!$C:$C,MATCH($A236,Mapping!$A:$A,0)),JLRrates!$B:$B,0))=""),0,INDEX(JLRrates!$D:$D,MATCH(INDEX(Mapping!$C:$C,MATCH($A236,Mapping!$A:$A,0)),JLRrates!$B:$B,0))),0)</f>
        <v>0</v>
      </c>
    </row>
    <row r="237">
      <c r="A237" t="str">
        <v>mat-lldpe-bm</v>
      </c>
      <c r="B237" t="str">
        <v>LLDPE Blow Grade</v>
      </c>
      <c r="C237" t="str">
        <v>Blow Moulding</v>
      </c>
      <c r="D237">
        <f>IF($K237&gt;0,$K237,1.05)</f>
        <v>1.05</v>
      </c>
      <c r="E237">
        <f>IF($L237&gt;0,$L237,0.1)</f>
        <v>0.1</v>
      </c>
      <c r="F237">
        <v>925</v>
      </c>
      <c r="G237" t="str">
        <v>UK</v>
      </c>
      <c r="H237" t="str">
        <v>2026-07</v>
      </c>
      <c r="I237" t="str">
        <v>Index-anchored 2026-07. Tough small containers, toys — better ESCR/impact than HDPE. CoolFactor ~3.4 s/mm².</v>
      </c>
      <c r="J237" t="str">
        <v>Medium</v>
      </c>
      <c r="K237">
        <f>IFERROR(IF(OR(INDEX(Mapping!$C:$C,MATCH($A237,Mapping!$A:$A,0))="",INDEX(JLRrates!$C:$C,MATCH(INDEX(Mapping!$C:$C,MATCH($A237,Mapping!$A:$A,0)),JLRrates!$B:$B,0))=""),0,INDEX(JLRrates!$C:$C,MATCH(INDEX(Mapping!$C:$C,MATCH($A237,Mapping!$A:$A,0)),JLRrates!$B:$B,0))),0)</f>
        <v>0</v>
      </c>
      <c r="L237">
        <f>IFERROR(IF(OR(INDEX(Mapping!$C:$C,MATCH($A237,Mapping!$A:$A,0))="",INDEX(JLRrates!$D:$D,MATCH(INDEX(Mapping!$C:$C,MATCH($A237,Mapping!$A:$A,0)),JLRrates!$B:$B,0))=""),0,INDEX(JLRrates!$D:$D,MATCH(INDEX(Mapping!$C:$C,MATCH($A237,Mapping!$A:$A,0)),JLRrates!$B:$B,0))),0)</f>
        <v>0</v>
      </c>
    </row>
    <row r="238">
      <c r="A238" t="str">
        <v>mat-pet-preform</v>
      </c>
      <c r="B238" t="str">
        <v>PET Stretch-Blow Bottle Grade</v>
      </c>
      <c r="C238" t="str">
        <v>Blow Moulding</v>
      </c>
      <c r="D238">
        <f>IF($K238&gt;0,$K238,1.25)</f>
        <v>1.25</v>
      </c>
      <c r="E238">
        <f>IF($L238&gt;0,$L238,0.1)</f>
        <v>0.1</v>
      </c>
      <c r="F238">
        <v>1370</v>
      </c>
      <c r="G238" t="str">
        <v>UK</v>
      </c>
      <c r="H238" t="str">
        <v>2026-07</v>
      </c>
      <c r="I238" t="str">
        <v>Index-anchored 2026-07. SBM water/CSD/juice bottles (preform reheat-blow). IV ~0.80. CoolFactor ~3.0 s/mm².</v>
      </c>
      <c r="J238" t="str">
        <v>Medium</v>
      </c>
      <c r="K238">
        <f>IFERROR(IF(OR(INDEX(Mapping!$C:$C,MATCH($A238,Mapping!$A:$A,0))="",INDEX(JLRrates!$C:$C,MATCH(INDEX(Mapping!$C:$C,MATCH($A238,Mapping!$A:$A,0)),JLRrates!$B:$B,0))=""),0,INDEX(JLRrates!$C:$C,MATCH(INDEX(Mapping!$C:$C,MATCH($A238,Mapping!$A:$A,0)),JLRrates!$B:$B,0))),0)</f>
        <v>0</v>
      </c>
      <c r="L238">
        <f>IFERROR(IF(OR(INDEX(Mapping!$C:$C,MATCH($A238,Mapping!$A:$A,0))="",INDEX(JLRrates!$D:$D,MATCH(INDEX(Mapping!$C:$C,MATCH($A238,Mapping!$A:$A,0)),JLRrates!$B:$B,0))=""),0,INDEX(JLRrates!$D:$D,MATCH(INDEX(Mapping!$C:$C,MATCH($A238,Mapping!$A:$A,0)),JLRrates!$B:$B,0))),0)</f>
        <v>0</v>
      </c>
    </row>
    <row r="239">
      <c r="A239" t="str">
        <v>mat-tritan-bm</v>
      </c>
      <c r="B239" t="str">
        <v>Tritan Copolyester (BPA-free clear)</v>
      </c>
      <c r="C239" t="str">
        <v>Blow Moulding</v>
      </c>
      <c r="D239">
        <f>IF($K239&gt;0,$K239,6.5)</f>
        <v>6.5</v>
      </c>
      <c r="E239">
        <f>IF($L239&gt;0,$L239,0.15)</f>
        <v>0.15</v>
      </c>
      <c r="F239">
        <v>1180</v>
      </c>
      <c r="G239" t="str">
        <v>UK</v>
      </c>
      <c r="H239" t="str">
        <v>2026-07</v>
      </c>
      <c r="I239" t="str">
        <v>Index-anchored 2026-07. Premium clarity + impact, BPA-free — reusable bottles, tumblers, medical. CoolFactor ~3.0 s/mm².</v>
      </c>
      <c r="J239" t="str">
        <v>Low</v>
      </c>
      <c r="K239">
        <f>IFERROR(IF(OR(INDEX(Mapping!$C:$C,MATCH($A239,Mapping!$A:$A,0))="",INDEX(JLRrates!$C:$C,MATCH(INDEX(Mapping!$C:$C,MATCH($A239,Mapping!$A:$A,0)),JLRrates!$B:$B,0))=""),0,INDEX(JLRrates!$C:$C,MATCH(INDEX(Mapping!$C:$C,MATCH($A239,Mapping!$A:$A,0)),JLRrates!$B:$B,0))),0)</f>
        <v>0</v>
      </c>
      <c r="L239">
        <f>IFERROR(IF(OR(INDEX(Mapping!$C:$C,MATCH($A239,Mapping!$A:$A,0))="",INDEX(JLRrates!$D:$D,MATCH(INDEX(Mapping!$C:$C,MATCH($A239,Mapping!$A:$A,0)),JLRrates!$B:$B,0))=""),0,INDEX(JLRrates!$D:$D,MATCH(INDEX(Mapping!$C:$C,MATCH($A239,Mapping!$A:$A,0)),JLRrates!$B:$B,0))),0)</f>
        <v>0</v>
      </c>
    </row>
    <row r="240">
      <c r="A240" t="str">
        <v>mat-biope-bm</v>
      </c>
      <c r="B240" t="str">
        <v>Bio-PE Blow Grade (sugarcane HDPE)</v>
      </c>
      <c r="C240" t="str">
        <v>Blow Moulding</v>
      </c>
      <c r="D240">
        <f>IF($K240&gt;0,$K240,2.2)</f>
        <v>2.2</v>
      </c>
      <c r="E240">
        <f>IF($L240&gt;0,$L240,0.12)</f>
        <v>0.12</v>
      </c>
      <c r="F240">
        <v>950</v>
      </c>
      <c r="G240" t="str">
        <v>UK</v>
      </c>
      <c r="H240" t="str">
        <v>2026-07</v>
      </c>
      <c r="I240" t="str">
        <v>Index-anchored 2026-07. Drop-in renewable HDPE (I’m green) — cosmetics/food bottles, low-CO₂ packaging. CoolFactor ~3.0 s/mm².</v>
      </c>
      <c r="J240" t="str">
        <v>Low</v>
      </c>
      <c r="K240">
        <f>IFERROR(IF(OR(INDEX(Mapping!$C:$C,MATCH($A240,Mapping!$A:$A,0))="",INDEX(JLRrates!$C:$C,MATCH(INDEX(Mapping!$C:$C,MATCH($A240,Mapping!$A:$A,0)),JLRrates!$B:$B,0))=""),0,INDEX(JLRrates!$C:$C,MATCH(INDEX(Mapping!$C:$C,MATCH($A240,Mapping!$A:$A,0)),JLRrates!$B:$B,0))),0)</f>
        <v>0</v>
      </c>
      <c r="L240">
        <f>IFERROR(IF(OR(INDEX(Mapping!$C:$C,MATCH($A240,Mapping!$A:$A,0))="",INDEX(JLRrates!$D:$D,MATCH(INDEX(Mapping!$C:$C,MATCH($A240,Mapping!$A:$A,0)),JLRrates!$B:$B,0))=""),0,INDEX(JLRrates!$D:$D,MATCH(INDEX(Mapping!$C:$C,MATCH($A240,Mapping!$A:$A,0)),JLRrates!$B:$B,0))),0)</f>
        <v>0</v>
      </c>
    </row>
    <row r="241">
      <c r="A241" t="str">
        <v>mat-rhdpe-bm</v>
      </c>
      <c r="B241" t="str">
        <v>Recycled HDPE Blow Grade (PCR)</v>
      </c>
      <c r="C241" t="str">
        <v>Blow Moulding</v>
      </c>
      <c r="D241">
        <f>IF($K241&gt;0,$K241,0.95)</f>
        <v>0.95</v>
      </c>
      <c r="E241">
        <f>IF($L241&gt;0,$L241,0.12)</f>
        <v>0.12</v>
      </c>
      <c r="F241">
        <v>950</v>
      </c>
      <c r="G241" t="str">
        <v>UK</v>
      </c>
      <c r="H241" t="str">
        <v>2026-07</v>
      </c>
      <c r="I241" t="str">
        <v>Index-anchored 2026-07. Post-consumer HDPE — non-food bottles, detergent, drums; wider property spread. CoolFactor ~3.0 s/mm².</v>
      </c>
      <c r="J241" t="str">
        <v>Low</v>
      </c>
      <c r="K241">
        <f>IFERROR(IF(OR(INDEX(Mapping!$C:$C,MATCH($A241,Mapping!$A:$A,0))="",INDEX(JLRrates!$C:$C,MATCH(INDEX(Mapping!$C:$C,MATCH($A241,Mapping!$A:$A,0)),JLRrates!$B:$B,0))=""),0,INDEX(JLRrates!$C:$C,MATCH(INDEX(Mapping!$C:$C,MATCH($A241,Mapping!$A:$A,0)),JLRrates!$B:$B,0))),0)</f>
        <v>0</v>
      </c>
      <c r="L241">
        <f>IFERROR(IF(OR(INDEX(Mapping!$C:$C,MATCH($A241,Mapping!$A:$A,0))="",INDEX(JLRrates!$D:$D,MATCH(INDEX(Mapping!$C:$C,MATCH($A241,Mapping!$A:$A,0)),JLRrates!$B:$B,0))=""),0,INDEX(JLRrates!$D:$D,MATCH(INDEX(Mapping!$C:$C,MATCH($A241,Mapping!$A:$A,0)),JLRrates!$B:$B,0))),0)</f>
        <v>0</v>
      </c>
    </row>
    <row r="242">
      <c r="A242" t="str">
        <v>mat-rpp-bm</v>
      </c>
      <c r="B242" t="str">
        <v>Recycled PP Blow Grade (PCR)</v>
      </c>
      <c r="C242" t="str">
        <v>Blow Moulding</v>
      </c>
      <c r="D242">
        <f>IF($K242&gt;0,$K242,0.9)</f>
        <v>0.9</v>
      </c>
      <c r="E242">
        <f>IF($L242&gt;0,$L242,0.1)</f>
        <v>0.1</v>
      </c>
      <c r="F242">
        <v>905</v>
      </c>
      <c r="G242" t="str">
        <v>UK</v>
      </c>
      <c r="H242" t="str">
        <v>2026-07</v>
      </c>
      <c r="I242" t="str">
        <v>Index-anchored 2026-07. Post-consumer PP — non-visible/industrial containers; lower CO₂, wider tolerance. CoolFactor ~3.16 s/mm².</v>
      </c>
      <c r="J242" t="str">
        <v>Low</v>
      </c>
      <c r="K242">
        <f>IFERROR(IF(OR(INDEX(Mapping!$C:$C,MATCH($A242,Mapping!$A:$A,0))="",INDEX(JLRrates!$C:$C,MATCH(INDEX(Mapping!$C:$C,MATCH($A242,Mapping!$A:$A,0)),JLRrates!$B:$B,0))=""),0,INDEX(JLRrates!$C:$C,MATCH(INDEX(Mapping!$C:$C,MATCH($A242,Mapping!$A:$A,0)),JLRrates!$B:$B,0))),0)</f>
        <v>0</v>
      </c>
      <c r="L242">
        <f>IFERROR(IF(OR(INDEX(Mapping!$C:$C,MATCH($A242,Mapping!$A:$A,0))="",INDEX(JLRrates!$D:$D,MATCH(INDEX(Mapping!$C:$C,MATCH($A242,Mapping!$A:$A,0)),JLRrates!$B:$B,0))=""),0,INDEX(JLRrates!$D:$D,MATCH(INDEX(Mapping!$C:$C,MATCH($A242,Mapping!$A:$A,0)),JLRrates!$B:$B,0))),0)</f>
        <v>0</v>
      </c>
    </row>
    <row r="243">
      <c r="A243" t="str">
        <v>mat-pe100-pipe</v>
      </c>
      <c r="B243" t="str">
        <v>PE100 Pipe Grade (black, PE4710)</v>
      </c>
      <c r="C243" t="str">
        <v>Extrusion</v>
      </c>
      <c r="D243">
        <f>IF($K243&gt;0,$K243,1.35)</f>
        <v>1.35</v>
      </c>
      <c r="E243">
        <f>IF($L243&gt;0,$L243,0.12)</f>
        <v>0.12</v>
      </c>
      <c r="F243">
        <v>960</v>
      </c>
      <c r="G243" t="str">
        <v>UK</v>
      </c>
      <c r="H243" t="str">
        <v>2026-07</v>
      </c>
      <c r="I243" t="str">
        <v>UK pipe-resin benchmark 2026-07. High-MW bimodal HDPE — pressure water/gas pipe (PE4710). Die swell ~15%.</v>
      </c>
      <c r="J243" t="str">
        <v>Medium</v>
      </c>
      <c r="K243">
        <f>IFERROR(IF(OR(INDEX(Mapping!$C:$C,MATCH($A243,Mapping!$A:$A,0))="",INDEX(JLRrates!$C:$C,MATCH(INDEX(Mapping!$C:$C,MATCH($A243,Mapping!$A:$A,0)),JLRrates!$B:$B,0))=""),0,INDEX(JLRrates!$C:$C,MATCH(INDEX(Mapping!$C:$C,MATCH($A243,Mapping!$A:$A,0)),JLRrates!$B:$B,0))),0)</f>
        <v>0</v>
      </c>
      <c r="L243">
        <f>IFERROR(IF(OR(INDEX(Mapping!$C:$C,MATCH($A243,Mapping!$A:$A,0))="",INDEX(JLRrates!$D:$D,MATCH(INDEX(Mapping!$C:$C,MATCH($A243,Mapping!$A:$A,0)),JLRrates!$B:$B,0))=""),0,INDEX(JLRrates!$D:$D,MATCH(INDEX(Mapping!$C:$C,MATCH($A243,Mapping!$A:$A,0)),JLRrates!$B:$B,0))),0)</f>
        <v>0</v>
      </c>
    </row>
    <row r="244">
      <c r="A244" t="str">
        <v>mat-pe80-pipe</v>
      </c>
      <c r="B244" t="str">
        <v>PE80 Pipe Grade</v>
      </c>
      <c r="C244" t="str">
        <v>Extrusion</v>
      </c>
      <c r="D244">
        <f>IF($K244&gt;0,$K244,1.28)</f>
        <v>1.28</v>
      </c>
      <c r="E244">
        <f>IF($L244&gt;0,$L244,0.12)</f>
        <v>0.12</v>
      </c>
      <c r="F244">
        <v>950</v>
      </c>
      <c r="G244" t="str">
        <v>UK</v>
      </c>
      <c r="H244" t="str">
        <v>2026-07</v>
      </c>
      <c r="I244" t="str">
        <v>UK pipe-resin benchmark 2026-07. Medium-density pipe grade — gas/drainage pipe.</v>
      </c>
      <c r="J244" t="str">
        <v>Medium</v>
      </c>
      <c r="K244">
        <f>IFERROR(IF(OR(INDEX(Mapping!$C:$C,MATCH($A244,Mapping!$A:$A,0))="",INDEX(JLRrates!$C:$C,MATCH(INDEX(Mapping!$C:$C,MATCH($A244,Mapping!$A:$A,0)),JLRrates!$B:$B,0))=""),0,INDEX(JLRrates!$C:$C,MATCH(INDEX(Mapping!$C:$C,MATCH($A244,Mapping!$A:$A,0)),JLRrates!$B:$B,0))),0)</f>
        <v>0</v>
      </c>
      <c r="L244">
        <f>IFERROR(IF(OR(INDEX(Mapping!$C:$C,MATCH($A244,Mapping!$A:$A,0))="",INDEX(JLRrates!$D:$D,MATCH(INDEX(Mapping!$C:$C,MATCH($A244,Mapping!$A:$A,0)),JLRrates!$B:$B,0))=""),0,INDEX(JLRrates!$D:$D,MATCH(INDEX(Mapping!$C:$C,MATCH($A244,Mapping!$A:$A,0)),JLRrates!$B:$B,0))),0)</f>
        <v>0</v>
      </c>
    </row>
    <row r="245">
      <c r="A245" t="str">
        <v>mat-upvc-pipe</v>
      </c>
      <c r="B245" t="str">
        <v>uPVC Pipe Compound (K67, dry-blend)</v>
      </c>
      <c r="C245" t="str">
        <v>Extrusion</v>
      </c>
      <c r="D245">
        <f>IF($K245&gt;0,$K245,0.9)</f>
        <v>0.9</v>
      </c>
      <c r="E245">
        <f>IF($L245&gt;0,$L245,0.05)</f>
        <v>0.05</v>
      </c>
      <c r="F245">
        <v>1420</v>
      </c>
      <c r="G245" t="str">
        <v>UK</v>
      </c>
      <c r="H245" t="str">
        <v>2026-07</v>
      </c>
      <c r="I245" t="str">
        <v>UK PVC compounder 2026-07. Rigid PVC-U pressure/soil pipe compound (Ca-Zn stabilised). Low die swell ~5%. Heat-sensitive — limits output.</v>
      </c>
      <c r="J245" t="str">
        <v>Medium</v>
      </c>
      <c r="K245">
        <f>IFERROR(IF(OR(INDEX(Mapping!$C:$C,MATCH($A245,Mapping!$A:$A,0))="",INDEX(JLRrates!$C:$C,MATCH(INDEX(Mapping!$C:$C,MATCH($A245,Mapping!$A:$A,0)),JLRrates!$B:$B,0))=""),0,INDEX(JLRrates!$C:$C,MATCH(INDEX(Mapping!$C:$C,MATCH($A245,Mapping!$A:$A,0)),JLRrates!$B:$B,0))),0)</f>
        <v>0</v>
      </c>
      <c r="L245">
        <f>IFERROR(IF(OR(INDEX(Mapping!$C:$C,MATCH($A245,Mapping!$A:$A,0))="",INDEX(JLRrates!$D:$D,MATCH(INDEX(Mapping!$C:$C,MATCH($A245,Mapping!$A:$A,0)),JLRrates!$B:$B,0))=""),0,INDEX(JLRrates!$D:$D,MATCH(INDEX(Mapping!$C:$C,MATCH($A245,Mapping!$A:$A,0)),JLRrates!$B:$B,0))),0)</f>
        <v>0</v>
      </c>
    </row>
    <row r="246">
      <c r="A246" t="str">
        <v>mat-pvc-cable</v>
      </c>
      <c r="B246" t="str">
        <v>PVC Cable Compound (flexible, insulation)</v>
      </c>
      <c r="C246" t="str">
        <v>Extrusion</v>
      </c>
      <c r="D246">
        <f>IF($K246&gt;0,$K246,1.35)</f>
        <v>1.35</v>
      </c>
      <c r="E246">
        <f>IF($L246&gt;0,$L246,0.05)</f>
        <v>0.05</v>
      </c>
      <c r="F246">
        <v>1350</v>
      </c>
      <c r="G246" t="str">
        <v>UK</v>
      </c>
      <c r="H246" t="str">
        <v>2026-07</v>
      </c>
      <c r="I246" t="str">
        <v>UK cable-compound benchmark 2026-07. Plasticised PVC insulation/sheathing — building wire, flex cords.</v>
      </c>
      <c r="J246" t="str">
        <v>Medium</v>
      </c>
      <c r="K246">
        <f>IFERROR(IF(OR(INDEX(Mapping!$C:$C,MATCH($A246,Mapping!$A:$A,0))="",INDEX(JLRrates!$C:$C,MATCH(INDEX(Mapping!$C:$C,MATCH($A246,Mapping!$A:$A,0)),JLRrates!$B:$B,0))=""),0,INDEX(JLRrates!$C:$C,MATCH(INDEX(Mapping!$C:$C,MATCH($A246,Mapping!$A:$A,0)),JLRrates!$B:$B,0))),0)</f>
        <v>0</v>
      </c>
      <c r="L246">
        <f>IFERROR(IF(OR(INDEX(Mapping!$C:$C,MATCH($A246,Mapping!$A:$A,0))="",INDEX(JLRrates!$D:$D,MATCH(INDEX(Mapping!$C:$C,MATCH($A246,Mapping!$A:$A,0)),JLRrates!$B:$B,0))=""),0,INDEX(JLRrates!$D:$D,MATCH(INDEX(Mapping!$C:$C,MATCH($A246,Mapping!$A:$A,0)),JLRrates!$B:$B,0))),0)</f>
        <v>0</v>
      </c>
    </row>
    <row r="247">
      <c r="A247" t="str">
        <v>mat-xlpe-cable</v>
      </c>
      <c r="B247" t="str">
        <v>XLPE Cable Insulation Compound</v>
      </c>
      <c r="C247" t="str">
        <v>Extrusion</v>
      </c>
      <c r="D247">
        <f>IF($K247&gt;0,$K247,2.1)</f>
        <v>2.1</v>
      </c>
      <c r="E247">
        <f>IF($L247&gt;0,$L247,0)</f>
        <v>0</v>
      </c>
      <c r="F247">
        <v>925</v>
      </c>
      <c r="G247" t="str">
        <v>UK</v>
      </c>
      <c r="H247" t="str">
        <v>2026-07</v>
      </c>
      <c r="I247" t="str">
        <v>UK cable-compound benchmark 2026-07. Crosslinkable PE (peroxide/silane) — MV/HV cable insulation. Cured, non-recyclable scrap.</v>
      </c>
      <c r="J247" t="str">
        <v>Low</v>
      </c>
      <c r="K247">
        <f>IFERROR(IF(OR(INDEX(Mapping!$C:$C,MATCH($A247,Mapping!$A:$A,0))="",INDEX(JLRrates!$C:$C,MATCH(INDEX(Mapping!$C:$C,MATCH($A247,Mapping!$A:$A,0)),JLRrates!$B:$B,0))=""),0,INDEX(JLRrates!$C:$C,MATCH(INDEX(Mapping!$C:$C,MATCH($A247,Mapping!$A:$A,0)),JLRrates!$B:$B,0))),0)</f>
        <v>0</v>
      </c>
      <c r="L247">
        <f>IFERROR(IF(OR(INDEX(Mapping!$C:$C,MATCH($A247,Mapping!$A:$A,0))="",INDEX(JLRrates!$D:$D,MATCH(INDEX(Mapping!$C:$C,MATCH($A247,Mapping!$A:$A,0)),JLRrates!$B:$B,0))=""),0,INDEX(JLRrates!$D:$D,MATCH(INDEX(Mapping!$C:$C,MATCH($A247,Mapping!$A:$A,0)),JLRrates!$B:$B,0))),0)</f>
        <v>0</v>
      </c>
    </row>
    <row r="248">
      <c r="A248" t="str">
        <v>mat-gpps-ext</v>
      </c>
      <c r="B248" t="str">
        <v>GPPS Extrusion Sheet Grade</v>
      </c>
      <c r="C248" t="str">
        <v>Extrusion</v>
      </c>
      <c r="D248">
        <f>IF($K248&gt;0,$K248,1.3)</f>
        <v>1.3</v>
      </c>
      <c r="E248">
        <f>IF($L248&gt;0,$L248,0.08)</f>
        <v>0.08</v>
      </c>
      <c r="F248">
        <v>1050</v>
      </c>
      <c r="G248" t="str">
        <v>UK</v>
      </c>
      <c r="H248" t="str">
        <v>2026-07</v>
      </c>
      <c r="I248" t="str">
        <v>UK resin distributor 2026-07. General-purpose PS — clear thermoforming/sign sheet. Low die swell.</v>
      </c>
      <c r="J248" t="str">
        <v>Medium</v>
      </c>
      <c r="K248">
        <f>IFERROR(IF(OR(INDEX(Mapping!$C:$C,MATCH($A248,Mapping!$A:$A,0))="",INDEX(JLRrates!$C:$C,MATCH(INDEX(Mapping!$C:$C,MATCH($A248,Mapping!$A:$A,0)),JLRrates!$B:$B,0))=""),0,INDEX(JLRrates!$C:$C,MATCH(INDEX(Mapping!$C:$C,MATCH($A248,Mapping!$A:$A,0)),JLRrates!$B:$B,0))),0)</f>
        <v>0</v>
      </c>
      <c r="L248">
        <f>IFERROR(IF(OR(INDEX(Mapping!$C:$C,MATCH($A248,Mapping!$A:$A,0))="",INDEX(JLRrates!$D:$D,MATCH(INDEX(Mapping!$C:$C,MATCH($A248,Mapping!$A:$A,0)),JLRrates!$B:$B,0))=""),0,INDEX(JLRrates!$D:$D,MATCH(INDEX(Mapping!$C:$C,MATCH($A248,Mapping!$A:$A,0)),JLRrates!$B:$B,0))),0)</f>
        <v>0</v>
      </c>
    </row>
    <row r="249">
      <c r="A249" t="str">
        <v>mat-abs-ext-sheet</v>
      </c>
      <c r="B249" t="str">
        <v>ABS Extrusion Sheet Grade</v>
      </c>
      <c r="C249" t="str">
        <v>Extrusion</v>
      </c>
      <c r="D249">
        <f>IF($K249&gt;0,$K249,1.85)</f>
        <v>1.85</v>
      </c>
      <c r="E249">
        <f>IF($L249&gt;0,$L249,0.1)</f>
        <v>0.1</v>
      </c>
      <c r="F249">
        <v>1050</v>
      </c>
      <c r="G249" t="str">
        <v>UK</v>
      </c>
      <c r="H249" t="str">
        <v>2026-07</v>
      </c>
      <c r="I249" t="str">
        <v>UK resin distributor 2026-07. Extrusion ABS — automotive/appliance thermoforming sheet, capstock.</v>
      </c>
      <c r="J249" t="str">
        <v>Medium</v>
      </c>
      <c r="K249">
        <f>IFERROR(IF(OR(INDEX(Mapping!$C:$C,MATCH($A249,Mapping!$A:$A,0))="",INDEX(JLRrates!$C:$C,MATCH(INDEX(Mapping!$C:$C,MATCH($A249,Mapping!$A:$A,0)),JLRrates!$B:$B,0))=""),0,INDEX(JLRrates!$C:$C,MATCH(INDEX(Mapping!$C:$C,MATCH($A249,Mapping!$A:$A,0)),JLRrates!$B:$B,0))),0)</f>
        <v>0</v>
      </c>
      <c r="L249">
        <f>IFERROR(IF(OR(INDEX(Mapping!$C:$C,MATCH($A249,Mapping!$A:$A,0))="",INDEX(JLRrates!$D:$D,MATCH(INDEX(Mapping!$C:$C,MATCH($A249,Mapping!$A:$A,0)),JLRrates!$B:$B,0))=""),0,INDEX(JLRrates!$D:$D,MATCH(INDEX(Mapping!$C:$C,MATCH($A249,Mapping!$A:$A,0)),JLRrates!$B:$B,0))),0)</f>
        <v>0</v>
      </c>
    </row>
    <row r="250">
      <c r="A250" t="str">
        <v>mat-pmma-ext-sheet</v>
      </c>
      <c r="B250" t="str">
        <v>PMMA Extrusion Sheet (acrylic)</v>
      </c>
      <c r="C250" t="str">
        <v>Extrusion</v>
      </c>
      <c r="D250">
        <f>IF($K250&gt;0,$K250,2.6)</f>
        <v>2.6</v>
      </c>
      <c r="E250">
        <f>IF($L250&gt;0,$L250,0.08)</f>
        <v>0.08</v>
      </c>
      <c r="F250">
        <v>1190</v>
      </c>
      <c r="G250" t="str">
        <v>UK</v>
      </c>
      <c r="H250" t="str">
        <v>2026-07</v>
      </c>
      <c r="I250" t="str">
        <v>UK resin distributor 2026-07. Extruded acrylic sheet — glazing, signage, light guides. Low die swell.</v>
      </c>
      <c r="J250" t="str">
        <v>Low</v>
      </c>
      <c r="K250">
        <f>IFERROR(IF(OR(INDEX(Mapping!$C:$C,MATCH($A250,Mapping!$A:$A,0))="",INDEX(JLRrates!$C:$C,MATCH(INDEX(Mapping!$C:$C,MATCH($A250,Mapping!$A:$A,0)),JLRrates!$B:$B,0))=""),0,INDEX(JLRrates!$C:$C,MATCH(INDEX(Mapping!$C:$C,MATCH($A250,Mapping!$A:$A,0)),JLRrates!$B:$B,0))),0)</f>
        <v>0</v>
      </c>
      <c r="L250">
        <f>IFERROR(IF(OR(INDEX(Mapping!$C:$C,MATCH($A250,Mapping!$A:$A,0))="",INDEX(JLRrates!$D:$D,MATCH(INDEX(Mapping!$C:$C,MATCH($A250,Mapping!$A:$A,0)),JLRrates!$B:$B,0))=""),0,INDEX(JLRrates!$D:$D,MATCH(INDEX(Mapping!$C:$C,MATCH($A250,Mapping!$A:$A,0)),JLRrates!$B:$B,0))),0)</f>
        <v>0</v>
      </c>
    </row>
    <row r="251">
      <c r="A251" t="str">
        <v>mat-pc-ext-sheet</v>
      </c>
      <c r="B251" t="str">
        <v>PC Extrusion/Solid Sheet Grade</v>
      </c>
      <c r="C251" t="str">
        <v>Extrusion</v>
      </c>
      <c r="D251">
        <f>IF($K251&gt;0,$K251,3.2)</f>
        <v>3.2</v>
      </c>
      <c r="E251">
        <f>IF($L251&gt;0,$L251,0.08)</f>
        <v>0.08</v>
      </c>
      <c r="F251">
        <v>1200</v>
      </c>
      <c r="G251" t="str">
        <v>UK</v>
      </c>
      <c r="H251" t="str">
        <v>2026-07</v>
      </c>
      <c r="I251" t="str">
        <v>UK resin distributor 2026-07. Extruded polycarbonate solid/multiwall sheet — glazing, machine guards. High melt temp → high energy.</v>
      </c>
      <c r="J251" t="str">
        <v>Low</v>
      </c>
      <c r="K251">
        <f>IFERROR(IF(OR(INDEX(Mapping!$C:$C,MATCH($A251,Mapping!$A:$A,0))="",INDEX(JLRrates!$C:$C,MATCH(INDEX(Mapping!$C:$C,MATCH($A251,Mapping!$A:$A,0)),JLRrates!$B:$B,0))=""),0,INDEX(JLRrates!$C:$C,MATCH(INDEX(Mapping!$C:$C,MATCH($A251,Mapping!$A:$A,0)),JLRrates!$B:$B,0))),0)</f>
        <v>0</v>
      </c>
      <c r="L251">
        <f>IFERROR(IF(OR(INDEX(Mapping!$C:$C,MATCH($A251,Mapping!$A:$A,0))="",INDEX(JLRrates!$D:$D,MATCH(INDEX(Mapping!$C:$C,MATCH($A251,Mapping!$A:$A,0)),JLRrates!$B:$B,0))=""),0,INDEX(JLRrates!$D:$D,MATCH(INDEX(Mapping!$C:$C,MATCH($A251,Mapping!$A:$A,0)),JLRrates!$B:$B,0))),0)</f>
        <v>0</v>
      </c>
    </row>
    <row r="252">
      <c r="A252" t="str">
        <v>mat-pvc-medical-tube</v>
      </c>
      <c r="B252" t="str">
        <v>Medical PVC Tubing Compound (DEHP-free)</v>
      </c>
      <c r="C252" t="str">
        <v>Extrusion</v>
      </c>
      <c r="D252">
        <f>IF($K252&gt;0,$K252,1.95)</f>
        <v>1.95</v>
      </c>
      <c r="E252">
        <f>IF($L252&gt;0,$L252,0)</f>
        <v>0</v>
      </c>
      <c r="F252">
        <v>1250</v>
      </c>
      <c r="G252" t="str">
        <v>UK</v>
      </c>
      <c r="H252" t="str">
        <v>2026-07</v>
      </c>
      <c r="I252" t="str">
        <v>UK medical-compound benchmark 2026-07. Non-phthalate plasticised PVC — IV/medical tubing, ISO 10993.</v>
      </c>
      <c r="J252" t="str">
        <v>Low</v>
      </c>
      <c r="K252">
        <f>IFERROR(IF(OR(INDEX(Mapping!$C:$C,MATCH($A252,Mapping!$A:$A,0))="",INDEX(JLRrates!$C:$C,MATCH(INDEX(Mapping!$C:$C,MATCH($A252,Mapping!$A:$A,0)),JLRrates!$B:$B,0))=""),0,INDEX(JLRrates!$C:$C,MATCH(INDEX(Mapping!$C:$C,MATCH($A252,Mapping!$A:$A,0)),JLRrates!$B:$B,0))),0)</f>
        <v>0</v>
      </c>
      <c r="L252">
        <f>IFERROR(IF(OR(INDEX(Mapping!$C:$C,MATCH($A252,Mapping!$A:$A,0))="",INDEX(JLRrates!$D:$D,MATCH(INDEX(Mapping!$C:$C,MATCH($A252,Mapping!$A:$A,0)),JLRrates!$B:$B,0))=""),0,INDEX(JLRrates!$D:$D,MATCH(INDEX(Mapping!$C:$C,MATCH($A252,Mapping!$A:$A,0)),JLRrates!$B:$B,0))),0)</f>
        <v>0</v>
      </c>
    </row>
    <row r="253">
      <c r="A253" t="str">
        <v>mat-tpu-medical-tube</v>
      </c>
      <c r="B253" t="str">
        <v>Medical TPU Tubing (85A)</v>
      </c>
      <c r="C253" t="str">
        <v>Extrusion</v>
      </c>
      <c r="D253">
        <f>IF($K253&gt;0,$K253,6.5)</f>
        <v>6.5</v>
      </c>
      <c r="E253">
        <f>IF($L253&gt;0,$L253,0)</f>
        <v>0</v>
      </c>
      <c r="F253">
        <v>1150</v>
      </c>
      <c r="G253" t="str">
        <v>UK</v>
      </c>
      <c r="H253" t="str">
        <v>2026-07</v>
      </c>
      <c r="I253" t="str">
        <v>UK medical-compound benchmark 2026-07. Aliphatic/aromatic TPU — catheters, medical tube; biocompatible.</v>
      </c>
      <c r="J253" t="str">
        <v>Low</v>
      </c>
      <c r="K253">
        <f>IFERROR(IF(OR(INDEX(Mapping!$C:$C,MATCH($A253,Mapping!$A:$A,0))="",INDEX(JLRrates!$C:$C,MATCH(INDEX(Mapping!$C:$C,MATCH($A253,Mapping!$A:$A,0)),JLRrates!$B:$B,0))=""),0,INDEX(JLRrates!$C:$C,MATCH(INDEX(Mapping!$C:$C,MATCH($A253,Mapping!$A:$A,0)),JLRrates!$B:$B,0))),0)</f>
        <v>0</v>
      </c>
      <c r="L253">
        <f>IFERROR(IF(OR(INDEX(Mapping!$C:$C,MATCH($A253,Mapping!$A:$A,0))="",INDEX(JLRrates!$D:$D,MATCH(INDEX(Mapping!$C:$C,MATCH($A253,Mapping!$A:$A,0)),JLRrates!$B:$B,0))=""),0,INDEX(JLRrates!$D:$D,MATCH(INDEX(Mapping!$C:$C,MATCH($A253,Mapping!$A:$A,0)),JLRrates!$B:$B,0))),0)</f>
        <v>0</v>
      </c>
    </row>
    <row r="254">
      <c r="A254" t="str">
        <v>mat-tpe-profile</v>
      </c>
      <c r="B254" t="str">
        <v>TPE-S Extrusion Profile (60 Shore A)</v>
      </c>
      <c r="C254" t="str">
        <v>Extrusion</v>
      </c>
      <c r="D254">
        <f>IF($K254&gt;0,$K254,2.4)</f>
        <v>2.4</v>
      </c>
      <c r="E254">
        <f>IF($L254&gt;0,$L254,0.08)</f>
        <v>0.08</v>
      </c>
      <c r="F254">
        <v>940</v>
      </c>
      <c r="G254" t="str">
        <v>UK</v>
      </c>
      <c r="H254" t="str">
        <v>2026-07</v>
      </c>
      <c r="I254" t="str">
        <v>UK resin distributor 2026-07. Styrenic TPE — soft-touch seals, glazing gaskets (recyclable EPDM alternative). Die swell ~10%.</v>
      </c>
      <c r="J254" t="str">
        <v>Low</v>
      </c>
      <c r="K254">
        <f>IFERROR(IF(OR(INDEX(Mapping!$C:$C,MATCH($A254,Mapping!$A:$A,0))="",INDEX(JLRrates!$C:$C,MATCH(INDEX(Mapping!$C:$C,MATCH($A254,Mapping!$A:$A,0)),JLRrates!$B:$B,0))=""),0,INDEX(JLRrates!$C:$C,MATCH(INDEX(Mapping!$C:$C,MATCH($A254,Mapping!$A:$A,0)),JLRrates!$B:$B,0))),0)</f>
        <v>0</v>
      </c>
      <c r="L254">
        <f>IFERROR(IF(OR(INDEX(Mapping!$C:$C,MATCH($A254,Mapping!$A:$A,0))="",INDEX(JLRrates!$D:$D,MATCH(INDEX(Mapping!$C:$C,MATCH($A254,Mapping!$A:$A,0)),JLRrates!$B:$B,0))=""),0,INDEX(JLRrates!$D:$D,MATCH(INDEX(Mapping!$C:$C,MATCH($A254,Mapping!$A:$A,0)),JLRrates!$B:$B,0))),0)</f>
        <v>0</v>
      </c>
    </row>
    <row r="255">
      <c r="A255" t="str">
        <v>mat-pvc-foam</v>
      </c>
      <c r="B255" t="str">
        <v>Rigid PVC Foam (Celuka) Profile</v>
      </c>
      <c r="C255" t="str">
        <v>Extrusion</v>
      </c>
      <c r="D255">
        <f>IF($K255&gt;0,$K255,1.15)</f>
        <v>1.15</v>
      </c>
      <c r="E255">
        <f>IF($L255&gt;0,$L255,0.03)</f>
        <v>0.03</v>
      </c>
      <c r="F255">
        <v>700</v>
      </c>
      <c r="G255" t="str">
        <v>UK</v>
      </c>
      <c r="H255" t="str">
        <v>2026-07</v>
      </c>
      <c r="I255" t="str">
        <v>UK PVC compounder 2026-07. Free-foam/Celuka rigid PVC — trim board, cladding, furniture profile. Low bulk density.</v>
      </c>
      <c r="J255" t="str">
        <v>Low</v>
      </c>
      <c r="K255">
        <f>IFERROR(IF(OR(INDEX(Mapping!$C:$C,MATCH($A255,Mapping!$A:$A,0))="",INDEX(JLRrates!$C:$C,MATCH(INDEX(Mapping!$C:$C,MATCH($A255,Mapping!$A:$A,0)),JLRrates!$B:$B,0))=""),0,INDEX(JLRrates!$C:$C,MATCH(INDEX(Mapping!$C:$C,MATCH($A255,Mapping!$A:$A,0)),JLRrates!$B:$B,0))),0)</f>
        <v>0</v>
      </c>
      <c r="L255">
        <f>IFERROR(IF(OR(INDEX(Mapping!$C:$C,MATCH($A255,Mapping!$A:$A,0))="",INDEX(JLRrates!$D:$D,MATCH(INDEX(Mapping!$C:$C,MATCH($A255,Mapping!$A:$A,0)),JLRrates!$B:$B,0))=""),0,INDEX(JLRrates!$D:$D,MATCH(INDEX(Mapping!$C:$C,MATCH($A255,Mapping!$A:$A,0)),JLRrates!$B:$B,0))),0)</f>
        <v>0</v>
      </c>
    </row>
    <row r="256">
      <c r="A256" t="str">
        <v>mat-pp-ext-sheet</v>
      </c>
      <c r="B256" t="str">
        <v>PP Extrusion Sheet Grade</v>
      </c>
      <c r="C256" t="str">
        <v>Extrusion</v>
      </c>
      <c r="D256">
        <f>IF($K256&gt;0,$K256,1.15)</f>
        <v>1.15</v>
      </c>
      <c r="E256">
        <f>IF($L256&gt;0,$L256,0.1)</f>
        <v>0.1</v>
      </c>
      <c r="F256">
        <v>905</v>
      </c>
      <c r="G256" t="str">
        <v>UK</v>
      </c>
      <c r="H256" t="str">
        <v>2026-07</v>
      </c>
      <c r="I256" t="str">
        <v>UK resin distributor 2026-07. High-melt-strength PP — thermoforming/packaging sheet, corrugated board.</v>
      </c>
      <c r="J256" t="str">
        <v>Medium</v>
      </c>
      <c r="K256">
        <f>IFERROR(IF(OR(INDEX(Mapping!$C:$C,MATCH($A256,Mapping!$A:$A,0))="",INDEX(JLRrates!$C:$C,MATCH(INDEX(Mapping!$C:$C,MATCH($A256,Mapping!$A:$A,0)),JLRrates!$B:$B,0))=""),0,INDEX(JLRrates!$C:$C,MATCH(INDEX(Mapping!$C:$C,MATCH($A256,Mapping!$A:$A,0)),JLRrates!$B:$B,0))),0)</f>
        <v>0</v>
      </c>
      <c r="L256">
        <f>IFERROR(IF(OR(INDEX(Mapping!$C:$C,MATCH($A256,Mapping!$A:$A,0))="",INDEX(JLRrates!$D:$D,MATCH(INDEX(Mapping!$C:$C,MATCH($A256,Mapping!$A:$A,0)),JLRrates!$B:$B,0))=""),0,INDEX(JLRrates!$D:$D,MATCH(INDEX(Mapping!$C:$C,MATCH($A256,Mapping!$A:$A,0)),JLRrates!$B:$B,0))),0)</f>
        <v>0</v>
      </c>
    </row>
    <row r="257">
      <c r="A257" t="str">
        <v>mat-pa12-ext-tube</v>
      </c>
      <c r="B257" t="str">
        <v>PA12 Extrusion (fuel/brake line tube)</v>
      </c>
      <c r="C257" t="str">
        <v>Extrusion</v>
      </c>
      <c r="D257">
        <f>IF($K257&gt;0,$K257,6.2)</f>
        <v>6.2</v>
      </c>
      <c r="E257">
        <f>IF($L257&gt;0,$L257,0.1)</f>
        <v>0.1</v>
      </c>
      <c r="F257">
        <v>1010</v>
      </c>
      <c r="G257" t="str">
        <v>UK</v>
      </c>
      <c r="H257" t="str">
        <v>2026-07</v>
      </c>
      <c r="I257" t="str">
        <v>UK speciality resin 2026-07. Nylon 12 — automotive fuel/brake/air-brake tube, multi-layer barrier line.</v>
      </c>
      <c r="J257" t="str">
        <v>Low</v>
      </c>
      <c r="K257">
        <f>IFERROR(IF(OR(INDEX(Mapping!$C:$C,MATCH($A257,Mapping!$A:$A,0))="",INDEX(JLRrates!$C:$C,MATCH(INDEX(Mapping!$C:$C,MATCH($A257,Mapping!$A:$A,0)),JLRrates!$B:$B,0))=""),0,INDEX(JLRrates!$C:$C,MATCH(INDEX(Mapping!$C:$C,MATCH($A257,Mapping!$A:$A,0)),JLRrates!$B:$B,0))),0)</f>
        <v>0</v>
      </c>
      <c r="L257">
        <f>IFERROR(IF(OR(INDEX(Mapping!$C:$C,MATCH($A257,Mapping!$A:$A,0))="",INDEX(JLRrates!$D:$D,MATCH(INDEX(Mapping!$C:$C,MATCH($A257,Mapping!$A:$A,0)),JLRrates!$B:$B,0))=""),0,INDEX(JLRrates!$D:$D,MATCH(INDEX(Mapping!$C:$C,MATCH($A257,Mapping!$A:$A,0)),JLRrates!$B:$B,0))),0)</f>
        <v>0</v>
      </c>
    </row>
    <row r="258">
      <c r="A258" t="str">
        <v>mat-mb-colour</v>
      </c>
      <c r="B258" t="str">
        <v>Colour Masterbatch (universal)</v>
      </c>
      <c r="C258" t="str">
        <v>Additive / Masterbatch</v>
      </c>
      <c r="D258">
        <f>IF($K258&gt;0,$K258,4.5)</f>
        <v>4.5</v>
      </c>
      <c r="E258">
        <f>IF($L258&gt;0,$L258,0)</f>
        <v>0</v>
      </c>
      <c r="F258">
        <v>1200</v>
      </c>
      <c r="G258" t="str">
        <v>UK</v>
      </c>
      <c r="H258" t="str">
        <v>2026-07</v>
      </c>
      <c r="I258" t="str">
        <v>UK MB supplier 2026-07. Universal colour concentrate; let-down ~2–4%.</v>
      </c>
      <c r="J258" t="str">
        <v>Medium</v>
      </c>
      <c r="K258">
        <f>IFERROR(IF(OR(INDEX(Mapping!$C:$C,MATCH($A258,Mapping!$A:$A,0))="",INDEX(JLRrates!$C:$C,MATCH(INDEX(Mapping!$C:$C,MATCH($A258,Mapping!$A:$A,0)),JLRrates!$B:$B,0))=""),0,INDEX(JLRrates!$C:$C,MATCH(INDEX(Mapping!$C:$C,MATCH($A258,Mapping!$A:$A,0)),JLRrates!$B:$B,0))),0)</f>
        <v>0</v>
      </c>
      <c r="L258">
        <f>IFERROR(IF(OR(INDEX(Mapping!$C:$C,MATCH($A258,Mapping!$A:$A,0))="",INDEX(JLRrates!$D:$D,MATCH(INDEX(Mapping!$C:$C,MATCH($A258,Mapping!$A:$A,0)),JLRrates!$B:$B,0))=""),0,INDEX(JLRrates!$D:$D,MATCH(INDEX(Mapping!$C:$C,MATCH($A258,Mapping!$A:$A,0)),JLRrates!$B:$B,0))),0)</f>
        <v>0</v>
      </c>
    </row>
    <row r="259">
      <c r="A259" t="str">
        <v>mat-mb-white-tio2</v>
      </c>
      <c r="B259" t="str">
        <v>White Masterbatch (70% TiO₂)</v>
      </c>
      <c r="C259" t="str">
        <v>Additive / Masterbatch</v>
      </c>
      <c r="D259">
        <f>IF($K259&gt;0,$K259,3.2)</f>
        <v>3.2</v>
      </c>
      <c r="E259">
        <f>IF($L259&gt;0,$L259,0)</f>
        <v>0</v>
      </c>
      <c r="F259">
        <v>1600</v>
      </c>
      <c r="G259" t="str">
        <v>UK</v>
      </c>
      <c r="H259" t="str">
        <v>2026-07</v>
      </c>
      <c r="I259" t="str">
        <v>UK MB supplier 2026-07. High-TiO₂ white; let-down ~3–6%.</v>
      </c>
      <c r="J259" t="str">
        <v>Medium</v>
      </c>
      <c r="K259">
        <f>IFERROR(IF(OR(INDEX(Mapping!$C:$C,MATCH($A259,Mapping!$A:$A,0))="",INDEX(JLRrates!$C:$C,MATCH(INDEX(Mapping!$C:$C,MATCH($A259,Mapping!$A:$A,0)),JLRrates!$B:$B,0))=""),0,INDEX(JLRrates!$C:$C,MATCH(INDEX(Mapping!$C:$C,MATCH($A259,Mapping!$A:$A,0)),JLRrates!$B:$B,0))),0)</f>
        <v>0</v>
      </c>
      <c r="L259">
        <f>IFERROR(IF(OR(INDEX(Mapping!$C:$C,MATCH($A259,Mapping!$A:$A,0))="",INDEX(JLRrates!$D:$D,MATCH(INDEX(Mapping!$C:$C,MATCH($A259,Mapping!$A:$A,0)),JLRrates!$B:$B,0))=""),0,INDEX(JLRrates!$D:$D,MATCH(INDEX(Mapping!$C:$C,MATCH($A259,Mapping!$A:$A,0)),JLRrates!$B:$B,0))),0)</f>
        <v>0</v>
      </c>
    </row>
    <row r="260">
      <c r="A260" t="str">
        <v>mat-mb-black</v>
      </c>
      <c r="B260" t="str">
        <v>Black Masterbatch (40% carbon)</v>
      </c>
      <c r="C260" t="str">
        <v>Additive / Masterbatch</v>
      </c>
      <c r="D260">
        <f>IF($K260&gt;0,$K260,2.1)</f>
        <v>2.1</v>
      </c>
      <c r="E260">
        <f>IF($L260&gt;0,$L260,0)</f>
        <v>0</v>
      </c>
      <c r="F260">
        <v>1150</v>
      </c>
      <c r="G260" t="str">
        <v>UK</v>
      </c>
      <c r="H260" t="str">
        <v>2026-07</v>
      </c>
      <c r="I260" t="str">
        <v>UK MB supplier 2026-07. Carbon-black concentrate (also UV shield); let-down ~2–3%.</v>
      </c>
      <c r="J260" t="str">
        <v>Medium</v>
      </c>
      <c r="K260">
        <f>IFERROR(IF(OR(INDEX(Mapping!$C:$C,MATCH($A260,Mapping!$A:$A,0))="",INDEX(JLRrates!$C:$C,MATCH(INDEX(Mapping!$C:$C,MATCH($A260,Mapping!$A:$A,0)),JLRrates!$B:$B,0))=""),0,INDEX(JLRrates!$C:$C,MATCH(INDEX(Mapping!$C:$C,MATCH($A260,Mapping!$A:$A,0)),JLRrates!$B:$B,0))),0)</f>
        <v>0</v>
      </c>
      <c r="L260">
        <f>IFERROR(IF(OR(INDEX(Mapping!$C:$C,MATCH($A260,Mapping!$A:$A,0))="",INDEX(JLRrates!$D:$D,MATCH(INDEX(Mapping!$C:$C,MATCH($A260,Mapping!$A:$A,0)),JLRrates!$B:$B,0))=""),0,INDEX(JLRrates!$D:$D,MATCH(INDEX(Mapping!$C:$C,MATCH($A260,Mapping!$A:$A,0)),JLRrates!$B:$B,0))),0)</f>
        <v>0</v>
      </c>
    </row>
    <row r="261">
      <c r="A261" t="str">
        <v>mat-add-uv</v>
      </c>
      <c r="B261" t="str">
        <v>UV Stabiliser Masterbatch (HALS)</v>
      </c>
      <c r="C261" t="str">
        <v>Additive / Masterbatch</v>
      </c>
      <c r="D261">
        <f>IF($K261&gt;0,$K261,6.8)</f>
        <v>6.8</v>
      </c>
      <c r="E261">
        <f>IF($L261&gt;0,$L261,0)</f>
        <v>0</v>
      </c>
      <c r="F261">
        <v>1000</v>
      </c>
      <c r="G261" t="str">
        <v>UK</v>
      </c>
      <c r="H261" t="str">
        <v>2026-07</v>
      </c>
      <c r="I261" t="str">
        <v>UK additive supplier 2026-07. HALS/UV-absorber concentrate for outdoor profiles/pipe; let-down ~1–3%.</v>
      </c>
      <c r="J261" t="str">
        <v>Low</v>
      </c>
      <c r="K261">
        <f>IFERROR(IF(OR(INDEX(Mapping!$C:$C,MATCH($A261,Mapping!$A:$A,0))="",INDEX(JLRrates!$C:$C,MATCH(INDEX(Mapping!$C:$C,MATCH($A261,Mapping!$A:$A,0)),JLRrates!$B:$B,0))=""),0,INDEX(JLRrates!$C:$C,MATCH(INDEX(Mapping!$C:$C,MATCH($A261,Mapping!$A:$A,0)),JLRrates!$B:$B,0))),0)</f>
        <v>0</v>
      </c>
      <c r="L261">
        <f>IFERROR(IF(OR(INDEX(Mapping!$C:$C,MATCH($A261,Mapping!$A:$A,0))="",INDEX(JLRrates!$D:$D,MATCH(INDEX(Mapping!$C:$C,MATCH($A261,Mapping!$A:$A,0)),JLRrates!$B:$B,0))=""),0,INDEX(JLRrates!$D:$D,MATCH(INDEX(Mapping!$C:$C,MATCH($A261,Mapping!$A:$A,0)),JLRrates!$B:$B,0))),0)</f>
        <v>0</v>
      </c>
    </row>
    <row r="262">
      <c r="A262" t="str">
        <v>mat-add-antistat</v>
      </c>
      <c r="B262" t="str">
        <v>Anti-Static Additive Masterbatch</v>
      </c>
      <c r="C262" t="str">
        <v>Additive / Masterbatch</v>
      </c>
      <c r="D262">
        <f>IF($K262&gt;0,$K262,5.5)</f>
        <v>5.5</v>
      </c>
      <c r="E262">
        <f>IF($L262&gt;0,$L262,0)</f>
        <v>0</v>
      </c>
      <c r="F262">
        <v>1000</v>
      </c>
      <c r="G262" t="str">
        <v>UK</v>
      </c>
      <c r="H262" t="str">
        <v>2026-07</v>
      </c>
      <c r="I262" t="str">
        <v>UK additive supplier 2026-07. Migratory/permanent anti-stat; let-down ~1–2%.</v>
      </c>
      <c r="J262" t="str">
        <v>Low</v>
      </c>
      <c r="K262">
        <f>IFERROR(IF(OR(INDEX(Mapping!$C:$C,MATCH($A262,Mapping!$A:$A,0))="",INDEX(JLRrates!$C:$C,MATCH(INDEX(Mapping!$C:$C,MATCH($A262,Mapping!$A:$A,0)),JLRrates!$B:$B,0))=""),0,INDEX(JLRrates!$C:$C,MATCH(INDEX(Mapping!$C:$C,MATCH($A262,Mapping!$A:$A,0)),JLRrates!$B:$B,0))),0)</f>
        <v>0</v>
      </c>
      <c r="L262">
        <f>IFERROR(IF(OR(INDEX(Mapping!$C:$C,MATCH($A262,Mapping!$A:$A,0))="",INDEX(JLRrates!$D:$D,MATCH(INDEX(Mapping!$C:$C,MATCH($A262,Mapping!$A:$A,0)),JLRrates!$B:$B,0))=""),0,INDEX(JLRrates!$D:$D,MATCH(INDEX(Mapping!$C:$C,MATCH($A262,Mapping!$A:$A,0)),JLRrates!$B:$B,0))),0)</f>
        <v>0</v>
      </c>
    </row>
    <row r="263">
      <c r="A263" t="str">
        <v>mat-add-fr</v>
      </c>
      <c r="B263" t="str">
        <v>Flame-Retardant Masterbatch (halogen-free)</v>
      </c>
      <c r="C263" t="str">
        <v>Additive / Masterbatch</v>
      </c>
      <c r="D263">
        <f>IF($K263&gt;0,$K263,4.2)</f>
        <v>4.2</v>
      </c>
      <c r="E263">
        <f>IF($L263&gt;0,$L263,0)</f>
        <v>0</v>
      </c>
      <c r="F263">
        <v>1300</v>
      </c>
      <c r="G263" t="str">
        <v>UK</v>
      </c>
      <c r="H263" t="str">
        <v>2026-07</v>
      </c>
      <c r="I263" t="str">
        <v>UK additive supplier 2026-07. Non-halogen FR for cable/profile; high let-down ~10–25% (property-driven).</v>
      </c>
      <c r="J263" t="str">
        <v>Low</v>
      </c>
      <c r="K263">
        <f>IFERROR(IF(OR(INDEX(Mapping!$C:$C,MATCH($A263,Mapping!$A:$A,0))="",INDEX(JLRrates!$C:$C,MATCH(INDEX(Mapping!$C:$C,MATCH($A263,Mapping!$A:$A,0)),JLRrates!$B:$B,0))=""),0,INDEX(JLRrates!$C:$C,MATCH(INDEX(Mapping!$C:$C,MATCH($A263,Mapping!$A:$A,0)),JLRrates!$B:$B,0))),0)</f>
        <v>0</v>
      </c>
      <c r="L263">
        <f>IFERROR(IF(OR(INDEX(Mapping!$C:$C,MATCH($A263,Mapping!$A:$A,0))="",INDEX(JLRrates!$D:$D,MATCH(INDEX(Mapping!$C:$C,MATCH($A263,Mapping!$A:$A,0)),JLRrates!$B:$B,0))=""),0,INDEX(JLRrates!$D:$D,MATCH(INDEX(Mapping!$C:$C,MATCH($A263,Mapping!$A:$A,0)),JLRrates!$B:$B,0))),0)</f>
        <v>0</v>
      </c>
    </row>
    <row r="264">
      <c r="A264" t="str">
        <v>mat-add-impact</v>
      </c>
      <c r="B264" t="str">
        <v>Impact Modifier (acrylic/CPE)</v>
      </c>
      <c r="C264" t="str">
        <v>Additive / Masterbatch</v>
      </c>
      <c r="D264">
        <f>IF($K264&gt;0,$K264,3.1)</f>
        <v>3.1</v>
      </c>
      <c r="E264">
        <f>IF($L264&gt;0,$L264,0)</f>
        <v>0</v>
      </c>
      <c r="F264">
        <v>1000</v>
      </c>
      <c r="G264" t="str">
        <v>UK</v>
      </c>
      <c r="H264" t="str">
        <v>2026-07</v>
      </c>
      <c r="I264" t="str">
        <v>UK additive supplier 2026-07. Impact modifier for rigid PVC/PP; let-down ~4–8%.</v>
      </c>
      <c r="J264" t="str">
        <v>Low</v>
      </c>
      <c r="K264">
        <f>IFERROR(IF(OR(INDEX(Mapping!$C:$C,MATCH($A264,Mapping!$A:$A,0))="",INDEX(JLRrates!$C:$C,MATCH(INDEX(Mapping!$C:$C,MATCH($A264,Mapping!$A:$A,0)),JLRrates!$B:$B,0))=""),0,INDEX(JLRrates!$C:$C,MATCH(INDEX(Mapping!$C:$C,MATCH($A264,Mapping!$A:$A,0)),JLRrates!$B:$B,0))),0)</f>
        <v>0</v>
      </c>
      <c r="L264">
        <f>IFERROR(IF(OR(INDEX(Mapping!$C:$C,MATCH($A264,Mapping!$A:$A,0))="",INDEX(JLRrates!$D:$D,MATCH(INDEX(Mapping!$C:$C,MATCH($A264,Mapping!$A:$A,0)),JLRrates!$B:$B,0))=""),0,INDEX(JLRrates!$D:$D,MATCH(INDEX(Mapping!$C:$C,MATCH($A264,Mapping!$A:$A,0)),JLRrates!$B:$B,0))),0)</f>
        <v>0</v>
      </c>
    </row>
    <row r="265">
      <c r="A265" t="str">
        <v>mat-add-procaid</v>
      </c>
      <c r="B265" t="str">
        <v>Processing Aid (fluoropolymer PPA)</v>
      </c>
      <c r="C265" t="str">
        <v>Additive / Masterbatch</v>
      </c>
      <c r="D265">
        <f>IF($K265&gt;0,$K265,8.5)</f>
        <v>8.5</v>
      </c>
      <c r="E265">
        <f>IF($L265&gt;0,$L265,0)</f>
        <v>0</v>
      </c>
      <c r="F265">
        <v>1000</v>
      </c>
      <c r="G265" t="str">
        <v>UK</v>
      </c>
      <c r="H265" t="str">
        <v>2026-07</v>
      </c>
      <c r="I265" t="str">
        <v>UK additive supplier 2026-07. Fluoropolymer PPA — eliminates melt fracture, boosts output; let-down ~0.05–0.1%.</v>
      </c>
      <c r="J265" t="str">
        <v>Low</v>
      </c>
      <c r="K265">
        <f>IFERROR(IF(OR(INDEX(Mapping!$C:$C,MATCH($A265,Mapping!$A:$A,0))="",INDEX(JLRrates!$C:$C,MATCH(INDEX(Mapping!$C:$C,MATCH($A265,Mapping!$A:$A,0)),JLRrates!$B:$B,0))=""),0,INDEX(JLRrates!$C:$C,MATCH(INDEX(Mapping!$C:$C,MATCH($A265,Mapping!$A:$A,0)),JLRrates!$B:$B,0))),0)</f>
        <v>0</v>
      </c>
      <c r="L265">
        <f>IFERROR(IF(OR(INDEX(Mapping!$C:$C,MATCH($A265,Mapping!$A:$A,0))="",INDEX(JLRrates!$D:$D,MATCH(INDEX(Mapping!$C:$C,MATCH($A265,Mapping!$A:$A,0)),JLRrates!$B:$B,0))=""),0,INDEX(JLRrates!$D:$D,MATCH(INDEX(Mapping!$C:$C,MATCH($A265,Mapping!$A:$A,0)),JLRrates!$B:$B,0))),0)</f>
        <v>0</v>
      </c>
    </row>
    <row r="266">
      <c r="A266" t="str">
        <v>mat-hips-tf</v>
      </c>
      <c r="B266" t="str">
        <v>HIPS Thermoforming Sheet</v>
      </c>
      <c r="C266" t="str">
        <v>Thermoforming Sheet</v>
      </c>
      <c r="D266">
        <f>IF($K266&gt;0,$K266,1.05)</f>
        <v>1.05</v>
      </c>
      <c r="E266">
        <f>IF($L266&gt;0,$L266,0.3)</f>
        <v>0.3</v>
      </c>
      <c r="F266">
        <v>1040</v>
      </c>
      <c r="G266" t="str">
        <v>UK</v>
      </c>
      <c r="H266" t="str">
        <v>2026-07</v>
      </c>
      <c r="I266" t="str">
        <v>UK sheet extruder 2026-07. High-impact PS gauge sheet — cups, trays, signage, refrigerator liners. Wide forming window; skeleton fully regrindable.</v>
      </c>
      <c r="J266" t="str">
        <v>Medium</v>
      </c>
      <c r="K266">
        <f>IFERROR(IF(OR(INDEX(Mapping!$C:$C,MATCH($A266,Mapping!$A:$A,0))="",INDEX(JLRrates!$C:$C,MATCH(INDEX(Mapping!$C:$C,MATCH($A266,Mapping!$A:$A,0)),JLRrates!$B:$B,0))=""),0,INDEX(JLRrates!$C:$C,MATCH(INDEX(Mapping!$C:$C,MATCH($A266,Mapping!$A:$A,0)),JLRrates!$B:$B,0))),0)</f>
        <v>0</v>
      </c>
      <c r="L266">
        <f>IFERROR(IF(OR(INDEX(Mapping!$C:$C,MATCH($A266,Mapping!$A:$A,0))="",INDEX(JLRrates!$D:$D,MATCH(INDEX(Mapping!$C:$C,MATCH($A266,Mapping!$A:$A,0)),JLRrates!$B:$B,0))=""),0,INDEX(JLRrates!$D:$D,MATCH(INDEX(Mapping!$C:$C,MATCH($A266,Mapping!$A:$A,0)),JLRrates!$B:$B,0))),0)</f>
        <v>0</v>
      </c>
    </row>
    <row r="267">
      <c r="A267" t="str">
        <v>mat-abs-tf</v>
      </c>
      <c r="B267" t="str">
        <v>ABS Thermoforming Sheet</v>
      </c>
      <c r="C267" t="str">
        <v>Thermoforming Sheet</v>
      </c>
      <c r="D267">
        <f>IF($K267&gt;0,$K267,2)</f>
        <v>2</v>
      </c>
      <c r="E267">
        <f>IF($L267&gt;0,$L267,0.45)</f>
        <v>0.45</v>
      </c>
      <c r="F267">
        <v>1050</v>
      </c>
      <c r="G267" t="str">
        <v>UK</v>
      </c>
      <c r="H267" t="str">
        <v>2026-07</v>
      </c>
      <c r="I267" t="str">
        <v>UK sheet extruder 2026-07. Automotive/appliance ABS gauge sheet — interior trim, cargo liners, luggage; SPI texture capable.</v>
      </c>
      <c r="J267" t="str">
        <v>Medium</v>
      </c>
      <c r="K267">
        <f>IFERROR(IF(OR(INDEX(Mapping!$C:$C,MATCH($A267,Mapping!$A:$A,0))="",INDEX(JLRrates!$C:$C,MATCH(INDEX(Mapping!$C:$C,MATCH($A267,Mapping!$A:$A,0)),JLRrates!$B:$B,0))=""),0,INDEX(JLRrates!$C:$C,MATCH(INDEX(Mapping!$C:$C,MATCH($A267,Mapping!$A:$A,0)),JLRrates!$B:$B,0))),0)</f>
        <v>0</v>
      </c>
      <c r="L267">
        <f>IFERROR(IF(OR(INDEX(Mapping!$C:$C,MATCH($A267,Mapping!$A:$A,0))="",INDEX(JLRrates!$D:$D,MATCH(INDEX(Mapping!$C:$C,MATCH($A267,Mapping!$A:$A,0)),JLRrates!$B:$B,0))=""),0,INDEX(JLRrates!$D:$D,MATCH(INDEX(Mapping!$C:$C,MATCH($A267,Mapping!$A:$A,0)),JLRrates!$B:$B,0))),0)</f>
        <v>0</v>
      </c>
    </row>
    <row r="268">
      <c r="A268" t="str">
        <v>mat-petg-tf</v>
      </c>
      <c r="B268" t="str">
        <v>PETG Thermoforming Sheet (clear)</v>
      </c>
      <c r="C268" t="str">
        <v>Thermoforming Sheet</v>
      </c>
      <c r="D268">
        <f>IF($K268&gt;0,$K268,1.85)</f>
        <v>1.85</v>
      </c>
      <c r="E268">
        <f>IF($L268&gt;0,$L268,0.45)</f>
        <v>0.45</v>
      </c>
      <c r="F268">
        <v>1270</v>
      </c>
      <c r="G268" t="str">
        <v>UK</v>
      </c>
      <c r="H268" t="str">
        <v>2026-07</v>
      </c>
      <c r="I268" t="str">
        <v>UK sheet extruder 2026-07. Glycol-modified PET — clear packaging, medical trays, retail; easy deep draw, no pre-dry.</v>
      </c>
      <c r="J268" t="str">
        <v>Medium</v>
      </c>
      <c r="K268">
        <f>IFERROR(IF(OR(INDEX(Mapping!$C:$C,MATCH($A268,Mapping!$A:$A,0))="",INDEX(JLRrates!$C:$C,MATCH(INDEX(Mapping!$C:$C,MATCH($A268,Mapping!$A:$A,0)),JLRrates!$B:$B,0))=""),0,INDEX(JLRrates!$C:$C,MATCH(INDEX(Mapping!$C:$C,MATCH($A268,Mapping!$A:$A,0)),JLRrates!$B:$B,0))),0)</f>
        <v>0</v>
      </c>
      <c r="L268">
        <f>IFERROR(IF(OR(INDEX(Mapping!$C:$C,MATCH($A268,Mapping!$A:$A,0))="",INDEX(JLRrates!$D:$D,MATCH(INDEX(Mapping!$C:$C,MATCH($A268,Mapping!$A:$A,0)),JLRrates!$B:$B,0))=""),0,INDEX(JLRrates!$D:$D,MATCH(INDEX(Mapping!$C:$C,MATCH($A268,Mapping!$A:$A,0)),JLRrates!$B:$B,0))),0)</f>
        <v>0</v>
      </c>
    </row>
    <row r="269">
      <c r="A269" t="str">
        <v>mat-apet-tf</v>
      </c>
      <c r="B269" t="str">
        <v>APET Sheet (amorphous, food pack)</v>
      </c>
      <c r="C269" t="str">
        <v>Thermoforming Sheet</v>
      </c>
      <c r="D269">
        <f>IF($K269&gt;0,$K269,1.55)</f>
        <v>1.55</v>
      </c>
      <c r="E269">
        <f>IF($L269&gt;0,$L269,0.4)</f>
        <v>0.4</v>
      </c>
      <c r="F269">
        <v>1340</v>
      </c>
      <c r="G269" t="str">
        <v>UK</v>
      </c>
      <c r="H269" t="str">
        <v>2026-07</v>
      </c>
      <c r="I269" t="str">
        <v>UK sheet extruder 2026-07. Amorphous PET — clear food trays/clamshells, blister; highest-volume packaging sheet. rPET content common.</v>
      </c>
      <c r="J269" t="str">
        <v>Medium</v>
      </c>
      <c r="K269">
        <f>IFERROR(IF(OR(INDEX(Mapping!$C:$C,MATCH($A269,Mapping!$A:$A,0))="",INDEX(JLRrates!$C:$C,MATCH(INDEX(Mapping!$C:$C,MATCH($A269,Mapping!$A:$A,0)),JLRrates!$B:$B,0))=""),0,INDEX(JLRrates!$C:$C,MATCH(INDEX(Mapping!$C:$C,MATCH($A269,Mapping!$A:$A,0)),JLRrates!$B:$B,0))),0)</f>
        <v>0</v>
      </c>
      <c r="L269">
        <f>IFERROR(IF(OR(INDEX(Mapping!$C:$C,MATCH($A269,Mapping!$A:$A,0))="",INDEX(JLRrates!$D:$D,MATCH(INDEX(Mapping!$C:$C,MATCH($A269,Mapping!$A:$A,0)),JLRrates!$B:$B,0))=""),0,INDEX(JLRrates!$D:$D,MATCH(INDEX(Mapping!$C:$C,MATCH($A269,Mapping!$A:$A,0)),JLRrates!$B:$B,0))),0)</f>
        <v>0</v>
      </c>
    </row>
    <row r="270">
      <c r="A270" t="str">
        <v>mat-cpet-tf</v>
      </c>
      <c r="B270" t="str">
        <v>CPET Sheet (crystalline, dual-ovenable)</v>
      </c>
      <c r="C270" t="str">
        <v>Thermoforming Sheet</v>
      </c>
      <c r="D270">
        <f>IF($K270&gt;0,$K270,1.75)</f>
        <v>1.75</v>
      </c>
      <c r="E270">
        <f>IF($L270&gt;0,$L270,0.35)</f>
        <v>0.35</v>
      </c>
      <c r="F270">
        <v>1400</v>
      </c>
      <c r="G270" t="str">
        <v>UK</v>
      </c>
      <c r="H270" t="str">
        <v>2026-07</v>
      </c>
      <c r="I270" t="str">
        <v>UK sheet extruder 2026-07. Crystallising PET — dual-ovenable ready-meal trays (-40 to +220°C); needs hot tool + long crystallisation cycle.</v>
      </c>
      <c r="J270" t="str">
        <v>Low</v>
      </c>
      <c r="K270">
        <f>IFERROR(IF(OR(INDEX(Mapping!$C:$C,MATCH($A270,Mapping!$A:$A,0))="",INDEX(JLRrates!$C:$C,MATCH(INDEX(Mapping!$C:$C,MATCH($A270,Mapping!$A:$A,0)),JLRrates!$B:$B,0))=""),0,INDEX(JLRrates!$C:$C,MATCH(INDEX(Mapping!$C:$C,MATCH($A270,Mapping!$A:$A,0)),JLRrates!$B:$B,0))),0)</f>
        <v>0</v>
      </c>
      <c r="L270">
        <f>IFERROR(IF(OR(INDEX(Mapping!$C:$C,MATCH($A270,Mapping!$A:$A,0))="",INDEX(JLRrates!$D:$D,MATCH(INDEX(Mapping!$C:$C,MATCH($A270,Mapping!$A:$A,0)),JLRrates!$B:$B,0))=""),0,INDEX(JLRrates!$D:$D,MATCH(INDEX(Mapping!$C:$C,MATCH($A270,Mapping!$A:$A,0)),JLRrates!$B:$B,0))),0)</f>
        <v>0</v>
      </c>
    </row>
    <row r="271">
      <c r="A271" t="str">
        <v>mat-rpvc-tf</v>
      </c>
      <c r="B271" t="str">
        <v>Rigid PVC Thermoforming Sheet</v>
      </c>
      <c r="C271" t="str">
        <v>Thermoforming Sheet</v>
      </c>
      <c r="D271">
        <f>IF($K271&gt;0,$K271,1.35)</f>
        <v>1.35</v>
      </c>
      <c r="E271">
        <f>IF($L271&gt;0,$L271,0.2)</f>
        <v>0.2</v>
      </c>
      <c r="F271">
        <v>1400</v>
      </c>
      <c r="G271" t="str">
        <v>UK</v>
      </c>
      <c r="H271" t="str">
        <v>2026-07</v>
      </c>
      <c r="I271" t="str">
        <v>UK sheet extruder 2026-07. Rigid PVC gauge sheet — blister packs, ID/credit cards, medical; low forming temp, heat-sensitive.</v>
      </c>
      <c r="J271" t="str">
        <v>Medium</v>
      </c>
      <c r="K271">
        <f>IFERROR(IF(OR(INDEX(Mapping!$C:$C,MATCH($A271,Mapping!$A:$A,0))="",INDEX(JLRrates!$C:$C,MATCH(INDEX(Mapping!$C:$C,MATCH($A271,Mapping!$A:$A,0)),JLRrates!$B:$B,0))=""),0,INDEX(JLRrates!$C:$C,MATCH(INDEX(Mapping!$C:$C,MATCH($A271,Mapping!$A:$A,0)),JLRrates!$B:$B,0))),0)</f>
        <v>0</v>
      </c>
      <c r="L271">
        <f>IFERROR(IF(OR(INDEX(Mapping!$C:$C,MATCH($A271,Mapping!$A:$A,0))="",INDEX(JLRrates!$D:$D,MATCH(INDEX(Mapping!$C:$C,MATCH($A271,Mapping!$A:$A,0)),JLRrates!$B:$B,0))=""),0,INDEX(JLRrates!$D:$D,MATCH(INDEX(Mapping!$C:$C,MATCH($A271,Mapping!$A:$A,0)),JLRrates!$B:$B,0))),0)</f>
        <v>0</v>
      </c>
    </row>
    <row r="272">
      <c r="A272" t="str">
        <v>mat-pp-tf</v>
      </c>
      <c r="B272" t="str">
        <v>PP Thermoforming Sheet (HMS)</v>
      </c>
      <c r="C272" t="str">
        <v>Thermoforming Sheet</v>
      </c>
      <c r="D272">
        <f>IF($K272&gt;0,$K272,1.3)</f>
        <v>1.3</v>
      </c>
      <c r="E272">
        <f>IF($L272&gt;0,$L272,0.3)</f>
        <v>0.3</v>
      </c>
      <c r="F272">
        <v>905</v>
      </c>
      <c r="G272" t="str">
        <v>UK</v>
      </c>
      <c r="H272" t="str">
        <v>2026-07</v>
      </c>
      <c r="I272" t="str">
        <v>UK sheet extruder 2026-07. High-melt-strength PP — hot-fill cups, deli tubs, medical; narrow window, needs sag control. Lightest sheet.</v>
      </c>
      <c r="J272" t="str">
        <v>Medium</v>
      </c>
      <c r="K272">
        <f>IFERROR(IF(OR(INDEX(Mapping!$C:$C,MATCH($A272,Mapping!$A:$A,0))="",INDEX(JLRrates!$C:$C,MATCH(INDEX(Mapping!$C:$C,MATCH($A272,Mapping!$A:$A,0)),JLRrates!$B:$B,0))=""),0,INDEX(JLRrates!$C:$C,MATCH(INDEX(Mapping!$C:$C,MATCH($A272,Mapping!$A:$A,0)),JLRrates!$B:$B,0))),0)</f>
        <v>0</v>
      </c>
      <c r="L272">
        <f>IFERROR(IF(OR(INDEX(Mapping!$C:$C,MATCH($A272,Mapping!$A:$A,0))="",INDEX(JLRrates!$D:$D,MATCH(INDEX(Mapping!$C:$C,MATCH($A272,Mapping!$A:$A,0)),JLRrates!$B:$B,0))=""),0,INDEX(JLRrates!$D:$D,MATCH(INDEX(Mapping!$C:$C,MATCH($A272,Mapping!$A:$A,0)),JLRrates!$B:$B,0))),0)</f>
        <v>0</v>
      </c>
    </row>
    <row r="273">
      <c r="A273" t="str">
        <v>mat-hdpe-tf</v>
      </c>
      <c r="B273" t="str">
        <v>HDPE Thermoforming Sheet</v>
      </c>
      <c r="C273" t="str">
        <v>Thermoforming Sheet</v>
      </c>
      <c r="D273">
        <f>IF($K273&gt;0,$K273,1.25)</f>
        <v>1.25</v>
      </c>
      <c r="E273">
        <f>IF($L273&gt;0,$L273,0.35)</f>
        <v>0.35</v>
      </c>
      <c r="F273">
        <v>950</v>
      </c>
      <c r="G273" t="str">
        <v>UK</v>
      </c>
      <c r="H273" t="str">
        <v>2026-07</v>
      </c>
      <c r="I273" t="str">
        <v>UK sheet extruder 2026-07. HDPE gauge sheet — industrial trays, liners, kayaks (heavy-gauge); heavy sag, low melt strength.</v>
      </c>
      <c r="J273" t="str">
        <v>Low</v>
      </c>
      <c r="K273">
        <f>IFERROR(IF(OR(INDEX(Mapping!$C:$C,MATCH($A273,Mapping!$A:$A,0))="",INDEX(JLRrates!$C:$C,MATCH(INDEX(Mapping!$C:$C,MATCH($A273,Mapping!$A:$A,0)),JLRrates!$B:$B,0))=""),0,INDEX(JLRrates!$C:$C,MATCH(INDEX(Mapping!$C:$C,MATCH($A273,Mapping!$A:$A,0)),JLRrates!$B:$B,0))),0)</f>
        <v>0</v>
      </c>
      <c r="L273">
        <f>IFERROR(IF(OR(INDEX(Mapping!$C:$C,MATCH($A273,Mapping!$A:$A,0))="",INDEX(JLRrates!$D:$D,MATCH(INDEX(Mapping!$C:$C,MATCH($A273,Mapping!$A:$A,0)),JLRrates!$B:$B,0))=""),0,INDEX(JLRrates!$D:$D,MATCH(INDEX(Mapping!$C:$C,MATCH($A273,Mapping!$A:$A,0)),JLRrates!$B:$B,0))),0)</f>
        <v>0</v>
      </c>
    </row>
    <row r="274">
      <c r="A274" t="str">
        <v>mat-ldpe-tf</v>
      </c>
      <c r="B274" t="str">
        <v>LDPE Thermoforming Sheet</v>
      </c>
      <c r="C274" t="str">
        <v>Thermoforming Sheet</v>
      </c>
      <c r="D274">
        <f>IF($K274&gt;0,$K274,1.3)</f>
        <v>1.3</v>
      </c>
      <c r="E274">
        <f>IF($L274&gt;0,$L274,0.3)</f>
        <v>0.3</v>
      </c>
      <c r="F274">
        <v>925</v>
      </c>
      <c r="G274" t="str">
        <v>UK</v>
      </c>
      <c r="H274" t="str">
        <v>2026-07</v>
      </c>
      <c r="I274" t="str">
        <v>UK sheet extruder 2026-07. LDPE gauge sheet — soft protective trays, flexible packaging inserts. Very low melt strength.</v>
      </c>
      <c r="J274" t="str">
        <v>Low</v>
      </c>
      <c r="K274">
        <f>IFERROR(IF(OR(INDEX(Mapping!$C:$C,MATCH($A274,Mapping!$A:$A,0))="",INDEX(JLRrates!$C:$C,MATCH(INDEX(Mapping!$C:$C,MATCH($A274,Mapping!$A:$A,0)),JLRrates!$B:$B,0))=""),0,INDEX(JLRrates!$C:$C,MATCH(INDEX(Mapping!$C:$C,MATCH($A274,Mapping!$A:$A,0)),JLRrates!$B:$B,0))),0)</f>
        <v>0</v>
      </c>
      <c r="L274">
        <f>IFERROR(IF(OR(INDEX(Mapping!$C:$C,MATCH($A274,Mapping!$A:$A,0))="",INDEX(JLRrates!$D:$D,MATCH(INDEX(Mapping!$C:$C,MATCH($A274,Mapping!$A:$A,0)),JLRrates!$B:$B,0))=""),0,INDEX(JLRrates!$D:$D,MATCH(INDEX(Mapping!$C:$C,MATCH($A274,Mapping!$A:$A,0)),JLRrates!$B:$B,0))),0)</f>
        <v>0</v>
      </c>
    </row>
    <row r="275">
      <c r="A275" t="str">
        <v>mat-ps-foam-tf</v>
      </c>
      <c r="B275" t="str">
        <v>PS Foam Sheet (foamed tray stock)</v>
      </c>
      <c r="C275" t="str">
        <v>Thermoforming Sheet</v>
      </c>
      <c r="D275">
        <f>IF($K275&gt;0,$K275,1.6)</f>
        <v>1.6</v>
      </c>
      <c r="E275">
        <f>IF($L275&gt;0,$L275,0.15)</f>
        <v>0.15</v>
      </c>
      <c r="F275">
        <v>120</v>
      </c>
      <c r="G275" t="str">
        <v>UK</v>
      </c>
      <c r="H275" t="str">
        <v>2026-07</v>
      </c>
      <c r="I275" t="str">
        <v>UK sheet extruder 2026-07. Expanded PS foam sheet — egg cartons, meat/produce trays, insulation; low density, high stiffness-per-kg.</v>
      </c>
      <c r="J275" t="str">
        <v>Low</v>
      </c>
      <c r="K275">
        <f>IFERROR(IF(OR(INDEX(Mapping!$C:$C,MATCH($A275,Mapping!$A:$A,0))="",INDEX(JLRrates!$C:$C,MATCH(INDEX(Mapping!$C:$C,MATCH($A275,Mapping!$A:$A,0)),JLRrates!$B:$B,0))=""),0,INDEX(JLRrates!$C:$C,MATCH(INDEX(Mapping!$C:$C,MATCH($A275,Mapping!$A:$A,0)),JLRrates!$B:$B,0))),0)</f>
        <v>0</v>
      </c>
      <c r="L275">
        <f>IFERROR(IF(OR(INDEX(Mapping!$C:$C,MATCH($A275,Mapping!$A:$A,0))="",INDEX(JLRrates!$D:$D,MATCH(INDEX(Mapping!$C:$C,MATCH($A275,Mapping!$A:$A,0)),JLRrates!$B:$B,0))=""),0,INDEX(JLRrates!$D:$D,MATCH(INDEX(Mapping!$C:$C,MATCH($A275,Mapping!$A:$A,0)),JLRrates!$B:$B,0))),0)</f>
        <v>0</v>
      </c>
    </row>
    <row r="276">
      <c r="A276" t="str">
        <v>mat-pmma-tf</v>
      </c>
      <c r="B276" t="str">
        <v>PMMA / Acrylic Sheet (cast/extruded)</v>
      </c>
      <c r="C276" t="str">
        <v>Thermoforming Sheet</v>
      </c>
      <c r="D276">
        <f>IF($K276&gt;0,$K276,2.9)</f>
        <v>2.9</v>
      </c>
      <c r="E276">
        <f>IF($L276&gt;0,$L276,0.35)</f>
        <v>0.35</v>
      </c>
      <c r="F276">
        <v>1190</v>
      </c>
      <c r="G276" t="str">
        <v>UK</v>
      </c>
      <c r="H276" t="str">
        <v>2026-07</v>
      </c>
      <c r="I276" t="str">
        <v>UK sheet distributor 2026-07. Acrylic sheet — baths/spas, skylights, lightboxes, displays; excellent clarity, low sag (high melt strength).</v>
      </c>
      <c r="J276" t="str">
        <v>Low</v>
      </c>
      <c r="K276">
        <f>IFERROR(IF(OR(INDEX(Mapping!$C:$C,MATCH($A276,Mapping!$A:$A,0))="",INDEX(JLRrates!$C:$C,MATCH(INDEX(Mapping!$C:$C,MATCH($A276,Mapping!$A:$A,0)),JLRrates!$B:$B,0))=""),0,INDEX(JLRrates!$C:$C,MATCH(INDEX(Mapping!$C:$C,MATCH($A276,Mapping!$A:$A,0)),JLRrates!$B:$B,0))),0)</f>
        <v>0</v>
      </c>
      <c r="L276">
        <f>IFERROR(IF(OR(INDEX(Mapping!$C:$C,MATCH($A276,Mapping!$A:$A,0))="",INDEX(JLRrates!$D:$D,MATCH(INDEX(Mapping!$C:$C,MATCH($A276,Mapping!$A:$A,0)),JLRrates!$B:$B,0))=""),0,INDEX(JLRrates!$D:$D,MATCH(INDEX(Mapping!$C:$C,MATCH($A276,Mapping!$A:$A,0)),JLRrates!$B:$B,0))),0)</f>
        <v>0</v>
      </c>
    </row>
    <row r="277">
      <c r="A277" t="str">
        <v>mat-pc-tf</v>
      </c>
      <c r="B277" t="str">
        <v>PC Thermoforming Sheet</v>
      </c>
      <c r="C277" t="str">
        <v>Thermoforming Sheet</v>
      </c>
      <c r="D277">
        <f>IF($K277&gt;0,$K277,3.4)</f>
        <v>3.4</v>
      </c>
      <c r="E277">
        <f>IF($L277&gt;0,$L277,0.35)</f>
        <v>0.35</v>
      </c>
      <c r="F277">
        <v>1200</v>
      </c>
      <c r="G277" t="str">
        <v>UK</v>
      </c>
      <c r="H277" t="str">
        <v>2026-07</v>
      </c>
      <c r="I277" t="str">
        <v>UK sheet distributor 2026-07. Polycarbonate sheet — machine guards, glazing, riot shields, aircraft interiors; high forming temp → high oven energy, must pre-dry.</v>
      </c>
      <c r="J277" t="str">
        <v>Low</v>
      </c>
      <c r="K277">
        <f>IFERROR(IF(OR(INDEX(Mapping!$C:$C,MATCH($A277,Mapping!$A:$A,0))="",INDEX(JLRrates!$C:$C,MATCH(INDEX(Mapping!$C:$C,MATCH($A277,Mapping!$A:$A,0)),JLRrates!$B:$B,0))=""),0,INDEX(JLRrates!$C:$C,MATCH(INDEX(Mapping!$C:$C,MATCH($A277,Mapping!$A:$A,0)),JLRrates!$B:$B,0))),0)</f>
        <v>0</v>
      </c>
      <c r="L277">
        <f>IFERROR(IF(OR(INDEX(Mapping!$C:$C,MATCH($A277,Mapping!$A:$A,0))="",INDEX(JLRrates!$D:$D,MATCH(INDEX(Mapping!$C:$C,MATCH($A277,Mapping!$A:$A,0)),JLRrates!$B:$B,0))=""),0,INDEX(JLRrates!$D:$D,MATCH(INDEX(Mapping!$C:$C,MATCH($A277,Mapping!$A:$A,0)),JLRrates!$B:$B,0))),0)</f>
        <v>0</v>
      </c>
    </row>
    <row r="278">
      <c r="A278" t="str">
        <v>mat-pei-tf</v>
      </c>
      <c r="B278" t="str">
        <v>PEI (Ultem) Sheet (aerospace)</v>
      </c>
      <c r="C278" t="str">
        <v>Thermoforming Sheet</v>
      </c>
      <c r="D278">
        <f>IF($K278&gt;0,$K278,28)</f>
        <v>28</v>
      </c>
      <c r="E278">
        <f>IF($L278&gt;0,$L278,1)</f>
        <v>1</v>
      </c>
      <c r="F278">
        <v>1270</v>
      </c>
      <c r="G278" t="str">
        <v>UK</v>
      </c>
      <c r="H278" t="str">
        <v>2026-07</v>
      </c>
      <c r="I278" t="str">
        <v>UK speciality 2026-07. Polyetherimide sheet — aircraft interior panels/ducting (FST/OSU compliant); very high forming temp ~250°C.</v>
      </c>
      <c r="J278" t="str">
        <v>Low</v>
      </c>
      <c r="K278">
        <f>IFERROR(IF(OR(INDEX(Mapping!$C:$C,MATCH($A278,Mapping!$A:$A,0))="",INDEX(JLRrates!$C:$C,MATCH(INDEX(Mapping!$C:$C,MATCH($A278,Mapping!$A:$A,0)),JLRrates!$B:$B,0))=""),0,INDEX(JLRrates!$C:$C,MATCH(INDEX(Mapping!$C:$C,MATCH($A278,Mapping!$A:$A,0)),JLRrates!$B:$B,0))),0)</f>
        <v>0</v>
      </c>
      <c r="L278">
        <f>IFERROR(IF(OR(INDEX(Mapping!$C:$C,MATCH($A278,Mapping!$A:$A,0))="",INDEX(JLRrates!$D:$D,MATCH(INDEX(Mapping!$C:$C,MATCH($A278,Mapping!$A:$A,0)),JLRrates!$B:$B,0))=""),0,INDEX(JLRrates!$D:$D,MATCH(INDEX(Mapping!$C:$C,MATCH($A278,Mapping!$A:$A,0)),JLRrates!$B:$B,0))),0)</f>
        <v>0</v>
      </c>
    </row>
    <row r="279">
      <c r="A279" t="str">
        <v>mat-pps-tf</v>
      </c>
      <c r="B279" t="str">
        <v>PPS Sheet (high-temp)</v>
      </c>
      <c r="C279" t="str">
        <v>Thermoforming Sheet</v>
      </c>
      <c r="D279">
        <f>IF($K279&gt;0,$K279,14)</f>
        <v>14</v>
      </c>
      <c r="E279">
        <f>IF($L279&gt;0,$L279,0.5)</f>
        <v>0.5</v>
      </c>
      <c r="F279">
        <v>1350</v>
      </c>
      <c r="G279" t="str">
        <v>UK</v>
      </c>
      <c r="H279" t="str">
        <v>2026-07</v>
      </c>
      <c r="I279" t="str">
        <v>UK speciality 2026-07. Polyphenylene sulphide sheet — chemical/high-temp trays, under-bonnet; ~285°C forming, semi-crystalline.</v>
      </c>
      <c r="J279" t="str">
        <v>Low</v>
      </c>
      <c r="K279">
        <f>IFERROR(IF(OR(INDEX(Mapping!$C:$C,MATCH($A279,Mapping!$A:$A,0))="",INDEX(JLRrates!$C:$C,MATCH(INDEX(Mapping!$C:$C,MATCH($A279,Mapping!$A:$A,0)),JLRrates!$B:$B,0))=""),0,INDEX(JLRrates!$C:$C,MATCH(INDEX(Mapping!$C:$C,MATCH($A279,Mapping!$A:$A,0)),JLRrates!$B:$B,0))),0)</f>
        <v>0</v>
      </c>
      <c r="L279">
        <f>IFERROR(IF(OR(INDEX(Mapping!$C:$C,MATCH($A279,Mapping!$A:$A,0))="",INDEX(JLRrates!$D:$D,MATCH(INDEX(Mapping!$C:$C,MATCH($A279,Mapping!$A:$A,0)),JLRrates!$B:$B,0))=""),0,INDEX(JLRrates!$D:$D,MATCH(INDEX(Mapping!$C:$C,MATCH($A279,Mapping!$A:$A,0)),JLRrates!$B:$B,0))),0)</f>
        <v>0</v>
      </c>
    </row>
    <row r="280">
      <c r="A280" t="str">
        <v>mat-abs-pmma-tf</v>
      </c>
      <c r="B280" t="str">
        <v>ABS/PMMA Co-ex Sheet (capped)</v>
      </c>
      <c r="C280" t="str">
        <v>Thermoforming Sheet</v>
      </c>
      <c r="D280">
        <f>IF($K280&gt;0,$K280,2.6)</f>
        <v>2.6</v>
      </c>
      <c r="E280">
        <f>IF($L280&gt;0,$L280,0.15)</f>
        <v>0.15</v>
      </c>
      <c r="F280">
        <v>1080</v>
      </c>
      <c r="G280" t="str">
        <v>UK</v>
      </c>
      <c r="H280" t="str">
        <v>2026-07</v>
      </c>
      <c r="I280" t="str">
        <v>UK sheet extruder 2026-07. ABS substrate + acrylic cap — sanitaryware, caravan/RV panels, spas; UV/scratch cap. Multilayer regrind limited.</v>
      </c>
      <c r="J280" t="str">
        <v>Low</v>
      </c>
      <c r="K280">
        <f>IFERROR(IF(OR(INDEX(Mapping!$C:$C,MATCH($A280,Mapping!$A:$A,0))="",INDEX(JLRrates!$C:$C,MATCH(INDEX(Mapping!$C:$C,MATCH($A280,Mapping!$A:$A,0)),JLRrates!$B:$B,0))=""),0,INDEX(JLRrates!$C:$C,MATCH(INDEX(Mapping!$C:$C,MATCH($A280,Mapping!$A:$A,0)),JLRrates!$B:$B,0))),0)</f>
        <v>0</v>
      </c>
      <c r="L280">
        <f>IFERROR(IF(OR(INDEX(Mapping!$C:$C,MATCH($A280,Mapping!$A:$A,0))="",INDEX(JLRrates!$D:$D,MATCH(INDEX(Mapping!$C:$C,MATCH($A280,Mapping!$A:$A,0)),JLRrates!$B:$B,0))=""),0,INDEX(JLRrates!$D:$D,MATCH(INDEX(Mapping!$C:$C,MATCH($A280,Mapping!$A:$A,0)),JLRrates!$B:$B,0))),0)</f>
        <v>0</v>
      </c>
    </row>
    <row r="281">
      <c r="A281" t="str">
        <v>mat-abs-pc-tf</v>
      </c>
      <c r="B281" t="str">
        <v>ABS/PC Co-ex Sheet</v>
      </c>
      <c r="C281" t="str">
        <v>Thermoforming Sheet</v>
      </c>
      <c r="D281">
        <f>IF($K281&gt;0,$K281,3.1)</f>
        <v>3.1</v>
      </c>
      <c r="E281">
        <f>IF($L281&gt;0,$L281,0.15)</f>
        <v>0.15</v>
      </c>
      <c r="F281">
        <v>1130</v>
      </c>
      <c r="G281" t="str">
        <v>UK</v>
      </c>
      <c r="H281" t="str">
        <v>2026-07</v>
      </c>
      <c r="I281" t="str">
        <v>UK sheet extruder 2026-07. PC/ABS blend/co-ex — automotive exterior, luggage, high-impact housings; higher forming temp than ABS.</v>
      </c>
      <c r="J281" t="str">
        <v>Low</v>
      </c>
      <c r="K281">
        <f>IFERROR(IF(OR(INDEX(Mapping!$C:$C,MATCH($A281,Mapping!$A:$A,0))="",INDEX(JLRrates!$C:$C,MATCH(INDEX(Mapping!$C:$C,MATCH($A281,Mapping!$A:$A,0)),JLRrates!$B:$B,0))=""),0,INDEX(JLRrates!$C:$C,MATCH(INDEX(Mapping!$C:$C,MATCH($A281,Mapping!$A:$A,0)),JLRrates!$B:$B,0))),0)</f>
        <v>0</v>
      </c>
      <c r="L281">
        <f>IFERROR(IF(OR(INDEX(Mapping!$C:$C,MATCH($A281,Mapping!$A:$A,0))="",INDEX(JLRrates!$D:$D,MATCH(INDEX(Mapping!$C:$C,MATCH($A281,Mapping!$A:$A,0)),JLRrates!$B:$B,0))=""),0,INDEX(JLRrates!$D:$D,MATCH(INDEX(Mapping!$C:$C,MATCH($A281,Mapping!$A:$A,0)),JLRrates!$B:$B,0))),0)</f>
        <v>0</v>
      </c>
    </row>
    <row r="282">
      <c r="A282" t="str">
        <v>mat-pp-tpo-tf</v>
      </c>
      <c r="B282" t="str">
        <v>PP/TPO Automotive Sheet</v>
      </c>
      <c r="C282" t="str">
        <v>Thermoforming Sheet</v>
      </c>
      <c r="D282">
        <f>IF($K282&gt;0,$K282,1.9)</f>
        <v>1.9</v>
      </c>
      <c r="E282">
        <f>IF($L282&gt;0,$L282,0.2)</f>
        <v>0.2</v>
      </c>
      <c r="F282">
        <v>900</v>
      </c>
      <c r="G282" t="str">
        <v>UK</v>
      </c>
      <c r="H282" t="str">
        <v>2026-07</v>
      </c>
      <c r="I282" t="str">
        <v>UK sheet extruder 2026-07. TPO-skinned PP — automotive interior skins, load floors, underbody shields; soft-touch grain, recyclable.</v>
      </c>
      <c r="J282" t="str">
        <v>Low</v>
      </c>
      <c r="K282">
        <f>IFERROR(IF(OR(INDEX(Mapping!$C:$C,MATCH($A282,Mapping!$A:$A,0))="",INDEX(JLRrates!$C:$C,MATCH(INDEX(Mapping!$C:$C,MATCH($A282,Mapping!$A:$A,0)),JLRrates!$B:$B,0))=""),0,INDEX(JLRrates!$C:$C,MATCH(INDEX(Mapping!$C:$C,MATCH($A282,Mapping!$A:$A,0)),JLRrates!$B:$B,0))),0)</f>
        <v>0</v>
      </c>
      <c r="L282">
        <f>IFERROR(IF(OR(INDEX(Mapping!$C:$C,MATCH($A282,Mapping!$A:$A,0))="",INDEX(JLRrates!$D:$D,MATCH(INDEX(Mapping!$C:$C,MATCH($A282,Mapping!$A:$A,0)),JLRrates!$B:$B,0))=""),0,INDEX(JLRrates!$D:$D,MATCH(INDEX(Mapping!$C:$C,MATCH($A282,Mapping!$A:$A,0)),JLRrates!$B:$B,0))),0)</f>
        <v>0</v>
      </c>
    </row>
    <row r="283">
      <c r="A283" t="str">
        <v>mat-petg-barrier-tf</v>
      </c>
      <c r="B283" t="str">
        <v>PETG/EVOH Barrier Sheet</v>
      </c>
      <c r="C283" t="str">
        <v>Thermoforming Sheet</v>
      </c>
      <c r="D283">
        <f>IF($K283&gt;0,$K283,2.4)</f>
        <v>2.4</v>
      </c>
      <c r="E283">
        <f>IF($L283&gt;0,$L283,0.1)</f>
        <v>0.1</v>
      </c>
      <c r="F283">
        <v>1300</v>
      </c>
      <c r="G283" t="str">
        <v>UK</v>
      </c>
      <c r="H283" t="str">
        <v>2026-07</v>
      </c>
      <c r="I283" t="str">
        <v>UK sheet extruder 2026-07. Multilayer PET/EVOH/tie barrier — MAP food trays, extended shelf-life; EVOH barrier core. Regrind cross-contamination limits recovery.</v>
      </c>
      <c r="J283" t="str">
        <v>Low</v>
      </c>
      <c r="K283">
        <f>IFERROR(IF(OR(INDEX(Mapping!$C:$C,MATCH($A283,Mapping!$A:$A,0))="",INDEX(JLRrates!$C:$C,MATCH(INDEX(Mapping!$C:$C,MATCH($A283,Mapping!$A:$A,0)),JLRrates!$B:$B,0))=""),0,INDEX(JLRrates!$C:$C,MATCH(INDEX(Mapping!$C:$C,MATCH($A283,Mapping!$A:$A,0)),JLRrates!$B:$B,0))),0)</f>
        <v>0</v>
      </c>
      <c r="L283">
        <f>IFERROR(IF(OR(INDEX(Mapping!$C:$C,MATCH($A283,Mapping!$A:$A,0))="",INDEX(JLRrates!$D:$D,MATCH(INDEX(Mapping!$C:$C,MATCH($A283,Mapping!$A:$A,0)),JLRrates!$B:$B,0))=""),0,INDEX(JLRrates!$D:$D,MATCH(INDEX(Mapping!$C:$C,MATCH($A283,Mapping!$A:$A,0)),JLRrates!$B:$B,0))),0)</f>
        <v>0</v>
      </c>
    </row>
    <row r="284">
      <c r="A284" t="str">
        <v>mat-lldpe-roto</v>
      </c>
      <c r="B284" t="str">
        <v>LLDPE Roto Powder (natural)</v>
      </c>
      <c r="C284" t="str">
        <v>Rotational Moulding</v>
      </c>
      <c r="D284">
        <f>IF($K284&gt;0,$K284,1.35)</f>
        <v>1.35</v>
      </c>
      <c r="E284">
        <f>IF($L284&gt;0,$L284,0.1)</f>
        <v>0.1</v>
      </c>
      <c r="F284">
        <v>940</v>
      </c>
      <c r="G284" t="str">
        <v>UK</v>
      </c>
      <c r="H284" t="str">
        <v>2026-07</v>
      </c>
      <c r="I284" t="str">
        <v xml:space="preserve">Index-anchored 2026-07. Primary roto resin — tanks, containers, playground; ground to ~35 mesh (add grinding premium). </v>
      </c>
      <c r="J284" t="str">
        <v>Medium</v>
      </c>
      <c r="K284">
        <f>IFERROR(IF(OR(INDEX(Mapping!$C:$C,MATCH($A284,Mapping!$A:$A,0))="",INDEX(JLRrates!$C:$C,MATCH(INDEX(Mapping!$C:$C,MATCH($A284,Mapping!$A:$A,0)),JLRrates!$B:$B,0))=""),0,INDEX(JLRrates!$C:$C,MATCH(INDEX(Mapping!$C:$C,MATCH($A284,Mapping!$A:$A,0)),JLRrates!$B:$B,0))),0)</f>
        <v>0</v>
      </c>
      <c r="L284">
        <f>IFERROR(IF(OR(INDEX(Mapping!$C:$C,MATCH($A284,Mapping!$A:$A,0))="",INDEX(JLRrates!$D:$D,MATCH(INDEX(Mapping!$C:$C,MATCH($A284,Mapping!$A:$A,0)),JLRrates!$B:$B,0))=""),0,INDEX(JLRrates!$D:$D,MATCH(INDEX(Mapping!$C:$C,MATCH($A284,Mapping!$A:$A,0)),JLRrates!$B:$B,0))),0)</f>
        <v>0</v>
      </c>
    </row>
    <row r="285">
      <c r="A285" t="str">
        <v>mat-hdpe-roto</v>
      </c>
      <c r="B285" t="str">
        <v>HDPE Roto Powder</v>
      </c>
      <c r="C285" t="str">
        <v>Rotational Moulding</v>
      </c>
      <c r="D285">
        <f>IF($K285&gt;0,$K285,1.3)</f>
        <v>1.3</v>
      </c>
      <c r="E285">
        <f>IF($L285&gt;0,$L285,0.1)</f>
        <v>0.1</v>
      </c>
      <c r="F285">
        <v>950</v>
      </c>
      <c r="G285" t="str">
        <v>UK</v>
      </c>
      <c r="H285" t="str">
        <v>2026-07</v>
      </c>
      <c r="I285" t="str">
        <v>Index-anchored 2026-07. Stiffer roto grade — large tanks, agricultural, marine. Higher modulus than LLDPE.</v>
      </c>
      <c r="J285" t="str">
        <v>Medium</v>
      </c>
      <c r="K285">
        <f>IFERROR(IF(OR(INDEX(Mapping!$C:$C,MATCH($A285,Mapping!$A:$A,0))="",INDEX(JLRrates!$C:$C,MATCH(INDEX(Mapping!$C:$C,MATCH($A285,Mapping!$A:$A,0)),JLRrates!$B:$B,0))=""),0,INDEX(JLRrates!$C:$C,MATCH(INDEX(Mapping!$C:$C,MATCH($A285,Mapping!$A:$A,0)),JLRrates!$B:$B,0))),0)</f>
        <v>0</v>
      </c>
      <c r="L285">
        <f>IFERROR(IF(OR(INDEX(Mapping!$C:$C,MATCH($A285,Mapping!$A:$A,0))="",INDEX(JLRrates!$D:$D,MATCH(INDEX(Mapping!$C:$C,MATCH($A285,Mapping!$A:$A,0)),JLRrates!$B:$B,0))=""),0,INDEX(JLRrates!$D:$D,MATCH(INDEX(Mapping!$C:$C,MATCH($A285,Mapping!$A:$A,0)),JLRrates!$B:$B,0))),0)</f>
        <v>0</v>
      </c>
    </row>
    <row r="286">
      <c r="A286" t="str">
        <v>mat-pp-roto</v>
      </c>
      <c r="B286" t="str">
        <v>PP Roto Powder</v>
      </c>
      <c r="C286" t="str">
        <v>Rotational Moulding</v>
      </c>
      <c r="D286">
        <f>IF($K286&gt;0,$K286,1.45)</f>
        <v>1.45</v>
      </c>
      <c r="E286">
        <f>IF($L286&gt;0,$L286,0.1)</f>
        <v>0.1</v>
      </c>
      <c r="F286">
        <v>905</v>
      </c>
      <c r="G286" t="str">
        <v>UK</v>
      </c>
      <c r="H286" t="str">
        <v>2026-07</v>
      </c>
      <c r="I286" t="str">
        <v>Index-anchored 2026-07. Higher-temp roto grade — chemical/hot-fill tanks, ducting. Narrower processing window.</v>
      </c>
      <c r="J286" t="str">
        <v>Low</v>
      </c>
      <c r="K286">
        <f>IFERROR(IF(OR(INDEX(Mapping!$C:$C,MATCH($A286,Mapping!$A:$A,0))="",INDEX(JLRrates!$C:$C,MATCH(INDEX(Mapping!$C:$C,MATCH($A286,Mapping!$A:$A,0)),JLRrates!$B:$B,0))=""),0,INDEX(JLRrates!$C:$C,MATCH(INDEX(Mapping!$C:$C,MATCH($A286,Mapping!$A:$A,0)),JLRrates!$B:$B,0))),0)</f>
        <v>0</v>
      </c>
      <c r="L286">
        <f>IFERROR(IF(OR(INDEX(Mapping!$C:$C,MATCH($A286,Mapping!$A:$A,0))="",INDEX(JLRrates!$D:$D,MATCH(INDEX(Mapping!$C:$C,MATCH($A286,Mapping!$A:$A,0)),JLRrates!$B:$B,0))=""),0,INDEX(JLRrates!$D:$D,MATCH(INDEX(Mapping!$C:$C,MATCH($A286,Mapping!$A:$A,0)),JLRrates!$B:$B,0))),0)</f>
        <v>0</v>
      </c>
    </row>
    <row r="287">
      <c r="A287" t="str">
        <v>mat-xlpe-roto</v>
      </c>
      <c r="B287" t="str">
        <v>Cross-Linked PE (XLPE) Roto</v>
      </c>
      <c r="C287" t="str">
        <v>Rotational Moulding</v>
      </c>
      <c r="D287">
        <f>IF($K287&gt;0,$K287,1.75)</f>
        <v>1.75</v>
      </c>
      <c r="E287">
        <f>IF($L287&gt;0,$L287,0.05)</f>
        <v>0.05</v>
      </c>
      <c r="F287">
        <v>940</v>
      </c>
      <c r="G287" t="str">
        <v>UK</v>
      </c>
      <c r="H287" t="str">
        <v>2026-07</v>
      </c>
      <c r="I287" t="str">
        <v>Index-anchored 2026-07. Cross-linked PE — fuel/chemical tanks, ESCR-critical; not regrindable, needs longer bake.</v>
      </c>
      <c r="J287" t="str">
        <v>Low</v>
      </c>
      <c r="K287">
        <f>IFERROR(IF(OR(INDEX(Mapping!$C:$C,MATCH($A287,Mapping!$A:$A,0))="",INDEX(JLRrates!$C:$C,MATCH(INDEX(Mapping!$C:$C,MATCH($A287,Mapping!$A:$A,0)),JLRrates!$B:$B,0))=""),0,INDEX(JLRrates!$C:$C,MATCH(INDEX(Mapping!$C:$C,MATCH($A287,Mapping!$A:$A,0)),JLRrates!$B:$B,0))),0)</f>
        <v>0</v>
      </c>
      <c r="L287">
        <f>IFERROR(IF(OR(INDEX(Mapping!$C:$C,MATCH($A287,Mapping!$A:$A,0))="",INDEX(JLRrates!$D:$D,MATCH(INDEX(Mapping!$C:$C,MATCH($A287,Mapping!$A:$A,0)),JLRrates!$B:$B,0))=""),0,INDEX(JLRrates!$D:$D,MATCH(INDEX(Mapping!$C:$C,MATCH($A287,Mapping!$A:$A,0)),JLRrates!$B:$B,0))),0)</f>
        <v>0</v>
      </c>
    </row>
    <row r="288">
      <c r="A288" t="str">
        <v>mat-pa12-roto</v>
      </c>
      <c r="B288" t="str">
        <v>PA12 Roto Powder</v>
      </c>
      <c r="C288" t="str">
        <v>Rotational Moulding</v>
      </c>
      <c r="D288">
        <f>IF($K288&gt;0,$K288,9.5)</f>
        <v>9.5</v>
      </c>
      <c r="E288">
        <f>IF($L288&gt;0,$L288,0.2)</f>
        <v>0.2</v>
      </c>
      <c r="F288">
        <v>1010</v>
      </c>
      <c r="G288" t="str">
        <v>UK</v>
      </c>
      <c r="H288" t="str">
        <v>2026-07</v>
      </c>
      <c r="I288" t="str">
        <v>Index-anchored 2026-07. High-performance roto — air ducts, fuel tanks, aerospace; high melt temp, long cycle.</v>
      </c>
      <c r="J288" t="str">
        <v>Low</v>
      </c>
      <c r="K288">
        <f>IFERROR(IF(OR(INDEX(Mapping!$C:$C,MATCH($A288,Mapping!$A:$A,0))="",INDEX(JLRrates!$C:$C,MATCH(INDEX(Mapping!$C:$C,MATCH($A288,Mapping!$A:$A,0)),JLRrates!$B:$B,0))=""),0,INDEX(JLRrates!$C:$C,MATCH(INDEX(Mapping!$C:$C,MATCH($A288,Mapping!$A:$A,0)),JLRrates!$B:$B,0))),0)</f>
        <v>0</v>
      </c>
      <c r="L288">
        <f>IFERROR(IF(OR(INDEX(Mapping!$C:$C,MATCH($A288,Mapping!$A:$A,0))="",INDEX(JLRrates!$D:$D,MATCH(INDEX(Mapping!$C:$C,MATCH($A288,Mapping!$A:$A,0)),JLRrates!$B:$B,0))=""),0,INDEX(JLRrates!$D:$D,MATCH(INDEX(Mapping!$C:$C,MATCH($A288,Mapping!$A:$A,0)),JLRrates!$B:$B,0))),0)</f>
        <v>0</v>
      </c>
    </row>
    <row r="289">
      <c r="A289" t="str">
        <v>mat-fr-pe-roto</v>
      </c>
      <c r="B289" t="str">
        <v>Flame-Retardant PE Roto</v>
      </c>
      <c r="C289" t="str">
        <v>Rotational Moulding</v>
      </c>
      <c r="D289">
        <f>IF($K289&gt;0,$K289,2.6)</f>
        <v>2.6</v>
      </c>
      <c r="E289">
        <f>IF($L289&gt;0,$L289,0.05)</f>
        <v>0.05</v>
      </c>
      <c r="F289">
        <v>970</v>
      </c>
      <c r="G289" t="str">
        <v>UK</v>
      </c>
      <c r="H289" t="str">
        <v>2026-07</v>
      </c>
      <c r="I289" t="str">
        <v>Index-anchored 2026-07. FR-compounded PE — enclosures, transit, rail (UL94/EN45545). Additive-loaded.</v>
      </c>
      <c r="J289" t="str">
        <v>Low</v>
      </c>
      <c r="K289">
        <f>IFERROR(IF(OR(INDEX(Mapping!$C:$C,MATCH($A289,Mapping!$A:$A,0))="",INDEX(JLRrates!$C:$C,MATCH(INDEX(Mapping!$C:$C,MATCH($A289,Mapping!$A:$A,0)),JLRrates!$B:$B,0))=""),0,INDEX(JLRrates!$C:$C,MATCH(INDEX(Mapping!$C:$C,MATCH($A289,Mapping!$A:$A,0)),JLRrates!$B:$B,0))),0)</f>
        <v>0</v>
      </c>
      <c r="L289">
        <f>IFERROR(IF(OR(INDEX(Mapping!$C:$C,MATCH($A289,Mapping!$A:$A,0))="",INDEX(JLRrates!$D:$D,MATCH(INDEX(Mapping!$C:$C,MATCH($A289,Mapping!$A:$A,0)),JLRrates!$B:$B,0))=""),0,INDEX(JLRrates!$D:$D,MATCH(INDEX(Mapping!$C:$C,MATCH($A289,Mapping!$A:$A,0)),JLRrates!$B:$B,0))),0)</f>
        <v>0</v>
      </c>
    </row>
    <row r="290">
      <c r="A290" t="str">
        <v>mat-foam-pe-roto</v>
      </c>
      <c r="B290" t="str">
        <v>Foamable PE Roto (structural foam core)</v>
      </c>
      <c r="C290" t="str">
        <v>Rotational Moulding</v>
      </c>
      <c r="D290">
        <f>IF($K290&gt;0,$K290,1.9)</f>
        <v>1.9</v>
      </c>
      <c r="E290">
        <f>IF($L290&gt;0,$L290,0.05)</f>
        <v>0.05</v>
      </c>
      <c r="F290">
        <v>700</v>
      </c>
      <c r="G290" t="str">
        <v>UK</v>
      </c>
      <c r="H290" t="str">
        <v>2026-07</v>
      </c>
      <c r="I290" t="str">
        <v>Index-anchored 2026-07. Chemical-blowing-agent PE for foamed sandwich walls — stiffness-per-kg, insulation.</v>
      </c>
      <c r="J290" t="str">
        <v>Low</v>
      </c>
      <c r="K290">
        <f>IFERROR(IF(OR(INDEX(Mapping!$C:$C,MATCH($A290,Mapping!$A:$A,0))="",INDEX(JLRrates!$C:$C,MATCH(INDEX(Mapping!$C:$C,MATCH($A290,Mapping!$A:$A,0)),JLRrates!$B:$B,0))=""),0,INDEX(JLRrates!$C:$C,MATCH(INDEX(Mapping!$C:$C,MATCH($A290,Mapping!$A:$A,0)),JLRrates!$B:$B,0))),0)</f>
        <v>0</v>
      </c>
      <c r="L290">
        <f>IFERROR(IF(OR(INDEX(Mapping!$C:$C,MATCH($A290,Mapping!$A:$A,0))="",INDEX(JLRrates!$D:$D,MATCH(INDEX(Mapping!$C:$C,MATCH($A290,Mapping!$A:$A,0)),JLRrates!$B:$B,0))=""),0,INDEX(JLRrates!$D:$D,MATCH(INDEX(Mapping!$C:$C,MATCH($A290,Mapping!$A:$A,0)),JLRrates!$B:$B,0))),0)</f>
        <v>0</v>
      </c>
    </row>
    <row r="291">
      <c r="A291" t="str">
        <v>mat-cond-pe-roto</v>
      </c>
      <c r="B291" t="str">
        <v>Conductive/Antistatic PE Roto</v>
      </c>
      <c r="C291" t="str">
        <v>Rotational Moulding</v>
      </c>
      <c r="D291">
        <f>IF($K291&gt;0,$K291,2.4)</f>
        <v>2.4</v>
      </c>
      <c r="E291">
        <f>IF($L291&gt;0,$L291,0.05)</f>
        <v>0.05</v>
      </c>
      <c r="F291">
        <v>1010</v>
      </c>
      <c r="G291" t="str">
        <v>UK</v>
      </c>
      <c r="H291" t="str">
        <v>2026-07</v>
      </c>
      <c r="I291" t="str">
        <v>Index-anchored 2026-07. Carbon-loaded PE — ATEX/ESD tanks, fuel handling; surface resistivity &lt;10^6 Ω.</v>
      </c>
      <c r="J291" t="str">
        <v>Low</v>
      </c>
      <c r="K291">
        <f>IFERROR(IF(OR(INDEX(Mapping!$C:$C,MATCH($A291,Mapping!$A:$A,0))="",INDEX(JLRrates!$C:$C,MATCH(INDEX(Mapping!$C:$C,MATCH($A291,Mapping!$A:$A,0)),JLRrates!$B:$B,0))=""),0,INDEX(JLRrates!$C:$C,MATCH(INDEX(Mapping!$C:$C,MATCH($A291,Mapping!$A:$A,0)),JLRrates!$B:$B,0))),0)</f>
        <v>0</v>
      </c>
      <c r="L291">
        <f>IFERROR(IF(OR(INDEX(Mapping!$C:$C,MATCH($A291,Mapping!$A:$A,0))="",INDEX(JLRrates!$D:$D,MATCH(INDEX(Mapping!$C:$C,MATCH($A291,Mapping!$A:$A,0)),JLRrates!$B:$B,0))=""),0,INDEX(JLRrates!$D:$D,MATCH(INDEX(Mapping!$C:$C,MATCH($A291,Mapping!$A:$A,0)),JLRrates!$B:$B,0))),0)</f>
        <v>0</v>
      </c>
    </row>
    <row r="292">
      <c r="A292" t="str">
        <v>mat-rpe-roto</v>
      </c>
      <c r="B292" t="str">
        <v>Recycled PE Roto Powder</v>
      </c>
      <c r="C292" t="str">
        <v>Rotational Moulding</v>
      </c>
      <c r="D292">
        <f>IF($K292&gt;0,$K292,0.95)</f>
        <v>0.95</v>
      </c>
      <c r="E292">
        <f>IF($L292&gt;0,$L292,0.1)</f>
        <v>0.1</v>
      </c>
      <c r="F292">
        <v>945</v>
      </c>
      <c r="G292" t="str">
        <v>UK</v>
      </c>
      <c r="H292" t="str">
        <v>2026-07</v>
      </c>
      <c r="I292" t="str">
        <v>Index-anchored 2026-07. Recyclate roto grade — non-critical tanks, planters, civils; wider property spread.</v>
      </c>
      <c r="J292" t="str">
        <v>Low</v>
      </c>
      <c r="K292">
        <f>IFERROR(IF(OR(INDEX(Mapping!$C:$C,MATCH($A292,Mapping!$A:$A,0))="",INDEX(JLRrates!$C:$C,MATCH(INDEX(Mapping!$C:$C,MATCH($A292,Mapping!$A:$A,0)),JLRrates!$B:$B,0))=""),0,INDEX(JLRrates!$C:$C,MATCH(INDEX(Mapping!$C:$C,MATCH($A292,Mapping!$A:$A,0)),JLRrates!$B:$B,0))),0)</f>
        <v>0</v>
      </c>
      <c r="L292">
        <f>IFERROR(IF(OR(INDEX(Mapping!$C:$C,MATCH($A292,Mapping!$A:$A,0))="",INDEX(JLRrates!$D:$D,MATCH(INDEX(Mapping!$C:$C,MATCH($A292,Mapping!$A:$A,0)),JLRrates!$B:$B,0))=""),0,INDEX(JLRrates!$D:$D,MATCH(INDEX(Mapping!$C:$C,MATCH($A292,Mapping!$A:$A,0)),JLRrates!$B:$B,0))),0)</f>
        <v>0</v>
      </c>
    </row>
    <row r="293">
      <c r="A293" t="str">
        <v>mat-epdm</v>
      </c>
      <c r="B293" t="str">
        <v>EPDM 70 Shore A</v>
      </c>
      <c r="C293" t="str">
        <v>Rubber</v>
      </c>
      <c r="D293">
        <f>IF($K293&gt;0,$K293,1.9)</f>
        <v>1.9</v>
      </c>
      <c r="E293">
        <f>IF($L293&gt;0,$L293,0.05)</f>
        <v>0.05</v>
      </c>
      <c r="F293">
        <v>1150</v>
      </c>
      <c r="G293" t="str">
        <v>UK</v>
      </c>
      <c r="H293" t="str">
        <v>2026-07</v>
      </c>
      <c r="I293" t="str">
        <v>UK rubber compounder Jun 2026. EPDM seals, hoses, weatherstrips. Shore 70A. Index-anchored 2026-07 refresh.</v>
      </c>
      <c r="J293" t="str">
        <v>Medium</v>
      </c>
      <c r="K293">
        <f>IFERROR(IF(OR(INDEX(Mapping!$C:$C,MATCH($A293,Mapping!$A:$A,0))="",INDEX(JLRrates!$C:$C,MATCH(INDEX(Mapping!$C:$C,MATCH($A293,Mapping!$A:$A,0)),JLRrates!$B:$B,0))=""),0,INDEX(JLRrates!$C:$C,MATCH(INDEX(Mapping!$C:$C,MATCH($A293,Mapping!$A:$A,0)),JLRrates!$B:$B,0))),0)</f>
        <v>0</v>
      </c>
      <c r="L293">
        <f>IFERROR(IF(OR(INDEX(Mapping!$C:$C,MATCH($A293,Mapping!$A:$A,0))="",INDEX(JLRrates!$D:$D,MATCH(INDEX(Mapping!$C:$C,MATCH($A293,Mapping!$A:$A,0)),JLRrates!$B:$B,0))=""),0,INDEX(JLRrates!$D:$D,MATCH(INDEX(Mapping!$C:$C,MATCH($A293,Mapping!$A:$A,0)),JLRrates!$B:$B,0))),0)</f>
        <v>0</v>
      </c>
    </row>
    <row r="294">
      <c r="A294" t="str">
        <v>mat-nbr</v>
      </c>
      <c r="B294" t="str">
        <v>NBR 70 Shore A</v>
      </c>
      <c r="C294" t="str">
        <v>Rubber</v>
      </c>
      <c r="D294">
        <f>IF($K294&gt;0,$K294,2.32)</f>
        <v>2.32</v>
      </c>
      <c r="E294">
        <f>IF($L294&gt;0,$L294,0.05)</f>
        <v>0.05</v>
      </c>
      <c r="F294">
        <v>1200</v>
      </c>
      <c r="G294" t="str">
        <v>UK</v>
      </c>
      <c r="H294" t="str">
        <v>2026-07</v>
      </c>
      <c r="I294" t="str">
        <v>UK rubber compounder Jun 2026. Nitrile rubber — oil/fuel seals, O-rings. Shore 70A. Index-anchored 2026-07 refresh.</v>
      </c>
      <c r="J294" t="str">
        <v>Medium</v>
      </c>
      <c r="K294">
        <f>IFERROR(IF(OR(INDEX(Mapping!$C:$C,MATCH($A294,Mapping!$A:$A,0))="",INDEX(JLRrates!$C:$C,MATCH(INDEX(Mapping!$C:$C,MATCH($A294,Mapping!$A:$A,0)),JLRrates!$B:$B,0))=""),0,INDEX(JLRrates!$C:$C,MATCH(INDEX(Mapping!$C:$C,MATCH($A294,Mapping!$A:$A,0)),JLRrates!$B:$B,0))),0)</f>
        <v>0</v>
      </c>
      <c r="L294">
        <f>IFERROR(IF(OR(INDEX(Mapping!$C:$C,MATCH($A294,Mapping!$A:$A,0))="",INDEX(JLRrates!$D:$D,MATCH(INDEX(Mapping!$C:$C,MATCH($A294,Mapping!$A:$A,0)),JLRrates!$B:$B,0))=""),0,INDEX(JLRrates!$D:$D,MATCH(INDEX(Mapping!$C:$C,MATCH($A294,Mapping!$A:$A,0)),JLRrates!$B:$B,0))),0)</f>
        <v>0</v>
      </c>
    </row>
    <row r="295">
      <c r="A295" t="str">
        <v>mat-silicone-hcr</v>
      </c>
      <c r="B295" t="str">
        <v>HCR Silicone 60 Shore A</v>
      </c>
      <c r="C295" t="str">
        <v>Rubber</v>
      </c>
      <c r="D295">
        <f>IF($K295&gt;0,$K295,8.92)</f>
        <v>8.92</v>
      </c>
      <c r="E295">
        <f>IF($L295&gt;0,$L295,0.1)</f>
        <v>0.1</v>
      </c>
      <c r="F295">
        <v>1200</v>
      </c>
      <c r="G295" t="str">
        <v>UK</v>
      </c>
      <c r="H295" t="str">
        <v>2026-07</v>
      </c>
      <c r="I295" t="str">
        <v>UK silicone supplier Jun 2026. High Consistency Rubber — compression/transfer moulding. Shore 60A. Index-anchored 2026-07 refresh.</v>
      </c>
      <c r="J295" t="str">
        <v>Low</v>
      </c>
      <c r="K295">
        <f>IFERROR(IF(OR(INDEX(Mapping!$C:$C,MATCH($A295,Mapping!$A:$A,0))="",INDEX(JLRrates!$C:$C,MATCH(INDEX(Mapping!$C:$C,MATCH($A295,Mapping!$A:$A,0)),JLRrates!$B:$B,0))=""),0,INDEX(JLRrates!$C:$C,MATCH(INDEX(Mapping!$C:$C,MATCH($A295,Mapping!$A:$A,0)),JLRrates!$B:$B,0))),0)</f>
        <v>0</v>
      </c>
      <c r="L295">
        <f>IFERROR(IF(OR(INDEX(Mapping!$C:$C,MATCH($A295,Mapping!$A:$A,0))="",INDEX(JLRrates!$D:$D,MATCH(INDEX(Mapping!$C:$C,MATCH($A295,Mapping!$A:$A,0)),JLRrates!$B:$B,0))=""),0,INDEX(JLRrates!$D:$D,MATCH(INDEX(Mapping!$C:$C,MATCH($A295,Mapping!$A:$A,0)),JLRrates!$B:$B,0))),0)</f>
        <v>0</v>
      </c>
    </row>
    <row r="296">
      <c r="A296" t="str">
        <v>mat-lsr</v>
      </c>
      <c r="B296" t="str">
        <v>LSR 40 Shore A</v>
      </c>
      <c r="C296" t="str">
        <v>Rubber</v>
      </c>
      <c r="D296">
        <f>IF($K296&gt;0,$K296,15.75)</f>
        <v>15.75</v>
      </c>
      <c r="E296">
        <f>IF($L296&gt;0,$L296,0.1)</f>
        <v>0.1</v>
      </c>
      <c r="F296">
        <v>1130</v>
      </c>
      <c r="G296" t="str">
        <v>UK</v>
      </c>
      <c r="H296" t="str">
        <v>2026-07</v>
      </c>
      <c r="I296" t="str">
        <v>UK silicone supplier Jun 2026. Liquid Silicone Rubber — injection moulding, medical/auto seals. Shore 40A. Index-anchored 2026-07 refresh.</v>
      </c>
      <c r="J296" t="str">
        <v>Low</v>
      </c>
      <c r="K296">
        <f>IFERROR(IF(OR(INDEX(Mapping!$C:$C,MATCH($A296,Mapping!$A:$A,0))="",INDEX(JLRrates!$C:$C,MATCH(INDEX(Mapping!$C:$C,MATCH($A296,Mapping!$A:$A,0)),JLRrates!$B:$B,0))=""),0,INDEX(JLRrates!$C:$C,MATCH(INDEX(Mapping!$C:$C,MATCH($A296,Mapping!$A:$A,0)),JLRrates!$B:$B,0))),0)</f>
        <v>0</v>
      </c>
      <c r="L296">
        <f>IFERROR(IF(OR(INDEX(Mapping!$C:$C,MATCH($A296,Mapping!$A:$A,0))="",INDEX(JLRrates!$D:$D,MATCH(INDEX(Mapping!$C:$C,MATCH($A296,Mapping!$A:$A,0)),JLRrates!$B:$B,0))=""),0,INDEX(JLRrates!$D:$D,MATCH(INDEX(Mapping!$C:$C,MATCH($A296,Mapping!$A:$A,0)),JLRrates!$B:$B,0))),0)</f>
        <v>0</v>
      </c>
    </row>
    <row r="297">
      <c r="A297" t="str">
        <v>mat-nr</v>
      </c>
      <c r="B297" t="str">
        <v>Natural Rubber SMR20</v>
      </c>
      <c r="C297" t="str">
        <v>Rubber</v>
      </c>
      <c r="D297">
        <f>IF($K297&gt;0,$K297,1.72)</f>
        <v>1.72</v>
      </c>
      <c r="E297">
        <f>IF($L297&gt;0,$L297,0.05)</f>
        <v>0.05</v>
      </c>
      <c r="F297">
        <v>920</v>
      </c>
      <c r="G297" t="str">
        <v>UK</v>
      </c>
      <c r="H297" t="str">
        <v>2026-07</v>
      </c>
      <c r="I297" t="str">
        <v>UK rubber importer Jun 2026. Natural rubber SMR20 grade — tyre compounds, anti-vibration mounts. Index-anchored 2026-07 refresh.</v>
      </c>
      <c r="J297" t="str">
        <v>Low</v>
      </c>
      <c r="K297">
        <f>IFERROR(IF(OR(INDEX(Mapping!$C:$C,MATCH($A297,Mapping!$A:$A,0))="",INDEX(JLRrates!$C:$C,MATCH(INDEX(Mapping!$C:$C,MATCH($A297,Mapping!$A:$A,0)),JLRrates!$B:$B,0))=""),0,INDEX(JLRrates!$C:$C,MATCH(INDEX(Mapping!$C:$C,MATCH($A297,Mapping!$A:$A,0)),JLRrates!$B:$B,0))),0)</f>
        <v>0</v>
      </c>
      <c r="L297">
        <f>IFERROR(IF(OR(INDEX(Mapping!$C:$C,MATCH($A297,Mapping!$A:$A,0))="",INDEX(JLRrates!$D:$D,MATCH(INDEX(Mapping!$C:$C,MATCH($A297,Mapping!$A:$A,0)),JLRrates!$B:$B,0))=""),0,INDEX(JLRrates!$D:$D,MATCH(INDEX(Mapping!$C:$C,MATCH($A297,Mapping!$A:$A,0)),JLRrates!$B:$B,0))),0)</f>
        <v>0</v>
      </c>
    </row>
    <row r="298">
      <c r="A298" t="str">
        <v>mat-viton-fkm</v>
      </c>
      <c r="B298" t="str">
        <v>FKM Viton 75 Shore A</v>
      </c>
      <c r="C298" t="str">
        <v>Rubber</v>
      </c>
      <c r="D298">
        <f>IF($K298&gt;0,$K298,23.1)</f>
        <v>23.1</v>
      </c>
      <c r="E298">
        <f>IF($L298&gt;0,$L298,0.2)</f>
        <v>0.2</v>
      </c>
      <c r="F298">
        <v>1850</v>
      </c>
      <c r="G298" t="str">
        <v>UK</v>
      </c>
      <c r="H298" t="str">
        <v>2026-07</v>
      </c>
      <c r="I298" t="str">
        <v>UK fluoroelastomer supplier Jun 2026. FKM Viton — high-temp/chemical seals (&gt;200°C). Shore 75A. Index-anchored 2026-07 refresh.</v>
      </c>
      <c r="J298" t="str">
        <v>Low</v>
      </c>
      <c r="K298">
        <f>IFERROR(IF(OR(INDEX(Mapping!$C:$C,MATCH($A298,Mapping!$A:$A,0))="",INDEX(JLRrates!$C:$C,MATCH(INDEX(Mapping!$C:$C,MATCH($A298,Mapping!$A:$A,0)),JLRrates!$B:$B,0))=""),0,INDEX(JLRrates!$C:$C,MATCH(INDEX(Mapping!$C:$C,MATCH($A298,Mapping!$A:$A,0)),JLRrates!$B:$B,0))),0)</f>
        <v>0</v>
      </c>
      <c r="L298">
        <f>IFERROR(IF(OR(INDEX(Mapping!$C:$C,MATCH($A298,Mapping!$A:$A,0))="",INDEX(JLRrates!$D:$D,MATCH(INDEX(Mapping!$C:$C,MATCH($A298,Mapping!$A:$A,0)),JLRrates!$B:$B,0))=""),0,INDEX(JLRrates!$D:$D,MATCH(INDEX(Mapping!$C:$C,MATCH($A298,Mapping!$A:$A,0)),JLRrates!$B:$B,0))),0)</f>
        <v>0</v>
      </c>
    </row>
    <row r="299">
      <c r="A299" t="str">
        <v>mat-sbr</v>
      </c>
      <c r="B299" t="str">
        <v>SBR 65 Shore A</v>
      </c>
      <c r="C299" t="str">
        <v>Rubber</v>
      </c>
      <c r="D299">
        <f>IF($K299&gt;0,$K299,1.45)</f>
        <v>1.45</v>
      </c>
      <c r="E299">
        <f>IF($L299&gt;0,$L299,0.03)</f>
        <v>0.03</v>
      </c>
      <c r="F299">
        <v>1100</v>
      </c>
      <c r="G299" t="str">
        <v>UK</v>
      </c>
      <c r="H299" t="str">
        <v>2026-07</v>
      </c>
      <c r="I299" t="str">
        <v>UK rubber compounder Jun 2026. Styrene Butadiene Rubber — general-purpose seals, gaskets, belts, anti-vibration pads. Shore 65A. Index-anchored 2026-07 refresh.</v>
      </c>
      <c r="J299" t="str">
        <v>Medium</v>
      </c>
      <c r="K299">
        <f>IFERROR(IF(OR(INDEX(Mapping!$C:$C,MATCH($A299,Mapping!$A:$A,0))="",INDEX(JLRrates!$C:$C,MATCH(INDEX(Mapping!$C:$C,MATCH($A299,Mapping!$A:$A,0)),JLRrates!$B:$B,0))=""),0,INDEX(JLRrates!$C:$C,MATCH(INDEX(Mapping!$C:$C,MATCH($A299,Mapping!$A:$A,0)),JLRrates!$B:$B,0))),0)</f>
        <v>0</v>
      </c>
      <c r="L299">
        <f>IFERROR(IF(OR(INDEX(Mapping!$C:$C,MATCH($A299,Mapping!$A:$A,0))="",INDEX(JLRrates!$D:$D,MATCH(INDEX(Mapping!$C:$C,MATCH($A299,Mapping!$A:$A,0)),JLRrates!$B:$B,0))=""),0,INDEX(JLRrates!$D:$D,MATCH(INDEX(Mapping!$C:$C,MATCH($A299,Mapping!$A:$A,0)),JLRrates!$B:$B,0))),0)</f>
        <v>0</v>
      </c>
    </row>
    <row r="300">
      <c r="A300" t="str">
        <v>mat-cr</v>
      </c>
      <c r="B300" t="str">
        <v>CR Neoprene 60 Shore A</v>
      </c>
      <c r="C300" t="str">
        <v>Rubber</v>
      </c>
      <c r="D300">
        <f>IF($K300&gt;0,$K300,3.82)</f>
        <v>3.82</v>
      </c>
      <c r="E300">
        <f>IF($L300&gt;0,$L300,0.05)</f>
        <v>0.05</v>
      </c>
      <c r="F300">
        <v>1230</v>
      </c>
      <c r="G300" t="str">
        <v>UK</v>
      </c>
      <c r="H300" t="str">
        <v>2026-07</v>
      </c>
      <c r="I300" t="str">
        <v>UK rubber compounder Jun 2026. Chloroprene/Neoprene — oil/weather-resistant seals, CV boots, hoses, cable sheaths. Shore 60A. Index-anchored 2026-07 refresh.</v>
      </c>
      <c r="J300" t="str">
        <v>Medium</v>
      </c>
      <c r="K300">
        <f>IFERROR(IF(OR(INDEX(Mapping!$C:$C,MATCH($A300,Mapping!$A:$A,0))="",INDEX(JLRrates!$C:$C,MATCH(INDEX(Mapping!$C:$C,MATCH($A300,Mapping!$A:$A,0)),JLRrates!$B:$B,0))=""),0,INDEX(JLRrates!$C:$C,MATCH(INDEX(Mapping!$C:$C,MATCH($A300,Mapping!$A:$A,0)),JLRrates!$B:$B,0))),0)</f>
        <v>0</v>
      </c>
      <c r="L300">
        <f>IFERROR(IF(OR(INDEX(Mapping!$C:$C,MATCH($A300,Mapping!$A:$A,0))="",INDEX(JLRrates!$D:$D,MATCH(INDEX(Mapping!$C:$C,MATCH($A300,Mapping!$A:$A,0)),JLRrates!$B:$B,0))=""),0,INDEX(JLRrates!$D:$D,MATCH(INDEX(Mapping!$C:$C,MATCH($A300,Mapping!$A:$A,0)),JLRrates!$B:$B,0))),0)</f>
        <v>0</v>
      </c>
    </row>
    <row r="301">
      <c r="A301" t="str">
        <v>mat-hnbr</v>
      </c>
      <c r="B301" t="str">
        <v>HNBR 70 Shore A</v>
      </c>
      <c r="C301" t="str">
        <v>Rubber</v>
      </c>
      <c r="D301">
        <f>IF($K301&gt;0,$K301,5.65)</f>
        <v>5.65</v>
      </c>
      <c r="E301">
        <f>IF($L301&gt;0,$L301,0.08)</f>
        <v>0.08</v>
      </c>
      <c r="F301">
        <v>1200</v>
      </c>
      <c r="G301" t="str">
        <v>UK</v>
      </c>
      <c r="H301" t="str">
        <v>2026-07</v>
      </c>
      <c r="I301" t="str">
        <v>UK rubber compounder Jun 2026. Hydrogenated Nitrile — high-temp oil seals to 150°C+, cam cover gaskets, power steering. Shore 70A. Index-anchored 2026-07 refresh.</v>
      </c>
      <c r="J301" t="str">
        <v>Low</v>
      </c>
      <c r="K301">
        <f>IFERROR(IF(OR(INDEX(Mapping!$C:$C,MATCH($A301,Mapping!$A:$A,0))="",INDEX(JLRrates!$C:$C,MATCH(INDEX(Mapping!$C:$C,MATCH($A301,Mapping!$A:$A,0)),JLRrates!$B:$B,0))=""),0,INDEX(JLRrates!$C:$C,MATCH(INDEX(Mapping!$C:$C,MATCH($A301,Mapping!$A:$A,0)),JLRrates!$B:$B,0))),0)</f>
        <v>0</v>
      </c>
      <c r="L301">
        <f>IFERROR(IF(OR(INDEX(Mapping!$C:$C,MATCH($A301,Mapping!$A:$A,0))="",INDEX(JLRrates!$D:$D,MATCH(INDEX(Mapping!$C:$C,MATCH($A301,Mapping!$A:$A,0)),JLRrates!$B:$B,0))=""),0,INDEX(JLRrates!$D:$D,MATCH(INDEX(Mapping!$C:$C,MATCH($A301,Mapping!$A:$A,0)),JLRrates!$B:$B,0))),0)</f>
        <v>0</v>
      </c>
    </row>
    <row r="302">
      <c r="A302" t="str">
        <v>mat-iir</v>
      </c>
      <c r="B302" t="str">
        <v>Butyl Rubber IIR 55 Shore A</v>
      </c>
      <c r="C302" t="str">
        <v>Rubber</v>
      </c>
      <c r="D302">
        <f>IF($K302&gt;0,$K302,2.18)</f>
        <v>2.18</v>
      </c>
      <c r="E302">
        <f>IF($L302&gt;0,$L302,0.03)</f>
        <v>0.03</v>
      </c>
      <c r="F302">
        <v>920</v>
      </c>
      <c r="G302" t="str">
        <v>UK</v>
      </c>
      <c r="H302" t="str">
        <v>2026-07</v>
      </c>
      <c r="I302" t="str">
        <v>UK rubber importer Jun 2026. Butyl rubber — excellent gas impermeability, tire inner liners, vibration dampers, membrane seals. Shore 55A. Index-anchored 2026-07 refresh.</v>
      </c>
      <c r="J302" t="str">
        <v>Low</v>
      </c>
      <c r="K302">
        <f>IFERROR(IF(OR(INDEX(Mapping!$C:$C,MATCH($A302,Mapping!$A:$A,0))="",INDEX(JLRrates!$C:$C,MATCH(INDEX(Mapping!$C:$C,MATCH($A302,Mapping!$A:$A,0)),JLRrates!$B:$B,0))=""),0,INDEX(JLRrates!$C:$C,MATCH(INDEX(Mapping!$C:$C,MATCH($A302,Mapping!$A:$A,0)),JLRrates!$B:$B,0))),0)</f>
        <v>0</v>
      </c>
      <c r="L302">
        <f>IFERROR(IF(OR(INDEX(Mapping!$C:$C,MATCH($A302,Mapping!$A:$A,0))="",INDEX(JLRrates!$D:$D,MATCH(INDEX(Mapping!$C:$C,MATCH($A302,Mapping!$A:$A,0)),JLRrates!$B:$B,0))=""),0,INDEX(JLRrates!$D:$D,MATCH(INDEX(Mapping!$C:$C,MATCH($A302,Mapping!$A:$A,0)),JLRrates!$B:$B,0))),0)</f>
        <v>0</v>
      </c>
    </row>
    <row r="303">
      <c r="A303" t="str">
        <v>mat-pu-elastomer</v>
      </c>
      <c r="B303" t="str">
        <v>Polyurethane Elastomer 70 Shore A</v>
      </c>
      <c r="C303" t="str">
        <v>Rubber</v>
      </c>
      <c r="D303">
        <f>IF($K303&gt;0,$K303,4.25)</f>
        <v>4.25</v>
      </c>
      <c r="E303">
        <f>IF($L303&gt;0,$L303,0.1)</f>
        <v>0.1</v>
      </c>
      <c r="F303">
        <v>1200</v>
      </c>
      <c r="G303" t="str">
        <v>UK</v>
      </c>
      <c r="H303" t="str">
        <v>2026-07</v>
      </c>
      <c r="I303" t="str">
        <v>UK PU elastomer supplier Jun 2026. Cast/moulded polyurethane — wear-resistant seals, guide bushes, rollers, suspension bump stops. Shore 70A. Index-anchored 2026-07 refresh.</v>
      </c>
      <c r="J303" t="str">
        <v>Medium</v>
      </c>
      <c r="K303">
        <f>IFERROR(IF(OR(INDEX(Mapping!$C:$C,MATCH($A303,Mapping!$A:$A,0))="",INDEX(JLRrates!$C:$C,MATCH(INDEX(Mapping!$C:$C,MATCH($A303,Mapping!$A:$A,0)),JLRrates!$B:$B,0))=""),0,INDEX(JLRrates!$C:$C,MATCH(INDEX(Mapping!$C:$C,MATCH($A303,Mapping!$A:$A,0)),JLRrates!$B:$B,0))),0)</f>
        <v>0</v>
      </c>
      <c r="L303">
        <f>IFERROR(IF(OR(INDEX(Mapping!$C:$C,MATCH($A303,Mapping!$A:$A,0))="",INDEX(JLRrates!$D:$D,MATCH(INDEX(Mapping!$C:$C,MATCH($A303,Mapping!$A:$A,0)),JLRrates!$B:$B,0))=""),0,INDEX(JLRrates!$D:$D,MATCH(INDEX(Mapping!$C:$C,MATCH($A303,Mapping!$A:$A,0)),JLRrates!$B:$B,0))),0)</f>
        <v>0</v>
      </c>
    </row>
    <row r="304">
      <c r="A304" t="str">
        <v>mat-fvmq</v>
      </c>
      <c r="B304" t="str">
        <v>FVMQ Fluorosilicone 60 Shore A</v>
      </c>
      <c r="C304" t="str">
        <v>Rubber</v>
      </c>
      <c r="D304">
        <f>IF($K304&gt;0,$K304,34)</f>
        <v>34</v>
      </c>
      <c r="E304">
        <f>IF($L304&gt;0,$L304,0.15)</f>
        <v>0.15</v>
      </c>
      <c r="F304">
        <v>1400</v>
      </c>
      <c r="G304" t="str">
        <v>UK</v>
      </c>
      <c r="H304" t="str">
        <v>2026-07</v>
      </c>
      <c r="I304" t="str">
        <v>Index-anchored 2026-07. Fluorosilicone — fuel/oil resistance with silicone low-temp flexibility; aerospace/fuel-system seals. Shore 60A.</v>
      </c>
      <c r="J304" t="str">
        <v>Low</v>
      </c>
      <c r="K304">
        <f>IFERROR(IF(OR(INDEX(Mapping!$C:$C,MATCH($A304,Mapping!$A:$A,0))="",INDEX(JLRrates!$C:$C,MATCH(INDEX(Mapping!$C:$C,MATCH($A304,Mapping!$A:$A,0)),JLRrates!$B:$B,0))=""),0,INDEX(JLRrates!$C:$C,MATCH(INDEX(Mapping!$C:$C,MATCH($A304,Mapping!$A:$A,0)),JLRrates!$B:$B,0))),0)</f>
        <v>0</v>
      </c>
      <c r="L304">
        <f>IFERROR(IF(OR(INDEX(Mapping!$C:$C,MATCH($A304,Mapping!$A:$A,0))="",INDEX(JLRrates!$D:$D,MATCH(INDEX(Mapping!$C:$C,MATCH($A304,Mapping!$A:$A,0)),JLRrates!$B:$B,0))=""),0,INDEX(JLRrates!$D:$D,MATCH(INDEX(Mapping!$C:$C,MATCH($A304,Mapping!$A:$A,0)),JLRrates!$B:$B,0))),0)</f>
        <v>0</v>
      </c>
    </row>
    <row r="305">
      <c r="A305" t="str">
        <v>mat-acm</v>
      </c>
      <c r="B305" t="str">
        <v>ACM Polyacrylate 70 Shore A</v>
      </c>
      <c r="C305" t="str">
        <v>Rubber</v>
      </c>
      <c r="D305">
        <f>IF($K305&gt;0,$K305,6.8)</f>
        <v>6.8</v>
      </c>
      <c r="E305">
        <f>IF($L305&gt;0,$L305,0.08)</f>
        <v>0.08</v>
      </c>
      <c r="F305">
        <v>1250</v>
      </c>
      <c r="G305" t="str">
        <v>UK</v>
      </c>
      <c r="H305" t="str">
        <v>2026-07</v>
      </c>
      <c r="I305" t="str">
        <v>Index-anchored 2026-07. Polyacrylate — hot-oil transmission/engine seals to ~150°C, better than NBR. Shore 70A.</v>
      </c>
      <c r="J305" t="str">
        <v>Low</v>
      </c>
      <c r="K305">
        <f>IFERROR(IF(OR(INDEX(Mapping!$C:$C,MATCH($A305,Mapping!$A:$A,0))="",INDEX(JLRrates!$C:$C,MATCH(INDEX(Mapping!$C:$C,MATCH($A305,Mapping!$A:$A,0)),JLRrates!$B:$B,0))=""),0,INDEX(JLRrates!$C:$C,MATCH(INDEX(Mapping!$C:$C,MATCH($A305,Mapping!$A:$A,0)),JLRrates!$B:$B,0))),0)</f>
        <v>0</v>
      </c>
      <c r="L305">
        <f>IFERROR(IF(OR(INDEX(Mapping!$C:$C,MATCH($A305,Mapping!$A:$A,0))="",INDEX(JLRrates!$D:$D,MATCH(INDEX(Mapping!$C:$C,MATCH($A305,Mapping!$A:$A,0)),JLRrates!$B:$B,0))=""),0,INDEX(JLRrates!$D:$D,MATCH(INDEX(Mapping!$C:$C,MATCH($A305,Mapping!$A:$A,0)),JLRrates!$B:$B,0))),0)</f>
        <v>0</v>
      </c>
    </row>
    <row r="306">
      <c r="A306" t="str">
        <v>mat-aem</v>
      </c>
      <c r="B306" t="str">
        <v>AEM (Vamac) 60 Shore A</v>
      </c>
      <c r="C306" t="str">
        <v>Rubber</v>
      </c>
      <c r="D306">
        <f>IF($K306&gt;0,$K306,9.5)</f>
        <v>9.5</v>
      </c>
      <c r="E306">
        <f>IF($L306&gt;0,$L306,0.1)</f>
        <v>0.1</v>
      </c>
      <c r="F306">
        <v>1300</v>
      </c>
      <c r="G306" t="str">
        <v>UK</v>
      </c>
      <c r="H306" t="str">
        <v>2026-07</v>
      </c>
      <c r="I306" t="str">
        <v>Index-anchored 2026-07. Ethylene-acrylic — automotive hoses, boots, seals; heat + oil + weather resistance. Shore 60A.</v>
      </c>
      <c r="J306" t="str">
        <v>Low</v>
      </c>
      <c r="K306">
        <f>IFERROR(IF(OR(INDEX(Mapping!$C:$C,MATCH($A306,Mapping!$A:$A,0))="",INDEX(JLRrates!$C:$C,MATCH(INDEX(Mapping!$C:$C,MATCH($A306,Mapping!$A:$A,0)),JLRrates!$B:$B,0))=""),0,INDEX(JLRrates!$C:$C,MATCH(INDEX(Mapping!$C:$C,MATCH($A306,Mapping!$A:$A,0)),JLRrates!$B:$B,0))),0)</f>
        <v>0</v>
      </c>
      <c r="L306">
        <f>IFERROR(IF(OR(INDEX(Mapping!$C:$C,MATCH($A306,Mapping!$A:$A,0))="",INDEX(JLRrates!$D:$D,MATCH(INDEX(Mapping!$C:$C,MATCH($A306,Mapping!$A:$A,0)),JLRrates!$B:$B,0))=""),0,INDEX(JLRrates!$D:$D,MATCH(INDEX(Mapping!$C:$C,MATCH($A306,Mapping!$A:$A,0)),JLRrates!$B:$B,0))),0)</f>
        <v>0</v>
      </c>
    </row>
    <row r="307">
      <c r="A307" t="str">
        <v>mat-eco</v>
      </c>
      <c r="B307" t="str">
        <v>ECO Epichlorohydrin 65 Shore A</v>
      </c>
      <c r="C307" t="str">
        <v>Rubber</v>
      </c>
      <c r="D307">
        <f>IF($K307&gt;0,$K307,5.9)</f>
        <v>5.9</v>
      </c>
      <c r="E307">
        <f>IF($L307&gt;0,$L307,0.08)</f>
        <v>0.08</v>
      </c>
      <c r="F307">
        <v>1300</v>
      </c>
      <c r="G307" t="str">
        <v>UK</v>
      </c>
      <c r="H307" t="str">
        <v>2026-07</v>
      </c>
      <c r="I307" t="str">
        <v>Index-anchored 2026-07. Epichlorohydrin — fuel hoses, diaphragms; excellent fuel/ozone resistance and low permeability. Shore 65A.</v>
      </c>
      <c r="J307" t="str">
        <v>Low</v>
      </c>
      <c r="K307">
        <f>IFERROR(IF(OR(INDEX(Mapping!$C:$C,MATCH($A307,Mapping!$A:$A,0))="",INDEX(JLRrates!$C:$C,MATCH(INDEX(Mapping!$C:$C,MATCH($A307,Mapping!$A:$A,0)),JLRrates!$B:$B,0))=""),0,INDEX(JLRrates!$C:$C,MATCH(INDEX(Mapping!$C:$C,MATCH($A307,Mapping!$A:$A,0)),JLRrates!$B:$B,0))),0)</f>
        <v>0</v>
      </c>
      <c r="L307">
        <f>IFERROR(IF(OR(INDEX(Mapping!$C:$C,MATCH($A307,Mapping!$A:$A,0))="",INDEX(JLRrates!$D:$D,MATCH(INDEX(Mapping!$C:$C,MATCH($A307,Mapping!$A:$A,0)),JLRrates!$B:$B,0))=""),0,INDEX(JLRrates!$D:$D,MATCH(INDEX(Mapping!$C:$C,MATCH($A307,Mapping!$A:$A,0)),JLRrates!$B:$B,0))),0)</f>
        <v>0</v>
      </c>
    </row>
    <row r="308">
      <c r="A308" t="str">
        <v>mat-csm</v>
      </c>
      <c r="B308" t="str">
        <v>CSM Hypalon 65 Shore A</v>
      </c>
      <c r="C308" t="str">
        <v>Rubber</v>
      </c>
      <c r="D308">
        <f>IF($K308&gt;0,$K308,6.2)</f>
        <v>6.2</v>
      </c>
      <c r="E308">
        <f>IF($L308&gt;0,$L308,0.08)</f>
        <v>0.08</v>
      </c>
      <c r="F308">
        <v>1500</v>
      </c>
      <c r="G308" t="str">
        <v>UK</v>
      </c>
      <c r="H308" t="str">
        <v>2026-07</v>
      </c>
      <c r="I308" t="str">
        <v>Index-anchored 2026-07. Chlorosulphonated PE — chemical/weather/ozone-resistant seals, roofing, cable jackets. Shore 65A.</v>
      </c>
      <c r="J308" t="str">
        <v>Low</v>
      </c>
      <c r="K308">
        <f>IFERROR(IF(OR(INDEX(Mapping!$C:$C,MATCH($A308,Mapping!$A:$A,0))="",INDEX(JLRrates!$C:$C,MATCH(INDEX(Mapping!$C:$C,MATCH($A308,Mapping!$A:$A,0)),JLRrates!$B:$B,0))=""),0,INDEX(JLRrates!$C:$C,MATCH(INDEX(Mapping!$C:$C,MATCH($A308,Mapping!$A:$A,0)),JLRrates!$B:$B,0))),0)</f>
        <v>0</v>
      </c>
      <c r="L308">
        <f>IFERROR(IF(OR(INDEX(Mapping!$C:$C,MATCH($A308,Mapping!$A:$A,0))="",INDEX(JLRrates!$D:$D,MATCH(INDEX(Mapping!$C:$C,MATCH($A308,Mapping!$A:$A,0)),JLRrates!$B:$B,0))=""),0,INDEX(JLRrates!$D:$D,MATCH(INDEX(Mapping!$C:$C,MATCH($A308,Mapping!$A:$A,0)),JLRrates!$B:$B,0))),0)</f>
        <v>0</v>
      </c>
    </row>
    <row r="309">
      <c r="A309" t="str">
        <v>mat-br</v>
      </c>
      <c r="B309" t="str">
        <v>BR Polybutadiene (high-cis) 60 Shore A</v>
      </c>
      <c r="C309" t="str">
        <v>Rubber</v>
      </c>
      <c r="D309">
        <f>IF($K309&gt;0,$K309,1.75)</f>
        <v>1.75</v>
      </c>
      <c r="E309">
        <f>IF($L309&gt;0,$L309,0.04)</f>
        <v>0.04</v>
      </c>
      <c r="F309">
        <v>1000</v>
      </c>
      <c r="G309" t="str">
        <v>UK</v>
      </c>
      <c r="H309" t="str">
        <v>2026-07</v>
      </c>
      <c r="I309" t="str">
        <v>Index-anchored 2026-07. High-cis polybutadiene — blended with NR/SBR for abrasion resistance &amp; low rolling resistance; tyres, anti-vibration, rollers. Shore 60A.</v>
      </c>
      <c r="J309" t="str">
        <v>Medium</v>
      </c>
      <c r="K309">
        <f>IFERROR(IF(OR(INDEX(Mapping!$C:$C,MATCH($A309,Mapping!$A:$A,0))="",INDEX(JLRrates!$C:$C,MATCH(INDEX(Mapping!$C:$C,MATCH($A309,Mapping!$A:$A,0)),JLRrates!$B:$B,0))=""),0,INDEX(JLRrates!$C:$C,MATCH(INDEX(Mapping!$C:$C,MATCH($A309,Mapping!$A:$A,0)),JLRrates!$B:$B,0))),0)</f>
        <v>0</v>
      </c>
      <c r="L309">
        <f>IFERROR(IF(OR(INDEX(Mapping!$C:$C,MATCH($A309,Mapping!$A:$A,0))="",INDEX(JLRrates!$D:$D,MATCH(INDEX(Mapping!$C:$C,MATCH($A309,Mapping!$A:$A,0)),JLRrates!$B:$B,0))=""),0,INDEX(JLRrates!$D:$D,MATCH(INDEX(Mapping!$C:$C,MATCH($A309,Mapping!$A:$A,0)),JLRrates!$B:$B,0))),0)</f>
        <v>0</v>
      </c>
    </row>
    <row r="310">
      <c r="A310" t="str">
        <v>mat-bromobutyl</v>
      </c>
      <c r="B310" t="str">
        <v>Bromobutyl (BIIR) 50 Shore A</v>
      </c>
      <c r="C310" t="str">
        <v>Rubber</v>
      </c>
      <c r="D310">
        <f>IF($K310&gt;0,$K310,2.85)</f>
        <v>2.85</v>
      </c>
      <c r="E310">
        <f>IF($L310&gt;0,$L310,0.04)</f>
        <v>0.04</v>
      </c>
      <c r="F310">
        <v>930</v>
      </c>
      <c r="G310" t="str">
        <v>UK</v>
      </c>
      <c r="H310" t="str">
        <v>2026-07</v>
      </c>
      <c r="I310" t="str">
        <v>Index-anchored 2026-07. Brominated butyl — tyre inner liners, pharma closures/stoppers, curing bladders; low permeability + faster cure than plain IIR. Shore 50A.</v>
      </c>
      <c r="J310" t="str">
        <v>Low</v>
      </c>
      <c r="K310">
        <f>IFERROR(IF(OR(INDEX(Mapping!$C:$C,MATCH($A310,Mapping!$A:$A,0))="",INDEX(JLRrates!$C:$C,MATCH(INDEX(Mapping!$C:$C,MATCH($A310,Mapping!$A:$A,0)),JLRrates!$B:$B,0))=""),0,INDEX(JLRrates!$C:$C,MATCH(INDEX(Mapping!$C:$C,MATCH($A310,Mapping!$A:$A,0)),JLRrates!$B:$B,0))),0)</f>
        <v>0</v>
      </c>
      <c r="L310">
        <f>IFERROR(IF(OR(INDEX(Mapping!$C:$C,MATCH($A310,Mapping!$A:$A,0))="",INDEX(JLRrates!$D:$D,MATCH(INDEX(Mapping!$C:$C,MATCH($A310,Mapping!$A:$A,0)),JLRrates!$B:$B,0))=""),0,INDEX(JLRrates!$D:$D,MATCH(INDEX(Mapping!$C:$C,MATCH($A310,Mapping!$A:$A,0)),JLRrates!$B:$B,0))),0)</f>
        <v>0</v>
      </c>
    </row>
    <row r="311">
      <c r="A311" t="str">
        <v>mat-chlorobutyl</v>
      </c>
      <c r="B311" t="str">
        <v>Chlorobutyl (CIIR) 55 Shore A</v>
      </c>
      <c r="C311" t="str">
        <v>Rubber</v>
      </c>
      <c r="D311">
        <f>IF($K311&gt;0,$K311,2.75)</f>
        <v>2.75</v>
      </c>
      <c r="E311">
        <f>IF($L311&gt;0,$L311,0.04)</f>
        <v>0.04</v>
      </c>
      <c r="F311">
        <v>930</v>
      </c>
      <c r="G311" t="str">
        <v>UK</v>
      </c>
      <c r="H311" t="str">
        <v>2026-07</v>
      </c>
      <c r="I311" t="str">
        <v>Index-anchored 2026-07. Chlorinated butyl — tyre inner liners, pharma stoppers, heat-resistant seals; co-vulcanisable with diene rubbers. Shore 55A.</v>
      </c>
      <c r="J311" t="str">
        <v>Low</v>
      </c>
      <c r="K311">
        <f>IFERROR(IF(OR(INDEX(Mapping!$C:$C,MATCH($A311,Mapping!$A:$A,0))="",INDEX(JLRrates!$C:$C,MATCH(INDEX(Mapping!$C:$C,MATCH($A311,Mapping!$A:$A,0)),JLRrates!$B:$B,0))=""),0,INDEX(JLRrates!$C:$C,MATCH(INDEX(Mapping!$C:$C,MATCH($A311,Mapping!$A:$A,0)),JLRrates!$B:$B,0))),0)</f>
        <v>0</v>
      </c>
      <c r="L311">
        <f>IFERROR(IF(OR(INDEX(Mapping!$C:$C,MATCH($A311,Mapping!$A:$A,0))="",INDEX(JLRrates!$D:$D,MATCH(INDEX(Mapping!$C:$C,MATCH($A311,Mapping!$A:$A,0)),JLRrates!$B:$B,0))=""),0,INDEX(JLRrates!$D:$D,MATCH(INDEX(Mapping!$C:$C,MATCH($A311,Mapping!$A:$A,0)),JLRrates!$B:$B,0))),0)</f>
        <v>0</v>
      </c>
    </row>
    <row r="312">
      <c r="A312" t="str">
        <v>mat-ffkm</v>
      </c>
      <c r="B312" t="str">
        <v>FFKM Perfluoroelastomer (Kalrez-type) 75 Shore A</v>
      </c>
      <c r="C312" t="str">
        <v>Rubber</v>
      </c>
      <c r="D312">
        <f>IF($K312&gt;0,$K312,320)</f>
        <v>320</v>
      </c>
      <c r="E312">
        <f>IF($L312&gt;0,$L312,0)</f>
        <v>0</v>
      </c>
      <c r="F312">
        <v>2010</v>
      </c>
      <c r="G312" t="str">
        <v>UK</v>
      </c>
      <c r="H312" t="str">
        <v>2026-07</v>
      </c>
      <c r="I312" t="str">
        <v>Index-anchored 2026-07. Perfluoroelastomer — extreme chemical + &gt;300°C seals for semicon, aerospace, oil&amp;gas; the highest-cost elastomer, tiny O-rings. Shore 75A.</v>
      </c>
      <c r="J312" t="str">
        <v>Low</v>
      </c>
      <c r="K312">
        <f>IFERROR(IF(OR(INDEX(Mapping!$C:$C,MATCH($A312,Mapping!$A:$A,0))="",INDEX(JLRrates!$C:$C,MATCH(INDEX(Mapping!$C:$C,MATCH($A312,Mapping!$A:$A,0)),JLRrates!$B:$B,0))=""),0,INDEX(JLRrates!$C:$C,MATCH(INDEX(Mapping!$C:$C,MATCH($A312,Mapping!$A:$A,0)),JLRrates!$B:$B,0))),0)</f>
        <v>0</v>
      </c>
      <c r="L312">
        <f>IFERROR(IF(OR(INDEX(Mapping!$C:$C,MATCH($A312,Mapping!$A:$A,0))="",INDEX(JLRrates!$D:$D,MATCH(INDEX(Mapping!$C:$C,MATCH($A312,Mapping!$A:$A,0)),JLRrates!$B:$B,0))=""),0,INDEX(JLRrates!$D:$D,MATCH(INDEX(Mapping!$C:$C,MATCH($A312,Mapping!$A:$A,0)),JLRrates!$B:$B,0))),0)</f>
        <v>0</v>
      </c>
    </row>
    <row r="313">
      <c r="A313" t="str">
        <v>mat-nbr-high-acn</v>
      </c>
      <c r="B313" t="str">
        <v>NBR High-ACN (fuel) 75 Shore A</v>
      </c>
      <c r="C313" t="str">
        <v>Rubber</v>
      </c>
      <c r="D313">
        <f>IF($K313&gt;0,$K313,2.55)</f>
        <v>2.55</v>
      </c>
      <c r="E313">
        <f>IF($L313&gt;0,$L313,0.05)</f>
        <v>0.05</v>
      </c>
      <c r="F313">
        <v>1250</v>
      </c>
      <c r="G313" t="str">
        <v>UK</v>
      </c>
      <c r="H313" t="str">
        <v>2026-07</v>
      </c>
      <c r="I313" t="str">
        <v>Index-anchored 2026-07. High-acrylonitrile nitrile — maximum fuel/oil resistance for fuel hoses, gaskets; stiffer, worse low-temp than standard NBR. Shore 75A.</v>
      </c>
      <c r="J313" t="str">
        <v>Low</v>
      </c>
      <c r="K313">
        <f>IFERROR(IF(OR(INDEX(Mapping!$C:$C,MATCH($A313,Mapping!$A:$A,0))="",INDEX(JLRrates!$C:$C,MATCH(INDEX(Mapping!$C:$C,MATCH($A313,Mapping!$A:$A,0)),JLRrates!$B:$B,0))=""),0,INDEX(JLRrates!$C:$C,MATCH(INDEX(Mapping!$C:$C,MATCH($A313,Mapping!$A:$A,0)),JLRrates!$B:$B,0))),0)</f>
        <v>0</v>
      </c>
      <c r="L313">
        <f>IFERROR(IF(OR(INDEX(Mapping!$C:$C,MATCH($A313,Mapping!$A:$A,0))="",INDEX(JLRrates!$D:$D,MATCH(INDEX(Mapping!$C:$C,MATCH($A313,Mapping!$A:$A,0)),JLRrates!$B:$B,0))=""),0,INDEX(JLRrates!$D:$D,MATCH(INDEX(Mapping!$C:$C,MATCH($A313,Mapping!$A:$A,0)),JLRrates!$B:$B,0))),0)</f>
        <v>0</v>
      </c>
    </row>
    <row r="314">
      <c r="A314" t="str">
        <v>mat-epdm-peroxide</v>
      </c>
      <c r="B314" t="str">
        <v>EPDM Peroxide-Cured 70 Shore A</v>
      </c>
      <c r="C314" t="str">
        <v>Rubber</v>
      </c>
      <c r="D314">
        <f>IF($K314&gt;0,$K314,2.15)</f>
        <v>2.15</v>
      </c>
      <c r="E314">
        <f>IF($L314&gt;0,$L314,0.05)</f>
        <v>0.05</v>
      </c>
      <c r="F314">
        <v>1150</v>
      </c>
      <c r="G314" t="str">
        <v>UK</v>
      </c>
      <c r="H314" t="str">
        <v>2026-07</v>
      </c>
      <c r="I314" t="str">
        <v>Index-anchored 2026-07. Peroxide-cured EPDM — better heat-ageing &amp; compression set than sulphur-cured; coolant/steam seals, under-bonnet. Shore 70A.</v>
      </c>
      <c r="J314" t="str">
        <v>Low</v>
      </c>
      <c r="K314">
        <f>IFERROR(IF(OR(INDEX(Mapping!$C:$C,MATCH($A314,Mapping!$A:$A,0))="",INDEX(JLRrates!$C:$C,MATCH(INDEX(Mapping!$C:$C,MATCH($A314,Mapping!$A:$A,0)),JLRrates!$B:$B,0))=""),0,INDEX(JLRrates!$C:$C,MATCH(INDEX(Mapping!$C:$C,MATCH($A314,Mapping!$A:$A,0)),JLRrates!$B:$B,0))),0)</f>
        <v>0</v>
      </c>
      <c r="L314">
        <f>IFERROR(IF(OR(INDEX(Mapping!$C:$C,MATCH($A314,Mapping!$A:$A,0))="",INDEX(JLRrates!$D:$D,MATCH(INDEX(Mapping!$C:$C,MATCH($A314,Mapping!$A:$A,0)),JLRrates!$B:$B,0))=""),0,INDEX(JLRrates!$D:$D,MATCH(INDEX(Mapping!$C:$C,MATCH($A314,Mapping!$A:$A,0)),JLRrates!$B:$B,0))),0)</f>
        <v>0</v>
      </c>
    </row>
    <row r="315">
      <c r="A315" t="str">
        <v>mat-silicone-medical</v>
      </c>
      <c r="B315" t="str">
        <v>LSR Medical-Grade 30 Shore A</v>
      </c>
      <c r="C315" t="str">
        <v>Rubber</v>
      </c>
      <c r="D315">
        <f>IF($K315&gt;0,$K315,16.5)</f>
        <v>16.5</v>
      </c>
      <c r="E315">
        <f>IF($L315&gt;0,$L315,0)</f>
        <v>0</v>
      </c>
      <c r="F315">
        <v>1120</v>
      </c>
      <c r="G315" t="str">
        <v>UK</v>
      </c>
      <c r="H315" t="str">
        <v>2026-07</v>
      </c>
      <c r="I315" t="str">
        <v>Index-anchored 2026-07. USP Class VI / ISO 10993 liquid silicone — medical seals, valves, baby/health products; biocompatible, premium over industrial LSR. Shore 30A.</v>
      </c>
      <c r="J315" t="str">
        <v>Low</v>
      </c>
      <c r="K315">
        <f>IFERROR(IF(OR(INDEX(Mapping!$C:$C,MATCH($A315,Mapping!$A:$A,0))="",INDEX(JLRrates!$C:$C,MATCH(INDEX(Mapping!$C:$C,MATCH($A315,Mapping!$A:$A,0)),JLRrates!$B:$B,0))=""),0,INDEX(JLRrates!$C:$C,MATCH(INDEX(Mapping!$C:$C,MATCH($A315,Mapping!$A:$A,0)),JLRrates!$B:$B,0))),0)</f>
        <v>0</v>
      </c>
      <c r="L315">
        <f>IFERROR(IF(OR(INDEX(Mapping!$C:$C,MATCH($A315,Mapping!$A:$A,0))="",INDEX(JLRrates!$D:$D,MATCH(INDEX(Mapping!$C:$C,MATCH($A315,Mapping!$A:$A,0)),JLRrates!$B:$B,0))=""),0,INDEX(JLRrates!$D:$D,MATCH(INDEX(Mapping!$C:$C,MATCH($A315,Mapping!$A:$A,0)),JLRrates!$B:$B,0))),0)</f>
        <v>0</v>
      </c>
    </row>
    <row r="316">
      <c r="A316" t="str">
        <v>mat-cfrp-prepreg-t700</v>
      </c>
      <c r="B316" t="str">
        <v>T700 CF/Epoxy Prepreg (125°C cure)</v>
      </c>
      <c r="C316" t="str">
        <v>Composite</v>
      </c>
      <c r="D316">
        <f>IF($K316&gt;0,$K316,33.6)</f>
        <v>33.6</v>
      </c>
      <c r="E316">
        <f>IF($L316&gt;0,$L316,0.5)</f>
        <v>0.5</v>
      </c>
      <c r="F316">
        <v>1560</v>
      </c>
      <c r="G316" t="str">
        <v>UK</v>
      </c>
      <c r="H316" t="str">
        <v>2026-07</v>
      </c>
      <c r="I316" t="str">
        <v>UK composite supplier Jun 2026. T700/250F prepreg — structural automotive/aerospace hand layup. Vf~0.60. Index-anchored 2026-07 refresh.</v>
      </c>
      <c r="J316" t="str">
        <v>Low</v>
      </c>
      <c r="K316">
        <f>IFERROR(IF(OR(INDEX(Mapping!$C:$C,MATCH($A316,Mapping!$A:$A,0))="",INDEX(JLRrates!$C:$C,MATCH(INDEX(Mapping!$C:$C,MATCH($A316,Mapping!$A:$A,0)),JLRrates!$B:$B,0))=""),0,INDEX(JLRrates!$C:$C,MATCH(INDEX(Mapping!$C:$C,MATCH($A316,Mapping!$A:$A,0)),JLRrates!$B:$B,0))),0)</f>
        <v>0</v>
      </c>
      <c r="L316">
        <f>IFERROR(IF(OR(INDEX(Mapping!$C:$C,MATCH($A316,Mapping!$A:$A,0))="",INDEX(JLRrates!$D:$D,MATCH(INDEX(Mapping!$C:$C,MATCH($A316,Mapping!$A:$A,0)),JLRrates!$B:$B,0))=""),0,INDEX(JLRrates!$D:$D,MATCH(INDEX(Mapping!$C:$C,MATCH($A316,Mapping!$A:$A,0)),JLRrates!$B:$B,0))),0)</f>
        <v>0</v>
      </c>
    </row>
    <row r="317">
      <c r="A317" t="str">
        <v>mat-gfrp-prepreg-e</v>
      </c>
      <c r="B317" t="str">
        <v>E-glass/Epoxy Prepreg (120°C cure)</v>
      </c>
      <c r="C317" t="str">
        <v>Composite</v>
      </c>
      <c r="D317">
        <f>IF($K317&gt;0,$K317,7.88)</f>
        <v>7.88</v>
      </c>
      <c r="E317">
        <f>IF($L317&gt;0,$L317,0.1)</f>
        <v>0.1</v>
      </c>
      <c r="F317">
        <v>1800</v>
      </c>
      <c r="G317" t="str">
        <v>UK</v>
      </c>
      <c r="H317" t="str">
        <v>2026-07</v>
      </c>
      <c r="I317" t="str">
        <v>UK composite supplier Jun 2026. E-glass/epoxy prepreg — semi-structural panels, marine. Vf~0.55. Index-anchored 2026-07 refresh.</v>
      </c>
      <c r="J317" t="str">
        <v>Low</v>
      </c>
      <c r="K317">
        <f>IFERROR(IF(OR(INDEX(Mapping!$C:$C,MATCH($A317,Mapping!$A:$A,0))="",INDEX(JLRrates!$C:$C,MATCH(INDEX(Mapping!$C:$C,MATCH($A317,Mapping!$A:$A,0)),JLRrates!$B:$B,0))=""),0,INDEX(JLRrates!$C:$C,MATCH(INDEX(Mapping!$C:$C,MATCH($A317,Mapping!$A:$A,0)),JLRrates!$B:$B,0))),0)</f>
        <v>0</v>
      </c>
      <c r="L317">
        <f>IFERROR(IF(OR(INDEX(Mapping!$C:$C,MATCH($A317,Mapping!$A:$A,0))="",INDEX(JLRrates!$D:$D,MATCH(INDEX(Mapping!$C:$C,MATCH($A317,Mapping!$A:$A,0)),JLRrates!$B:$B,0))=""),0,INDEX(JLRrates!$D:$D,MATCH(INDEX(Mapping!$C:$C,MATCH($A317,Mapping!$A:$A,0)),JLRrates!$B:$B,0))),0)</f>
        <v>0</v>
      </c>
    </row>
    <row r="318">
      <c r="A318" t="str">
        <v>mat-cf-dry-3k</v>
      </c>
      <c r="B318" t="str">
        <v>Carbon Fibre 3K Twill Dry Fabric</v>
      </c>
      <c r="C318" t="str">
        <v>Composite</v>
      </c>
      <c r="D318">
        <f>IF($K318&gt;0,$K318,25.2)</f>
        <v>25.2</v>
      </c>
      <c r="E318">
        <f>IF($L318&gt;0,$L318,0.5)</f>
        <v>0.5</v>
      </c>
      <c r="F318">
        <v>1750</v>
      </c>
      <c r="G318" t="str">
        <v>UK</v>
      </c>
      <c r="H318" t="str">
        <v>2026-07</v>
      </c>
      <c r="I318" t="str">
        <v>UK composite supplier Jun 2026. 3K 2×2 twill dry CF — RTM, VARTM, filament winding. Pair with infusion resin. Index-anchored 2026-07 refresh.</v>
      </c>
      <c r="J318" t="str">
        <v>Low</v>
      </c>
      <c r="K318">
        <f>IFERROR(IF(OR(INDEX(Mapping!$C:$C,MATCH($A318,Mapping!$A:$A,0))="",INDEX(JLRrates!$C:$C,MATCH(INDEX(Mapping!$C:$C,MATCH($A318,Mapping!$A:$A,0)),JLRrates!$B:$B,0))=""),0,INDEX(JLRrates!$C:$C,MATCH(INDEX(Mapping!$C:$C,MATCH($A318,Mapping!$A:$A,0)),JLRrates!$B:$B,0))),0)</f>
        <v>0</v>
      </c>
      <c r="L318">
        <f>IFERROR(IF(OR(INDEX(Mapping!$C:$C,MATCH($A318,Mapping!$A:$A,0))="",INDEX(JLRrates!$D:$D,MATCH(INDEX(Mapping!$C:$C,MATCH($A318,Mapping!$A:$A,0)),JLRrates!$B:$B,0))=""),0,INDEX(JLRrates!$D:$D,MATCH(INDEX(Mapping!$C:$C,MATCH($A318,Mapping!$A:$A,0)),JLRrates!$B:$B,0))),0)</f>
        <v>0</v>
      </c>
    </row>
    <row r="319">
      <c r="A319" t="str">
        <v>mat-gf-dry-e</v>
      </c>
      <c r="B319" t="str">
        <v>E-glass Woven Dry Fabric (600 g/m²)</v>
      </c>
      <c r="C319" t="str">
        <v>Composite</v>
      </c>
      <c r="D319">
        <f>IF($K319&gt;0,$K319,3.99)</f>
        <v>3.99</v>
      </c>
      <c r="E319">
        <f>IF($L319&gt;0,$L319,0.05)</f>
        <v>0.05</v>
      </c>
      <c r="F319">
        <v>1800</v>
      </c>
      <c r="G319" t="str">
        <v>UK</v>
      </c>
      <c r="H319" t="str">
        <v>2026-07</v>
      </c>
      <c r="I319" t="str">
        <v>UK composite supplier Jun 2026. Woven E-glass 600 g/m² — marine, wind, automotive GFRP. Index-anchored 2026-07 refresh.</v>
      </c>
      <c r="J319" t="str">
        <v>Medium</v>
      </c>
      <c r="K319">
        <f>IFERROR(IF(OR(INDEX(Mapping!$C:$C,MATCH($A319,Mapping!$A:$A,0))="",INDEX(JLRrates!$C:$C,MATCH(INDEX(Mapping!$C:$C,MATCH($A319,Mapping!$A:$A,0)),JLRrates!$B:$B,0))=""),0,INDEX(JLRrates!$C:$C,MATCH(INDEX(Mapping!$C:$C,MATCH($A319,Mapping!$A:$A,0)),JLRrates!$B:$B,0))),0)</f>
        <v>0</v>
      </c>
      <c r="L319">
        <f>IFERROR(IF(OR(INDEX(Mapping!$C:$C,MATCH($A319,Mapping!$A:$A,0))="",INDEX(JLRrates!$D:$D,MATCH(INDEX(Mapping!$C:$C,MATCH($A319,Mapping!$A:$A,0)),JLRrates!$B:$B,0))=""),0,INDEX(JLRrates!$D:$D,MATCH(INDEX(Mapping!$C:$C,MATCH($A319,Mapping!$A:$A,0)),JLRrates!$B:$B,0))),0)</f>
        <v>0</v>
      </c>
    </row>
    <row r="320">
      <c r="A320" t="str">
        <v>mat-epoxy-infusion</v>
      </c>
      <c r="B320" t="str">
        <v>Epoxy Infusion Resin System (LT cure)</v>
      </c>
      <c r="C320" t="str">
        <v>Composite</v>
      </c>
      <c r="D320">
        <f>IF($K320&gt;0,$K320,13.65)</f>
        <v>13.65</v>
      </c>
      <c r="E320">
        <f>IF($L320&gt;0,$L320,0)</f>
        <v>0</v>
      </c>
      <c r="F320">
        <v>1200</v>
      </c>
      <c r="G320" t="str">
        <v>UK</v>
      </c>
      <c r="H320" t="str">
        <v>2026-07</v>
      </c>
      <c r="I320" t="str">
        <v>UK composite supplier Jun 2026. Low-temp infusion epoxy (Gurit / Hexion). RTM/VARTM. Vf 0.50–0.60. Index-anchored 2026-07 refresh.</v>
      </c>
      <c r="J320" t="str">
        <v>Low</v>
      </c>
      <c r="K320">
        <f>IFERROR(IF(OR(INDEX(Mapping!$C:$C,MATCH($A320,Mapping!$A:$A,0))="",INDEX(JLRrates!$C:$C,MATCH(INDEX(Mapping!$C:$C,MATCH($A320,Mapping!$A:$A,0)),JLRrates!$B:$B,0))=""),0,INDEX(JLRrates!$C:$C,MATCH(INDEX(Mapping!$C:$C,MATCH($A320,Mapping!$A:$A,0)),JLRrates!$B:$B,0))),0)</f>
        <v>0</v>
      </c>
      <c r="L320">
        <f>IFERROR(IF(OR(INDEX(Mapping!$C:$C,MATCH($A320,Mapping!$A:$A,0))="",INDEX(JLRrates!$D:$D,MATCH(INDEX(Mapping!$C:$C,MATCH($A320,Mapping!$A:$A,0)),JLRrates!$B:$B,0))=""),0,INDEX(JLRrates!$D:$D,MATCH(INDEX(Mapping!$C:$C,MATCH($A320,Mapping!$A:$A,0)),JLRrates!$B:$B,0))),0)</f>
        <v>0</v>
      </c>
    </row>
    <row r="321">
      <c r="A321" t="str">
        <v>mat-vinylester-rtm</v>
      </c>
      <c r="B321" t="str">
        <v>Vinyl Ester RTM Resin</v>
      </c>
      <c r="C321" t="str">
        <v>Composite</v>
      </c>
      <c r="D321">
        <f>IF($K321&gt;0,$K321,5.46)</f>
        <v>5.46</v>
      </c>
      <c r="E321">
        <f>IF($L321&gt;0,$L321,0)</f>
        <v>0</v>
      </c>
      <c r="F321">
        <v>1140</v>
      </c>
      <c r="G321" t="str">
        <v>UK</v>
      </c>
      <c r="H321" t="str">
        <v>2026-07</v>
      </c>
      <c r="I321" t="str">
        <v>UK composite supplier Jun 2026. Vinyl ester RTM resin — marine, pipes, corrosion-resistant structures. Index-anchored 2026-07 refresh.</v>
      </c>
      <c r="J321" t="str">
        <v>Medium</v>
      </c>
      <c r="K321">
        <f>IFERROR(IF(OR(INDEX(Mapping!$C:$C,MATCH($A321,Mapping!$A:$A,0))="",INDEX(JLRrates!$C:$C,MATCH(INDEX(Mapping!$C:$C,MATCH($A321,Mapping!$A:$A,0)),JLRrates!$B:$B,0))=""),0,INDEX(JLRrates!$C:$C,MATCH(INDEX(Mapping!$C:$C,MATCH($A321,Mapping!$A:$A,0)),JLRrates!$B:$B,0))),0)</f>
        <v>0</v>
      </c>
      <c r="L321">
        <f>IFERROR(IF(OR(INDEX(Mapping!$C:$C,MATCH($A321,Mapping!$A:$A,0))="",INDEX(JLRrates!$D:$D,MATCH(INDEX(Mapping!$C:$C,MATCH($A321,Mapping!$A:$A,0)),JLRrates!$B:$B,0))=""),0,INDEX(JLRrates!$D:$D,MATCH(INDEX(Mapping!$C:$C,MATCH($A321,Mapping!$A:$A,0)),JLRrates!$B:$B,0))),0)</f>
        <v>0</v>
      </c>
    </row>
    <row r="322">
      <c r="A322" t="str">
        <v>mat-aramid-k49</v>
      </c>
      <c r="B322" t="str">
        <v>Aramid (Kevlar 49) Woven Fabric</v>
      </c>
      <c r="C322" t="str">
        <v>Composite</v>
      </c>
      <c r="D322">
        <f>IF($K322&gt;0,$K322,31.5)</f>
        <v>31.5</v>
      </c>
      <c r="E322">
        <f>IF($L322&gt;0,$L322,0.5)</f>
        <v>0.5</v>
      </c>
      <c r="F322">
        <v>1440</v>
      </c>
      <c r="G322" t="str">
        <v>UK</v>
      </c>
      <c r="H322" t="str">
        <v>2026-07</v>
      </c>
      <c r="I322" t="str">
        <v>UK composite supplier Jun 2026. Kevlar 49 — ballistic protection, aircraft flooring, helmets. Index-anchored 2026-07 refresh.</v>
      </c>
      <c r="J322" t="str">
        <v>Low</v>
      </c>
      <c r="K322">
        <f>IFERROR(IF(OR(INDEX(Mapping!$C:$C,MATCH($A322,Mapping!$A:$A,0))="",INDEX(JLRrates!$C:$C,MATCH(INDEX(Mapping!$C:$C,MATCH($A322,Mapping!$A:$A,0)),JLRrates!$B:$B,0))=""),0,INDEX(JLRrates!$C:$C,MATCH(INDEX(Mapping!$C:$C,MATCH($A322,Mapping!$A:$A,0)),JLRrates!$B:$B,0))),0)</f>
        <v>0</v>
      </c>
      <c r="L322">
        <f>IFERROR(IF(OR(INDEX(Mapping!$C:$C,MATCH($A322,Mapping!$A:$A,0))="",INDEX(JLRrates!$D:$D,MATCH(INDEX(Mapping!$C:$C,MATCH($A322,Mapping!$A:$A,0)),JLRrates!$B:$B,0))=""),0,INDEX(JLRrates!$D:$D,MATCH(INDEX(Mapping!$C:$C,MATCH($A322,Mapping!$A:$A,0)),JLRrates!$B:$B,0))),0)</f>
        <v>0</v>
      </c>
    </row>
    <row r="323">
      <c r="A323" t="str">
        <v>mat-cf-uni-t800</v>
      </c>
      <c r="B323" t="str">
        <v>T800 Unidirectional CF/Epoxy Prepreg</v>
      </c>
      <c r="C323" t="str">
        <v>Composite</v>
      </c>
      <c r="D323">
        <f>IF($K323&gt;0,$K323,46)</f>
        <v>46</v>
      </c>
      <c r="E323">
        <f>IF($L323&gt;0,$L323,0.5)</f>
        <v>0.5</v>
      </c>
      <c r="F323">
        <v>1580</v>
      </c>
      <c r="G323" t="str">
        <v>UK</v>
      </c>
      <c r="H323" t="str">
        <v>2026-07</v>
      </c>
      <c r="I323" t="str">
        <v>Index-anchored 2026-07. Intermediate-modulus UD prepreg — primary aerospace/motorsport structures, autoclave cure. Vf~0.60.</v>
      </c>
      <c r="J323" t="str">
        <v>Low</v>
      </c>
      <c r="K323">
        <f>IFERROR(IF(OR(INDEX(Mapping!$C:$C,MATCH($A323,Mapping!$A:$A,0))="",INDEX(JLRrates!$C:$C,MATCH(INDEX(Mapping!$C:$C,MATCH($A323,Mapping!$A:$A,0)),JLRrates!$B:$B,0))=""),0,INDEX(JLRrates!$C:$C,MATCH(INDEX(Mapping!$C:$C,MATCH($A323,Mapping!$A:$A,0)),JLRrates!$B:$B,0))),0)</f>
        <v>0</v>
      </c>
      <c r="L323">
        <f>IFERROR(IF(OR(INDEX(Mapping!$C:$C,MATCH($A323,Mapping!$A:$A,0))="",INDEX(JLRrates!$D:$D,MATCH(INDEX(Mapping!$C:$C,MATCH($A323,Mapping!$A:$A,0)),JLRrates!$B:$B,0))=""),0,INDEX(JLRrates!$D:$D,MATCH(INDEX(Mapping!$C:$C,MATCH($A323,Mapping!$A:$A,0)),JLRrates!$B:$B,0))),0)</f>
        <v>0</v>
      </c>
    </row>
    <row r="324">
      <c r="A324" t="str">
        <v>mat-smc-gf</v>
      </c>
      <c r="B324" t="str">
        <v>SMC (Glass-Filled Sheet Moulding Compound)</v>
      </c>
      <c r="C324" t="str">
        <v>Composite</v>
      </c>
      <c r="D324">
        <f>IF($K324&gt;0,$K324,2.85)</f>
        <v>2.85</v>
      </c>
      <c r="E324">
        <f>IF($L324&gt;0,$L324,0.1)</f>
        <v>0.1</v>
      </c>
      <c r="F324">
        <v>1900</v>
      </c>
      <c r="G324" t="str">
        <v>UK</v>
      </c>
      <c r="H324" t="str">
        <v>2026-07</v>
      </c>
      <c r="I324" t="str">
        <v>Index-anchored 2026-07. Glass/polyester SMC — compression-moulded body panels, structural covers, EV battery lids.</v>
      </c>
      <c r="J324" t="str">
        <v>Medium</v>
      </c>
      <c r="K324">
        <f>IFERROR(IF(OR(INDEX(Mapping!$C:$C,MATCH($A324,Mapping!$A:$A,0))="",INDEX(JLRrates!$C:$C,MATCH(INDEX(Mapping!$C:$C,MATCH($A324,Mapping!$A:$A,0)),JLRrates!$B:$B,0))=""),0,INDEX(JLRrates!$C:$C,MATCH(INDEX(Mapping!$C:$C,MATCH($A324,Mapping!$A:$A,0)),JLRrates!$B:$B,0))),0)</f>
        <v>0</v>
      </c>
      <c r="L324">
        <f>IFERROR(IF(OR(INDEX(Mapping!$C:$C,MATCH($A324,Mapping!$A:$A,0))="",INDEX(JLRrates!$D:$D,MATCH(INDEX(Mapping!$C:$C,MATCH($A324,Mapping!$A:$A,0)),JLRrates!$B:$B,0))=""),0,INDEX(JLRrates!$D:$D,MATCH(INDEX(Mapping!$C:$C,MATCH($A324,Mapping!$A:$A,0)),JLRrates!$B:$B,0))),0)</f>
        <v>0</v>
      </c>
    </row>
    <row r="325">
      <c r="A325" t="str">
        <v>mat-bmc</v>
      </c>
      <c r="B325" t="str">
        <v>BMC (Bulk Moulding Compound)</v>
      </c>
      <c r="C325" t="str">
        <v>Composite</v>
      </c>
      <c r="D325">
        <f>IF($K325&gt;0,$K325,3.1)</f>
        <v>3.1</v>
      </c>
      <c r="E325">
        <f>IF($L325&gt;0,$L325,0.1)</f>
        <v>0.1</v>
      </c>
      <c r="F325">
        <v>1950</v>
      </c>
      <c r="G325" t="str">
        <v>UK</v>
      </c>
      <c r="H325" t="str">
        <v>2026-07</v>
      </c>
      <c r="I325" t="str">
        <v>Index-anchored 2026-07. Glass/polyester BMC — electrical housings, headlamp reflectors, motor components; injection/compression moulded.</v>
      </c>
      <c r="J325" t="str">
        <v>Medium</v>
      </c>
      <c r="K325">
        <f>IFERROR(IF(OR(INDEX(Mapping!$C:$C,MATCH($A325,Mapping!$A:$A,0))="",INDEX(JLRrates!$C:$C,MATCH(INDEX(Mapping!$C:$C,MATCH($A325,Mapping!$A:$A,0)),JLRrates!$B:$B,0))=""),0,INDEX(JLRrates!$C:$C,MATCH(INDEX(Mapping!$C:$C,MATCH($A325,Mapping!$A:$A,0)),JLRrates!$B:$B,0))),0)</f>
        <v>0</v>
      </c>
      <c r="L325">
        <f>IFERROR(IF(OR(INDEX(Mapping!$C:$C,MATCH($A325,Mapping!$A:$A,0))="",INDEX(JLRrates!$D:$D,MATCH(INDEX(Mapping!$C:$C,MATCH($A325,Mapping!$A:$A,0)),JLRrates!$B:$B,0))=""),0,INDEX(JLRrates!$D:$D,MATCH(INDEX(Mapping!$C:$C,MATCH($A325,Mapping!$A:$A,0)),JLRrates!$B:$B,0))),0)</f>
        <v>0</v>
      </c>
    </row>
    <row r="326">
      <c r="A326" t="str">
        <v>mat-csm-gf</v>
      </c>
      <c r="B326" t="str">
        <v>E-glass Chopped Strand Mat (450 g/m²)</v>
      </c>
      <c r="C326" t="str">
        <v>Composite</v>
      </c>
      <c r="D326">
        <f>IF($K326&gt;0,$K326,3.2)</f>
        <v>3.2</v>
      </c>
      <c r="E326">
        <f>IF($L326&gt;0,$L326,0.05)</f>
        <v>0.05</v>
      </c>
      <c r="F326">
        <v>1550</v>
      </c>
      <c r="G326" t="str">
        <v>UK</v>
      </c>
      <c r="H326" t="str">
        <v>2026-07</v>
      </c>
      <c r="I326" t="str">
        <v>Index-anchored 2026-07. Chopped strand mat — hand-layup/spray-up GFRP, marine hulls, tanks, enclosures.</v>
      </c>
      <c r="J326" t="str">
        <v>Medium</v>
      </c>
      <c r="K326">
        <f>IFERROR(IF(OR(INDEX(Mapping!$C:$C,MATCH($A326,Mapping!$A:$A,0))="",INDEX(JLRrates!$C:$C,MATCH(INDEX(Mapping!$C:$C,MATCH($A326,Mapping!$A:$A,0)),JLRrates!$B:$B,0))=""),0,INDEX(JLRrates!$C:$C,MATCH(INDEX(Mapping!$C:$C,MATCH($A326,Mapping!$A:$A,0)),JLRrates!$B:$B,0))),0)</f>
        <v>0</v>
      </c>
      <c r="L326">
        <f>IFERROR(IF(OR(INDEX(Mapping!$C:$C,MATCH($A326,Mapping!$A:$A,0))="",INDEX(JLRrates!$D:$D,MATCH(INDEX(Mapping!$C:$C,MATCH($A326,Mapping!$A:$A,0)),JLRrates!$B:$B,0))=""),0,INDEX(JLRrates!$D:$D,MATCH(INDEX(Mapping!$C:$C,MATCH($A326,Mapping!$A:$A,0)),JLRrates!$B:$B,0))),0)</f>
        <v>0</v>
      </c>
    </row>
    <row r="327">
      <c r="A327" t="str">
        <v>mat-cf-peek-organo</v>
      </c>
      <c r="B327" t="str">
        <v>CF/PEEK Organosheet (Thermoplastic)</v>
      </c>
      <c r="C327" t="str">
        <v>Composite</v>
      </c>
      <c r="D327">
        <f>IF($K327&gt;0,$K327,62)</f>
        <v>62</v>
      </c>
      <c r="E327">
        <f>IF($L327&gt;0,$L327,1)</f>
        <v>1</v>
      </c>
      <c r="F327">
        <v>1550</v>
      </c>
      <c r="G327" t="str">
        <v>UK</v>
      </c>
      <c r="H327" t="str">
        <v>2026-07</v>
      </c>
      <c r="I327" t="str">
        <v>Index-anchored 2026-07. Continuous CF-reinforced PEEK laminate — stamp-formable aerospace brackets/clips, recyclable, weldable.</v>
      </c>
      <c r="J327" t="str">
        <v>Low</v>
      </c>
      <c r="K327">
        <f>IFERROR(IF(OR(INDEX(Mapping!$C:$C,MATCH($A327,Mapping!$A:$A,0))="",INDEX(JLRrates!$C:$C,MATCH(INDEX(Mapping!$C:$C,MATCH($A327,Mapping!$A:$A,0)),JLRrates!$B:$B,0))=""),0,INDEX(JLRrates!$C:$C,MATCH(INDEX(Mapping!$C:$C,MATCH($A327,Mapping!$A:$A,0)),JLRrates!$B:$B,0))),0)</f>
        <v>0</v>
      </c>
      <c r="L327">
        <f>IFERROR(IF(OR(INDEX(Mapping!$C:$C,MATCH($A327,Mapping!$A:$A,0))="",INDEX(JLRrates!$D:$D,MATCH(INDEX(Mapping!$C:$C,MATCH($A327,Mapping!$A:$A,0)),JLRrates!$B:$B,0))=""),0,INDEX(JLRrates!$D:$D,MATCH(INDEX(Mapping!$C:$C,MATCH($A327,Mapping!$A:$A,0)),JLRrates!$B:$B,0))),0)</f>
        <v>0</v>
      </c>
    </row>
    <row r="328">
      <c r="A328" t="str">
        <v>mat-nomex-honeycomb</v>
      </c>
      <c r="B328" t="str">
        <v>Nomex Honeycomb Core</v>
      </c>
      <c r="C328" t="str">
        <v>Composite</v>
      </c>
      <c r="D328">
        <f>IF($K328&gt;0,$K328,42)</f>
        <v>42</v>
      </c>
      <c r="E328">
        <f>IF($L328&gt;0,$L328,0)</f>
        <v>0</v>
      </c>
      <c r="F328">
        <v>48</v>
      </c>
      <c r="G328" t="str">
        <v>UK</v>
      </c>
      <c r="H328" t="str">
        <v>2026-07</v>
      </c>
      <c r="I328" t="str">
        <v>Index-anchored 2026-07. Aramid-paper honeycomb — sandwich-panel core for aircraft floors/interiors; density is core bulk (~48 kg/m³).</v>
      </c>
      <c r="J328" t="str">
        <v>Low</v>
      </c>
      <c r="K328">
        <f>IFERROR(IF(OR(INDEX(Mapping!$C:$C,MATCH($A328,Mapping!$A:$A,0))="",INDEX(JLRrates!$C:$C,MATCH(INDEX(Mapping!$C:$C,MATCH($A328,Mapping!$A:$A,0)),JLRrates!$B:$B,0))=""),0,INDEX(JLRrates!$C:$C,MATCH(INDEX(Mapping!$C:$C,MATCH($A328,Mapping!$A:$A,0)),JLRrates!$B:$B,0))),0)</f>
        <v>0</v>
      </c>
      <c r="L328">
        <f>IFERROR(IF(OR(INDEX(Mapping!$C:$C,MATCH($A328,Mapping!$A:$A,0))="",INDEX(JLRrates!$D:$D,MATCH(INDEX(Mapping!$C:$C,MATCH($A328,Mapping!$A:$A,0)),JLRrates!$B:$B,0))=""),0,INDEX(JLRrates!$D:$D,MATCH(INDEX(Mapping!$C:$C,MATCH($A328,Mapping!$A:$A,0)),JLRrates!$B:$B,0))),0)</f>
        <v>0</v>
      </c>
    </row>
    <row r="329">
      <c r="A329" t="str">
        <v>mat-pet-foam-core</v>
      </c>
      <c r="B329" t="str">
        <v>PET Structural Foam Core</v>
      </c>
      <c r="C329" t="str">
        <v>Composite</v>
      </c>
      <c r="D329">
        <f>IF($K329&gt;0,$K329,9.5)</f>
        <v>9.5</v>
      </c>
      <c r="E329">
        <f>IF($L329&gt;0,$L329,0)</f>
        <v>0</v>
      </c>
      <c r="F329">
        <v>100</v>
      </c>
      <c r="G329" t="str">
        <v>UK</v>
      </c>
      <c r="H329" t="str">
        <v>2026-07</v>
      </c>
      <c r="I329" t="str">
        <v>Index-anchored 2026-07. Recyclable PET foam core — wind blades, marine, transport sandwich panels; density is core bulk (~100 kg/m³).</v>
      </c>
      <c r="J329" t="str">
        <v>Low</v>
      </c>
      <c r="K329">
        <f>IFERROR(IF(OR(INDEX(Mapping!$C:$C,MATCH($A329,Mapping!$A:$A,0))="",INDEX(JLRrates!$C:$C,MATCH(INDEX(Mapping!$C:$C,MATCH($A329,Mapping!$A:$A,0)),JLRrates!$B:$B,0))=""),0,INDEX(JLRrates!$C:$C,MATCH(INDEX(Mapping!$C:$C,MATCH($A329,Mapping!$A:$A,0)),JLRrates!$B:$B,0))),0)</f>
        <v>0</v>
      </c>
      <c r="L329">
        <f>IFERROR(IF(OR(INDEX(Mapping!$C:$C,MATCH($A329,Mapping!$A:$A,0))="",INDEX(JLRrates!$D:$D,MATCH(INDEX(Mapping!$C:$C,MATCH($A329,Mapping!$A:$A,0)),JLRrates!$B:$B,0))=""),0,INDEX(JLRrates!$D:$D,MATCH(INDEX(Mapping!$C:$C,MATCH($A329,Mapping!$A:$A,0)),JLRrates!$B:$B,0))),0)</f>
        <v>0</v>
      </c>
    </row>
  </sheetData>
  <ignoredErrors>
    <ignoredError numberStoredAsText="1" sqref="A1:L329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O179"/>
  <sheetViews>
    <sheetView workbookViewId="0"/>
  </sheetViews>
  <cols>
    <col min="1" max="1" width="22.83203125" customWidth="1"/>
    <col min="2" max="2" width="28.83203125" customWidth="1"/>
    <col min="3" max="3" width="10.83203125" customWidth="1"/>
    <col min="4" max="4" width="18.83203125" customWidth="1"/>
    <col min="5" max="5" width="14.83203125" customWidth="1"/>
    <col min="6" max="6" width="12.83203125" customWidth="1"/>
    <col min="7" max="7" width="12.83203125" customWidth="1"/>
    <col min="8" max="8" width="16.83203125" customWidth="1"/>
    <col min="9" max="9" width="14.83203125" customWidth="1"/>
    <col min="10" max="10" width="20.83203125" customWidth="1"/>
    <col min="11" max="11" width="18.83203125" customWidth="1"/>
    <col min="12" max="12" width="14.83203125" customWidth="1"/>
    <col min="13" max="13" width="44.83203125" customWidth="1"/>
    <col min="14" max="14" width="12.83203125" customWidth="1"/>
    <col min="15" max="15" width="16.83203125" customWidth="1"/>
  </cols>
  <sheetData>
    <row r="1">
      <c r="A1" t="str">
        <v>id</v>
      </c>
      <c r="B1" t="str">
        <v>machineClass</v>
      </c>
      <c r="C1" t="str">
        <v>region</v>
      </c>
      <c r="D1" t="str">
        <v>annualDepreciation</v>
      </c>
      <c r="E1" t="str">
        <v>maintenance</v>
      </c>
      <c r="F1" t="str">
        <v>energy</v>
      </c>
      <c r="G1" t="str">
        <v>floorSpace</v>
      </c>
      <c r="H1" t="str">
        <v>indirectSupport</v>
      </c>
      <c r="I1" t="str">
        <v>financeCost</v>
      </c>
      <c r="J1" t="str">
        <v>annualAvailableHours</v>
      </c>
      <c r="K1" t="str">
        <v>machineUtilization</v>
      </c>
      <c r="L1" t="str">
        <v>effectiveDate</v>
      </c>
      <c r="M1" t="str">
        <v>sourceNote</v>
      </c>
      <c r="N1" t="str">
        <v>confidence</v>
      </c>
      <c r="O1" t="str">
        <v>JLR £/hr found</v>
      </c>
    </row>
    <row r="2">
      <c r="A2" t="str">
        <v>mach-lathe-cnc</v>
      </c>
      <c r="B2" t="str">
        <v>CNC Lathe (2-axis)</v>
      </c>
      <c r="C2" t="str">
        <v>UK</v>
      </c>
      <c r="D2">
        <f>IF($O2&gt;0,$O2*4000*0.8,40000)</f>
        <v>40000</v>
      </c>
      <c r="E2">
        <f>IF($O2&gt;0,0,22000)</f>
        <v>22000</v>
      </c>
      <c r="F2">
        <f>IF($O2&gt;0,0,20000)</f>
        <v>20000</v>
      </c>
      <c r="G2">
        <f>IF($O2&gt;0,0,8000)</f>
        <v>8000</v>
      </c>
      <c r="H2">
        <f>IF($O2&gt;0,0,22000)</f>
        <v>22000</v>
      </c>
      <c r="I2">
        <f>IF($O2&gt;0,0,16000)</f>
        <v>16000</v>
      </c>
      <c r="J2">
        <v>4000</v>
      </c>
      <c r="K2">
        <v>0.8</v>
      </c>
      <c r="L2" t="str">
        <v>2026-06-14</v>
      </c>
      <c r="M2" t="str">
        <f>IF($O2&gt;0,"JLR flat rate "&amp;TEXT($O2,"0.00")&amp;" per hr — build-up not supplied","UK Tier-2 CNC turning centre (Doosan/Hyundai class). Target £40/hr. Jun 2026")</f>
        <v>UK Tier-2 CNC turning centre (Doosan/Hyundai class). Target £40/hr. Jun 2026</v>
      </c>
      <c r="N2" t="str">
        <v>Medium</v>
      </c>
      <c r="O2">
        <f>IFERROR(IF(OR(INDEX(Mapping!$C:$C,MATCH($A2,Mapping!$A:$A,0))="",INDEX(JLRrates!$C:$C,MATCH(INDEX(Mapping!$C:$C,MATCH($A2,Mapping!$A:$A,0)),JLRrates!$B:$B,0))=""),0,INDEX(JLRrates!$C:$C,MATCH(INDEX(Mapping!$C:$C,MATCH($A2,Mapping!$A:$A,0)),JLRrates!$B:$B,0))),0)</f>
        <v>0</v>
      </c>
    </row>
    <row r="3">
      <c r="A3" t="str">
        <v>mach-vmc3</v>
      </c>
      <c r="B3" t="str">
        <v>CNC VMC 3-axis</v>
      </c>
      <c r="C3" t="str">
        <v>UK</v>
      </c>
      <c r="D3">
        <f>IF($O3&gt;0,$O3*4000*0.8,55000)</f>
        <v>55000</v>
      </c>
      <c r="E3">
        <f>IF($O3&gt;0,0,30000)</f>
        <v>30000</v>
      </c>
      <c r="F3">
        <f>IF($O3&gt;0,0,28000)</f>
        <v>28000</v>
      </c>
      <c r="G3">
        <f>IF($O3&gt;0,0,12000)</f>
        <v>12000</v>
      </c>
      <c r="H3">
        <f>IF($O3&gt;0,0,30000)</f>
        <v>30000</v>
      </c>
      <c r="I3">
        <f>IF($O3&gt;0,0,21000)</f>
        <v>21000</v>
      </c>
      <c r="J3">
        <v>4000</v>
      </c>
      <c r="K3">
        <v>0.8</v>
      </c>
      <c r="L3" t="str">
        <v>2026-06-14</v>
      </c>
      <c r="M3" t="str">
        <f>IF($O3&gt;0,"JLR flat rate "&amp;TEXT($O3,"0.00")&amp;" per hr — build-up not supplied","UK Tier-2 3-axis VMC (HAAS VF/VM class). Target £55/hr. Jun 2026")</f>
        <v>UK Tier-2 3-axis VMC (HAAS VF/VM class). Target £55/hr. Jun 2026</v>
      </c>
      <c r="N3" t="str">
        <v>Medium</v>
      </c>
      <c r="O3">
        <f>IFERROR(IF(OR(INDEX(Mapping!$C:$C,MATCH($A3,Mapping!$A:$A,0))="",INDEX(JLRrates!$C:$C,MATCH(INDEX(Mapping!$C:$C,MATCH($A3,Mapping!$A:$A,0)),JLRrates!$B:$B,0))=""),0,INDEX(JLRrates!$C:$C,MATCH(INDEX(Mapping!$C:$C,MATCH($A3,Mapping!$A:$A,0)),JLRrates!$B:$B,0))),0)</f>
        <v>0</v>
      </c>
    </row>
    <row r="4">
      <c r="A4" t="str">
        <v>mach-vmc5</v>
      </c>
      <c r="B4" t="str">
        <v>CNC VMC 5-axis</v>
      </c>
      <c r="C4" t="str">
        <v>UK</v>
      </c>
      <c r="D4">
        <f>IF($O4&gt;0,$O4*4000*0.78,95000)</f>
        <v>95000</v>
      </c>
      <c r="E4">
        <f>IF($O4&gt;0,0,45000)</f>
        <v>45000</v>
      </c>
      <c r="F4">
        <f>IF($O4&gt;0,0,35000)</f>
        <v>35000</v>
      </c>
      <c r="G4">
        <f>IF($O4&gt;0,0,18000)</f>
        <v>18000</v>
      </c>
      <c r="H4">
        <f>IF($O4&gt;0,0,48000)</f>
        <v>48000</v>
      </c>
      <c r="I4">
        <f>IF($O4&gt;0,0,24200)</f>
        <v>24200</v>
      </c>
      <c r="J4">
        <v>4000</v>
      </c>
      <c r="K4">
        <v>0.78</v>
      </c>
      <c r="L4" t="str">
        <v>2026-06-14</v>
      </c>
      <c r="M4" t="str">
        <f>IF($O4&gt;0,"JLR flat rate "&amp;TEXT($O4,"0.00")&amp;" per hr — build-up not supplied","UK Tier-1 5-axis machining centre (DMG/Hermle class). Target £85/hr. Jun 2026")</f>
        <v>UK Tier-1 5-axis machining centre (DMG/Hermle class). Target £85/hr. Jun 2026</v>
      </c>
      <c r="N4" t="str">
        <v>Medium</v>
      </c>
      <c r="O4">
        <f>IFERROR(IF(OR(INDEX(Mapping!$C:$C,MATCH($A4,Mapping!$A:$A,0))="",INDEX(JLRrates!$C:$C,MATCH(INDEX(Mapping!$C:$C,MATCH($A4,Mapping!$A:$A,0)),JLRrates!$B:$B,0))=""),0,INDEX(JLRrates!$C:$C,MATCH(INDEX(Mapping!$C:$C,MATCH($A4,Mapping!$A:$A,0)),JLRrates!$B:$B,0))),0)</f>
        <v>0</v>
      </c>
    </row>
    <row r="5">
      <c r="A5" t="str">
        <v>mach-drill</v>
      </c>
      <c r="B5" t="str">
        <v>CNC Drilling Centre</v>
      </c>
      <c r="C5" t="str">
        <v>UK</v>
      </c>
      <c r="D5">
        <f>IF($O5&gt;0,$O5*4000*0.8,28000)</f>
        <v>28000</v>
      </c>
      <c r="E5">
        <f>IF($O5&gt;0,0,12000)</f>
        <v>12000</v>
      </c>
      <c r="F5">
        <f>IF($O5&gt;0,0,18000)</f>
        <v>18000</v>
      </c>
      <c r="G5">
        <f>IF($O5&gt;0,0,8000)</f>
        <v>8000</v>
      </c>
      <c r="H5">
        <f>IF($O5&gt;0,0,16000)</f>
        <v>16000</v>
      </c>
      <c r="I5">
        <f>IF($O5&gt;0,0,14000)</f>
        <v>14000</v>
      </c>
      <c r="J5">
        <v>4000</v>
      </c>
      <c r="K5">
        <v>0.8</v>
      </c>
      <c r="L5" t="str">
        <v>2026-06-14</v>
      </c>
      <c r="M5" t="str">
        <f>IF($O5&gt;0,"JLR flat rate "&amp;TEXT($O5,"0.00")&amp;" per hr — build-up not supplied","UK Tier-2 CNC drilling/tapping centre. Target £30/hr. Jun 2026")</f>
        <v>UK Tier-2 CNC drilling/tapping centre. Target £30/hr. Jun 2026</v>
      </c>
      <c r="N5" t="str">
        <v>Medium</v>
      </c>
      <c r="O5">
        <f>IFERROR(IF(OR(INDEX(Mapping!$C:$C,MATCH($A5,Mapping!$A:$A,0))="",INDEX(JLRrates!$C:$C,MATCH(INDEX(Mapping!$C:$C,MATCH($A5,Mapping!$A:$A,0)),JLRrates!$B:$B,0))=""),0,INDEX(JLRrates!$C:$C,MATCH(INDEX(Mapping!$C:$C,MATCH($A5,Mapping!$A:$A,0)),JLRrates!$B:$B,0))),0)</f>
        <v>0</v>
      </c>
    </row>
    <row r="6">
      <c r="A6" t="str">
        <v>mach-grind</v>
      </c>
      <c r="B6" t="str">
        <v>CNC Cylindrical Grinder</v>
      </c>
      <c r="C6" t="str">
        <v>UK</v>
      </c>
      <c r="D6">
        <f>IF($O6&gt;0,$O6*4000*0.78,55000)</f>
        <v>55000</v>
      </c>
      <c r="E6">
        <f>IF($O6&gt;0,0,30000)</f>
        <v>30000</v>
      </c>
      <c r="F6">
        <f>IF($O6&gt;0,0,28000)</f>
        <v>28000</v>
      </c>
      <c r="G6">
        <f>IF($O6&gt;0,0,10000)</f>
        <v>10000</v>
      </c>
      <c r="H6">
        <f>IF($O6&gt;0,0,28000)</f>
        <v>28000</v>
      </c>
      <c r="I6">
        <f>IF($O6&gt;0,0,20600)</f>
        <v>20600</v>
      </c>
      <c r="J6">
        <v>4000</v>
      </c>
      <c r="K6">
        <v>0.78</v>
      </c>
      <c r="L6" t="str">
        <v>2026-06-14</v>
      </c>
      <c r="M6" t="str">
        <f>IF($O6&gt;0,"JLR flat rate "&amp;TEXT($O6,"0.00")&amp;" per hr — build-up not supplied","UK Tier-2 CNC cylindrical grinder. Target £55/hr (precision, high coolant cost). Jun 2026")</f>
        <v>UK Tier-2 CNC cylindrical grinder. Target £55/hr (precision, high coolant cost). Jun 2026</v>
      </c>
      <c r="N6" t="str">
        <v>Medium</v>
      </c>
      <c r="O6">
        <f>IFERROR(IF(OR(INDEX(Mapping!$C:$C,MATCH($A6,Mapping!$A:$A,0))="",INDEX(JLRrates!$C:$C,MATCH(INDEX(Mapping!$C:$C,MATCH($A6,Mapping!$A:$A,0)),JLRrates!$B:$B,0))=""),0,INDEX(JLRrates!$C:$C,MATCH(INDEX(Mapping!$C:$C,MATCH($A6,Mapping!$A:$A,0)),JLRrates!$B:$B,0))),0)</f>
        <v>0</v>
      </c>
    </row>
    <row r="7">
      <c r="A7" t="str">
        <v>gear-hob-small</v>
      </c>
      <c r="B7" t="str">
        <v>CNC Gear Hobber — small (≤m4, ≤Ø200)</v>
      </c>
      <c r="C7" t="str">
        <v>UK</v>
      </c>
      <c r="D7">
        <f>IF($O7&gt;0,$O7*4000*0.8,62000)</f>
        <v>62000</v>
      </c>
      <c r="E7">
        <f>IF($O7&gt;0,0,32000)</f>
        <v>32000</v>
      </c>
      <c r="F7">
        <f>IF($O7&gt;0,0,26000)</f>
        <v>26000</v>
      </c>
      <c r="G7">
        <f>IF($O7&gt;0,0,11000)</f>
        <v>11000</v>
      </c>
      <c r="H7">
        <f>IF($O7&gt;0,0,30000)</f>
        <v>30000</v>
      </c>
      <c r="I7">
        <f>IF($O7&gt;0,0,21000)</f>
        <v>21000</v>
      </c>
      <c r="J7">
        <v>4000</v>
      </c>
      <c r="K7">
        <v>0.8</v>
      </c>
      <c r="L7" t="str">
        <v>2026-06-14</v>
      </c>
      <c r="M7" t="str">
        <f>IF($O7&gt;0,"JLR flat rate "&amp;TEXT($O7,"0.00")&amp;" per hr — build-up not supplied","REPRESENTATIVE — UK small CNC hobber class. Target ~£56/hr. Replace with plant data.")</f>
        <v>REPRESENTATIVE — UK small CNC hobber class. Target ~£56/hr. Replace with plant data.</v>
      </c>
      <c r="N7" t="str">
        <v>Medium</v>
      </c>
      <c r="O7">
        <f>IFERROR(IF(OR(INDEX(Mapping!$C:$C,MATCH($A7,Mapping!$A:$A,0))="",INDEX(JLRrates!$C:$C,MATCH(INDEX(Mapping!$C:$C,MATCH($A7,Mapping!$A:$A,0)),JLRrates!$B:$B,0))=""),0,INDEX(JLRrates!$C:$C,MATCH(INDEX(Mapping!$C:$C,MATCH($A7,Mapping!$A:$A,0)),JLRrates!$B:$B,0))),0)</f>
        <v>0</v>
      </c>
    </row>
    <row r="8">
      <c r="A8" t="str">
        <v>gear-hob-medium</v>
      </c>
      <c r="B8" t="str">
        <v>CNC Gear Hobber — medium (≤m8, ≤Ø500)</v>
      </c>
      <c r="C8" t="str">
        <v>UK</v>
      </c>
      <c r="D8">
        <f>IF($O8&gt;0,$O8*4000*0.78,88000)</f>
        <v>88000</v>
      </c>
      <c r="E8">
        <f>IF($O8&gt;0,0,42000)</f>
        <v>42000</v>
      </c>
      <c r="F8">
        <f>IF($O8&gt;0,0,34000)</f>
        <v>34000</v>
      </c>
      <c r="G8">
        <f>IF($O8&gt;0,0,16000)</f>
        <v>16000</v>
      </c>
      <c r="H8">
        <f>IF($O8&gt;0,0,40000)</f>
        <v>40000</v>
      </c>
      <c r="I8">
        <f>IF($O8&gt;0,0,23500)</f>
        <v>23500</v>
      </c>
      <c r="J8">
        <v>4000</v>
      </c>
      <c r="K8">
        <v>0.78</v>
      </c>
      <c r="L8" t="str">
        <v>2026-06-14</v>
      </c>
      <c r="M8" t="str">
        <f>IF($O8&gt;0,"JLR flat rate "&amp;TEXT($O8,"0.00")&amp;" per hr — build-up not supplied","REPRESENTATIVE — UK medium CNC hobber class. Target ~£78/hr. Replace with plant data.")</f>
        <v>REPRESENTATIVE — UK medium CNC hobber class. Target ~£78/hr. Replace with plant data.</v>
      </c>
      <c r="N8" t="str">
        <v>Medium</v>
      </c>
      <c r="O8">
        <f>IFERROR(IF(OR(INDEX(Mapping!$C:$C,MATCH($A8,Mapping!$A:$A,0))="",INDEX(JLRrates!$C:$C,MATCH(INDEX(Mapping!$C:$C,MATCH($A8,Mapping!$A:$A,0)),JLRrates!$B:$B,0))=""),0,INDEX(JLRrates!$C:$C,MATCH(INDEX(Mapping!$C:$C,MATCH($A8,Mapping!$A:$A,0)),JLRrates!$B:$B,0))),0)</f>
        <v>0</v>
      </c>
    </row>
    <row r="9">
      <c r="A9" t="str">
        <v>gear-hob-large</v>
      </c>
      <c r="B9" t="str">
        <v>CNC Gear Hobber — large (≤m25, ≤Ø1600)</v>
      </c>
      <c r="C9" t="str">
        <v>UK</v>
      </c>
      <c r="D9">
        <f>IF($O9&gt;0,$O9*3800*0.7,150000)</f>
        <v>150000</v>
      </c>
      <c r="E9">
        <f>IF($O9&gt;0,0,62000)</f>
        <v>62000</v>
      </c>
      <c r="F9">
        <f>IF($O9&gt;0,0,52000)</f>
        <v>52000</v>
      </c>
      <c r="G9">
        <f>IF($O9&gt;0,0,30000)</f>
        <v>30000</v>
      </c>
      <c r="H9">
        <f>IF($O9&gt;0,0,58000)</f>
        <v>58000</v>
      </c>
      <c r="I9">
        <f>IF($O9&gt;0,0,32000)</f>
        <v>32000</v>
      </c>
      <c r="J9">
        <v>3800</v>
      </c>
      <c r="K9">
        <v>0.7</v>
      </c>
      <c r="L9" t="str">
        <v>2026-06-14</v>
      </c>
      <c r="M9" t="str">
        <f>IF($O9&gt;0,"JLR flat rate "&amp;TEXT($O9,"0.00")&amp;" per hr — build-up not supplied","REPRESENTATIVE — UK large CNC hobber class. Target ~£140/hr. Replace with plant data.")</f>
        <v>REPRESENTATIVE — UK large CNC hobber class. Target ~£140/hr. Replace with plant data.</v>
      </c>
      <c r="N9" t="str">
        <v>Medium</v>
      </c>
      <c r="O9">
        <f>IFERROR(IF(OR(INDEX(Mapping!$C:$C,MATCH($A9,Mapping!$A:$A,0))="",INDEX(JLRrates!$C:$C,MATCH(INDEX(Mapping!$C:$C,MATCH($A9,Mapping!$A:$A,0)),JLRrates!$B:$B,0))=""),0,INDEX(JLRrates!$C:$C,MATCH(INDEX(Mapping!$C:$C,MATCH($A9,Mapping!$A:$A,0)),JLRrates!$B:$B,0))),0)</f>
        <v>0</v>
      </c>
    </row>
    <row r="10">
      <c r="A10" t="str">
        <v>gear-shaper-small</v>
      </c>
      <c r="B10" t="str">
        <v>CNC Gear Shaper — small (≤m6, ≤Ø300)</v>
      </c>
      <c r="C10" t="str">
        <v>UK</v>
      </c>
      <c r="D10">
        <f>IF($O10&gt;0,$O10*4000*0.78,58000)</f>
        <v>58000</v>
      </c>
      <c r="E10">
        <f>IF($O10&gt;0,0,34000)</f>
        <v>34000</v>
      </c>
      <c r="F10">
        <f>IF($O10&gt;0,0,24000)</f>
        <v>24000</v>
      </c>
      <c r="G10">
        <f>IF($O10&gt;0,0,11000)</f>
        <v>11000</v>
      </c>
      <c r="H10">
        <f>IF($O10&gt;0,0,30000)</f>
        <v>30000</v>
      </c>
      <c r="I10">
        <f>IF($O10&gt;0,0,20500)</f>
        <v>20500</v>
      </c>
      <c r="J10">
        <v>4000</v>
      </c>
      <c r="K10">
        <v>0.78</v>
      </c>
      <c r="L10" t="str">
        <v>2026-06-14</v>
      </c>
      <c r="M10" t="str">
        <f>IF($O10&gt;0,"JLR flat rate "&amp;TEXT($O10,"0.00")&amp;" per hr — build-up not supplied","REPRESENTATIVE — UK small CNC shaper class. Target ~£56/hr. Replace with plant data.")</f>
        <v>REPRESENTATIVE — UK small CNC shaper class. Target ~£56/hr. Replace with plant data.</v>
      </c>
      <c r="N10" t="str">
        <v>Medium</v>
      </c>
      <c r="O10">
        <f>IFERROR(IF(OR(INDEX(Mapping!$C:$C,MATCH($A10,Mapping!$A:$A,0))="",INDEX(JLRrates!$C:$C,MATCH(INDEX(Mapping!$C:$C,MATCH($A10,Mapping!$A:$A,0)),JLRrates!$B:$B,0))=""),0,INDEX(JLRrates!$C:$C,MATCH(INDEX(Mapping!$C:$C,MATCH($A10,Mapping!$A:$A,0)),JLRrates!$B:$B,0))),0)</f>
        <v>0</v>
      </c>
    </row>
    <row r="11">
      <c r="A11" t="str">
        <v>gear-shaper-large</v>
      </c>
      <c r="B11" t="str">
        <v>CNC Gear Shaper — large (≤m12, ≤Ø800)</v>
      </c>
      <c r="C11" t="str">
        <v>UK</v>
      </c>
      <c r="D11">
        <f>IF($O11&gt;0,$O11*3800*0.74,95000)</f>
        <v>95000</v>
      </c>
      <c r="E11">
        <f>IF($O11&gt;0,0,48000)</f>
        <v>48000</v>
      </c>
      <c r="F11">
        <f>IF($O11&gt;0,0,36000)</f>
        <v>36000</v>
      </c>
      <c r="G11">
        <f>IF($O11&gt;0,0,20000)</f>
        <v>20000</v>
      </c>
      <c r="H11">
        <f>IF($O11&gt;0,0,42000)</f>
        <v>42000</v>
      </c>
      <c r="I11">
        <f>IF($O11&gt;0,0,25000)</f>
        <v>25000</v>
      </c>
      <c r="J11">
        <v>3800</v>
      </c>
      <c r="K11">
        <v>0.74</v>
      </c>
      <c r="L11" t="str">
        <v>2026-06-14</v>
      </c>
      <c r="M11" t="str">
        <f>IF($O11&gt;0,"JLR flat rate "&amp;TEXT($O11,"0.00")&amp;" per hr — build-up not supplied","REPRESENTATIVE — UK large CNC shaper class. Target ~£95/hr. Replace with plant data.")</f>
        <v>REPRESENTATIVE — UK large CNC shaper class. Target ~£95/hr. Replace with plant data.</v>
      </c>
      <c r="N11" t="str">
        <v>Medium</v>
      </c>
      <c r="O11">
        <f>IFERROR(IF(OR(INDEX(Mapping!$C:$C,MATCH($A11,Mapping!$A:$A,0))="",INDEX(JLRrates!$C:$C,MATCH(INDEX(Mapping!$C:$C,MATCH($A11,Mapping!$A:$A,0)),JLRrates!$B:$B,0))=""),0,INDEX(JLRrates!$C:$C,MATCH(INDEX(Mapping!$C:$C,MATCH($A11,Mapping!$A:$A,0)),JLRrates!$B:$B,0))),0)</f>
        <v>0</v>
      </c>
    </row>
    <row r="12">
      <c r="A12" t="str">
        <v>gear-skive-small</v>
      </c>
      <c r="B12" t="str">
        <v>Power Skiving Machine — small (≤m4, ≤Ø250)</v>
      </c>
      <c r="C12" t="str">
        <v>UK</v>
      </c>
      <c r="D12">
        <f>IF($O12&gt;0,$O12*4000*0.8,110000)</f>
        <v>110000</v>
      </c>
      <c r="E12">
        <f>IF($O12&gt;0,0,46000)</f>
        <v>46000</v>
      </c>
      <c r="F12">
        <f>IF($O12&gt;0,0,32000)</f>
        <v>32000</v>
      </c>
      <c r="G12">
        <f>IF($O12&gt;0,0,14000)</f>
        <v>14000</v>
      </c>
      <c r="H12">
        <f>IF($O12&gt;0,0,42000)</f>
        <v>42000</v>
      </c>
      <c r="I12">
        <f>IF($O12&gt;0,0,27000)</f>
        <v>27000</v>
      </c>
      <c r="J12">
        <v>4000</v>
      </c>
      <c r="K12">
        <v>0.8</v>
      </c>
      <c r="L12" t="str">
        <v>2026-06-14</v>
      </c>
      <c r="M12" t="str">
        <f>IF($O12&gt;0,"JLR flat rate "&amp;TEXT($O12,"0.00")&amp;" per hr — build-up not supplied","REPRESENTATIVE — UK small power skiving class. Target ~£85/hr. Replace with plant data.")</f>
        <v>REPRESENTATIVE — UK small power skiving class. Target ~£85/hr. Replace with plant data.</v>
      </c>
      <c r="N12" t="str">
        <v>Medium</v>
      </c>
      <c r="O12">
        <f>IFERROR(IF(OR(INDEX(Mapping!$C:$C,MATCH($A12,Mapping!$A:$A,0))="",INDEX(JLRrates!$C:$C,MATCH(INDEX(Mapping!$C:$C,MATCH($A12,Mapping!$A:$A,0)),JLRrates!$B:$B,0))=""),0,INDEX(JLRrates!$C:$C,MATCH(INDEX(Mapping!$C:$C,MATCH($A12,Mapping!$A:$A,0)),JLRrates!$B:$B,0))),0)</f>
        <v>0</v>
      </c>
    </row>
    <row r="13">
      <c r="A13" t="str">
        <v>gear-skive-medium</v>
      </c>
      <c r="B13" t="str">
        <v>Power Skiving Machine — medium (≤m8, ≤Ø600)</v>
      </c>
      <c r="C13" t="str">
        <v>UK</v>
      </c>
      <c r="D13">
        <f>IF($O13&gt;0,$O13*4000*0.78,155000)</f>
        <v>155000</v>
      </c>
      <c r="E13">
        <f>IF($O13&gt;0,0,60000)</f>
        <v>60000</v>
      </c>
      <c r="F13">
        <f>IF($O13&gt;0,0,44000)</f>
        <v>44000</v>
      </c>
      <c r="G13">
        <f>IF($O13&gt;0,0,22000)</f>
        <v>22000</v>
      </c>
      <c r="H13">
        <f>IF($O13&gt;0,0,54000)</f>
        <v>54000</v>
      </c>
      <c r="I13">
        <f>IF($O13&gt;0,0,33000)</f>
        <v>33000</v>
      </c>
      <c r="J13">
        <v>4000</v>
      </c>
      <c r="K13">
        <v>0.78</v>
      </c>
      <c r="L13" t="str">
        <v>2026-06-14</v>
      </c>
      <c r="M13" t="str">
        <f>IF($O13&gt;0,"JLR flat rate "&amp;TEXT($O13,"0.00")&amp;" per hr — build-up not supplied","REPRESENTATIVE — UK medium power skiving class. Target ~£120/hr. Replace with plant data.")</f>
        <v>REPRESENTATIVE — UK medium power skiving class. Target ~£120/hr. Replace with plant data.</v>
      </c>
      <c r="N13" t="str">
        <v>Medium</v>
      </c>
      <c r="O13">
        <f>IFERROR(IF(OR(INDEX(Mapping!$C:$C,MATCH($A13,Mapping!$A:$A,0))="",INDEX(JLRrates!$C:$C,MATCH(INDEX(Mapping!$C:$C,MATCH($A13,Mapping!$A:$A,0)),JLRrates!$B:$B,0))=""),0,INDEX(JLRrates!$C:$C,MATCH(INDEX(Mapping!$C:$C,MATCH($A13,Mapping!$A:$A,0)),JLRrates!$B:$B,0))),0)</f>
        <v>0</v>
      </c>
    </row>
    <row r="14">
      <c r="A14" t="str">
        <v>gear-broach</v>
      </c>
      <c r="B14" t="str">
        <v>Vertical Internal Gear Broach</v>
      </c>
      <c r="C14" t="str">
        <v>UK</v>
      </c>
      <c r="D14">
        <f>IF($O14&gt;0,$O14*4000*0.85,72000)</f>
        <v>72000</v>
      </c>
      <c r="E14">
        <f>IF($O14&gt;0,0,38000)</f>
        <v>38000</v>
      </c>
      <c r="F14">
        <f>IF($O14&gt;0,0,30000)</f>
        <v>30000</v>
      </c>
      <c r="G14">
        <f>IF($O14&gt;0,0,18000)</f>
        <v>18000</v>
      </c>
      <c r="H14">
        <f>IF($O14&gt;0,0,34000)</f>
        <v>34000</v>
      </c>
      <c r="I14">
        <f>IF($O14&gt;0,0,22000)</f>
        <v>22000</v>
      </c>
      <c r="J14">
        <v>4000</v>
      </c>
      <c r="K14">
        <v>0.85</v>
      </c>
      <c r="L14" t="str">
        <v>2026-06-14</v>
      </c>
      <c r="M14" t="str">
        <f>IF($O14&gt;0,"JLR flat rate "&amp;TEXT($O14,"0.00")&amp;" per hr — build-up not supplied","REPRESENTATIVE — UK internal gear/spline broach class. Target ~£63/hr. Replace with plant data.")</f>
        <v>REPRESENTATIVE — UK internal gear/spline broach class. Target ~£63/hr. Replace with plant data.</v>
      </c>
      <c r="N14" t="str">
        <v>Medium</v>
      </c>
      <c r="O14">
        <f>IFERROR(IF(OR(INDEX(Mapping!$C:$C,MATCH($A14,Mapping!$A:$A,0))="",INDEX(JLRrates!$C:$C,MATCH(INDEX(Mapping!$C:$C,MATCH($A14,Mapping!$A:$A,0)),JLRrates!$B:$B,0))=""),0,INDEX(JLRrates!$C:$C,MATCH(INDEX(Mapping!$C:$C,MATCH($A14,Mapping!$A:$A,0)),JLRrates!$B:$B,0))),0)</f>
        <v>0</v>
      </c>
    </row>
    <row r="15">
      <c r="A15" t="str">
        <v>gear-grind-generating</v>
      </c>
      <c r="B15" t="str">
        <v>Generating Gear Grinder (threaded wheel, ≤m6)</v>
      </c>
      <c r="C15" t="str">
        <v>UK</v>
      </c>
      <c r="D15">
        <f>IF($O15&gt;0,$O15*4000*0.78,165000)</f>
        <v>165000</v>
      </c>
      <c r="E15">
        <f>IF($O15&gt;0,0,68000)</f>
        <v>68000</v>
      </c>
      <c r="F15">
        <f>IF($O15&gt;0,0,55000)</f>
        <v>55000</v>
      </c>
      <c r="G15">
        <f>IF($O15&gt;0,0,22000)</f>
        <v>22000</v>
      </c>
      <c r="H15">
        <f>IF($O15&gt;0,0,58000)</f>
        <v>58000</v>
      </c>
      <c r="I15">
        <f>IF($O15&gt;0,0,35000)</f>
        <v>35000</v>
      </c>
      <c r="J15">
        <v>4000</v>
      </c>
      <c r="K15">
        <v>0.78</v>
      </c>
      <c r="L15" t="str">
        <v>2026-06-14</v>
      </c>
      <c r="M15" t="str">
        <f>IF($O15&gt;0,"JLR flat rate "&amp;TEXT($O15,"0.00")&amp;" per hr — build-up not supplied","REPRESENTATIVE — UK generating (threaded-wheel) gear grinder class. Target ~£130/hr. Replace with plant data.")</f>
        <v>REPRESENTATIVE — UK generating (threaded-wheel) gear grinder class. Target ~£130/hr. Replace with plant data.</v>
      </c>
      <c r="N15" t="str">
        <v>Medium</v>
      </c>
      <c r="O15">
        <f>IFERROR(IF(OR(INDEX(Mapping!$C:$C,MATCH($A15,Mapping!$A:$A,0))="",INDEX(JLRrates!$C:$C,MATCH(INDEX(Mapping!$C:$C,MATCH($A15,Mapping!$A:$A,0)),JLRrates!$B:$B,0))=""),0,INDEX(JLRrates!$C:$C,MATCH(INDEX(Mapping!$C:$C,MATCH($A15,Mapping!$A:$A,0)),JLRrates!$B:$B,0))),0)</f>
        <v>0</v>
      </c>
    </row>
    <row r="16">
      <c r="A16" t="str">
        <v>gear-grind-profile</v>
      </c>
      <c r="B16" t="str">
        <v>Profile Gear Grinder (form wheel, ≤m12)</v>
      </c>
      <c r="C16" t="str">
        <v>UK</v>
      </c>
      <c r="D16">
        <f>IF($O16&gt;0,$O16*3800*0.72,190000)</f>
        <v>190000</v>
      </c>
      <c r="E16">
        <f>IF($O16&gt;0,0,78000)</f>
        <v>78000</v>
      </c>
      <c r="F16">
        <f>IF($O16&gt;0,0,62000)</f>
        <v>62000</v>
      </c>
      <c r="G16">
        <f>IF($O16&gt;0,0,28000)</f>
        <v>28000</v>
      </c>
      <c r="H16">
        <f>IF($O16&gt;0,0,66000)</f>
        <v>66000</v>
      </c>
      <c r="I16">
        <f>IF($O16&gt;0,0,40000)</f>
        <v>40000</v>
      </c>
      <c r="J16">
        <v>3800</v>
      </c>
      <c r="K16">
        <v>0.72</v>
      </c>
      <c r="L16" t="str">
        <v>2026-06-14</v>
      </c>
      <c r="M16" t="str">
        <f>IF($O16&gt;0,"JLR flat rate "&amp;TEXT($O16,"0.00")&amp;" per hr — build-up not supplied","REPRESENTATIVE — UK profile (form-wheel) gear grinder class. Target ~£170/hr. Replace with plant data.")</f>
        <v>REPRESENTATIVE — UK profile (form-wheel) gear grinder class. Target ~£170/hr. Replace with plant data.</v>
      </c>
      <c r="N16" t="str">
        <v>Medium</v>
      </c>
      <c r="O16">
        <f>IFERROR(IF(OR(INDEX(Mapping!$C:$C,MATCH($A16,Mapping!$A:$A,0))="",INDEX(JLRrates!$C:$C,MATCH(INDEX(Mapping!$C:$C,MATCH($A16,Mapping!$A:$A,0)),JLRrates!$B:$B,0))=""),0,INDEX(JLRrates!$C:$C,MATCH(INDEX(Mapping!$C:$C,MATCH($A16,Mapping!$A:$A,0)),JLRrates!$B:$B,0))),0)</f>
        <v>0</v>
      </c>
    </row>
    <row r="17">
      <c r="A17" t="str">
        <v>gear-shave</v>
      </c>
      <c r="B17" t="str">
        <v>Gear Shaving Machine</v>
      </c>
      <c r="C17" t="str">
        <v>UK</v>
      </c>
      <c r="D17">
        <f>IF($O17&gt;0,$O17*4000*0.8,48000)</f>
        <v>48000</v>
      </c>
      <c r="E17">
        <f>IF($O17&gt;0,0,26000)</f>
        <v>26000</v>
      </c>
      <c r="F17">
        <f>IF($O17&gt;0,0,20000)</f>
        <v>20000</v>
      </c>
      <c r="G17">
        <f>IF($O17&gt;0,0,10000)</f>
        <v>10000</v>
      </c>
      <c r="H17">
        <f>IF($O17&gt;0,0,26000)</f>
        <v>26000</v>
      </c>
      <c r="I17">
        <f>IF($O17&gt;0,0,18000)</f>
        <v>18000</v>
      </c>
      <c r="J17">
        <v>4000</v>
      </c>
      <c r="K17">
        <v>0.8</v>
      </c>
      <c r="L17" t="str">
        <v>2026-06-14</v>
      </c>
      <c r="M17" t="str">
        <f>IF($O17&gt;0,"JLR flat rate "&amp;TEXT($O17,"0.00")&amp;" per hr — build-up not supplied","REPRESENTATIVE — UK gear shaving class. Target ~£45/hr. Replace with plant data.")</f>
        <v>REPRESENTATIVE — UK gear shaving class. Target ~£45/hr. Replace with plant data.</v>
      </c>
      <c r="N17" t="str">
        <v>Medium</v>
      </c>
      <c r="O17">
        <f>IFERROR(IF(OR(INDEX(Mapping!$C:$C,MATCH($A17,Mapping!$A:$A,0))="",INDEX(JLRrates!$C:$C,MATCH(INDEX(Mapping!$C:$C,MATCH($A17,Mapping!$A:$A,0)),JLRrates!$B:$B,0))=""),0,INDEX(JLRrates!$C:$C,MATCH(INDEX(Mapping!$C:$C,MATCH($A17,Mapping!$A:$A,0)),JLRrates!$B:$B,0))),0)</f>
        <v>0</v>
      </c>
    </row>
    <row r="18">
      <c r="A18" t="str">
        <v>gear-hone</v>
      </c>
      <c r="B18" t="str">
        <v>Gear Honing Machine</v>
      </c>
      <c r="C18" t="str">
        <v>UK</v>
      </c>
      <c r="D18">
        <f>IF($O18&gt;0,$O18*4000*0.78,96000)</f>
        <v>96000</v>
      </c>
      <c r="E18">
        <f>IF($O18&gt;0,0,44000)</f>
        <v>44000</v>
      </c>
      <c r="F18">
        <f>IF($O18&gt;0,0,30000)</f>
        <v>30000</v>
      </c>
      <c r="G18">
        <f>IF($O18&gt;0,0,14000)</f>
        <v>14000</v>
      </c>
      <c r="H18">
        <f>IF($O18&gt;0,0,38000)</f>
        <v>38000</v>
      </c>
      <c r="I18">
        <f>IF($O18&gt;0,0,25000)</f>
        <v>25000</v>
      </c>
      <c r="J18">
        <v>4000</v>
      </c>
      <c r="K18">
        <v>0.78</v>
      </c>
      <c r="L18" t="str">
        <v>2026-06-14</v>
      </c>
      <c r="M18" t="str">
        <f>IF($O18&gt;0,"JLR flat rate "&amp;TEXT($O18,"0.00")&amp;" per hr — build-up not supplied","REPRESENTATIVE — UK gear honing class (NVH finishing). Target ~£80/hr. Replace with plant data.")</f>
        <v>REPRESENTATIVE — UK gear honing class (NVH finishing). Target ~£80/hr. Replace with plant data.</v>
      </c>
      <c r="N18" t="str">
        <v>Medium</v>
      </c>
      <c r="O18">
        <f>IFERROR(IF(OR(INDEX(Mapping!$C:$C,MATCH($A18,Mapping!$A:$A,0))="",INDEX(JLRrates!$C:$C,MATCH(INDEX(Mapping!$C:$C,MATCH($A18,Mapping!$A:$A,0)),JLRrates!$B:$B,0))=""),0,INDEX(JLRrates!$C:$C,MATCH(INDEX(Mapping!$C:$C,MATCH($A18,Mapping!$A:$A,0)),JLRrates!$B:$B,0))),0)</f>
        <v>0</v>
      </c>
    </row>
    <row r="19">
      <c r="A19" t="str">
        <v>gear-deburr</v>
      </c>
      <c r="B19" t="str">
        <v>Gear Chamfer / Deburr Cell</v>
      </c>
      <c r="C19" t="str">
        <v>UK</v>
      </c>
      <c r="D19">
        <f>IF($O19&gt;0,$O19*4000*0.82,26000)</f>
        <v>26000</v>
      </c>
      <c r="E19">
        <f>IF($O19&gt;0,0,14000)</f>
        <v>14000</v>
      </c>
      <c r="F19">
        <f>IF($O19&gt;0,0,12000)</f>
        <v>12000</v>
      </c>
      <c r="G19">
        <f>IF($O19&gt;0,0,8000)</f>
        <v>8000</v>
      </c>
      <c r="H19">
        <f>IF($O19&gt;0,0,18000)</f>
        <v>18000</v>
      </c>
      <c r="I19">
        <f>IF($O19&gt;0,0,9000)</f>
        <v>9000</v>
      </c>
      <c r="J19">
        <v>4000</v>
      </c>
      <c r="K19">
        <v>0.82</v>
      </c>
      <c r="L19" t="str">
        <v>2026-06-14</v>
      </c>
      <c r="M19" t="str">
        <f>IF($O19&gt;0,"JLR flat rate "&amp;TEXT($O19,"0.00")&amp;" per hr — build-up not supplied","REPRESENTATIVE — UK chamfer/deburr cell class. Target ~£26/hr. Replace with plant data.")</f>
        <v>REPRESENTATIVE — UK chamfer/deburr cell class. Target ~£26/hr. Replace with plant data.</v>
      </c>
      <c r="N19" t="str">
        <v>Medium</v>
      </c>
      <c r="O19">
        <f>IFERROR(IF(OR(INDEX(Mapping!$C:$C,MATCH($A19,Mapping!$A:$A,0))="",INDEX(JLRrates!$C:$C,MATCH(INDEX(Mapping!$C:$C,MATCH($A19,Mapping!$A:$A,0)),JLRrates!$B:$B,0))=""),0,INDEX(JLRrates!$C:$C,MATCH(INDEX(Mapping!$C:$C,MATCH($A19,Mapping!$A:$A,0)),JLRrates!$B:$B,0))),0)</f>
        <v>0</v>
      </c>
    </row>
    <row r="20">
      <c r="A20" t="str">
        <v>gear-induction</v>
      </c>
      <c r="B20" t="str">
        <v>Gear Induction Hardening Cell (RF + quench + temper)</v>
      </c>
      <c r="C20" t="str">
        <v>UK</v>
      </c>
      <c r="D20">
        <f>IF($O20&gt;0,$O20*4000*0.8,62000)</f>
        <v>62000</v>
      </c>
      <c r="E20">
        <f>IF($O20&gt;0,0,26000)</f>
        <v>26000</v>
      </c>
      <c r="F20">
        <f>IF($O20&gt;0,0,42000)</f>
        <v>42000</v>
      </c>
      <c r="G20">
        <f>IF($O20&gt;0,0,9000)</f>
        <v>9000</v>
      </c>
      <c r="H20">
        <f>IF($O20&gt;0,0,20000)</f>
        <v>20000</v>
      </c>
      <c r="I20">
        <f>IF($O20&gt;0,0,15000)</f>
        <v>15000</v>
      </c>
      <c r="J20">
        <v>4000</v>
      </c>
      <c r="K20">
        <v>0.8</v>
      </c>
      <c r="L20" t="str">
        <v>2026-06-14</v>
      </c>
      <c r="M20" t="str">
        <f>IF($O20&gt;0,"JLR flat rate "&amp;TEXT($O20,"0.00")&amp;" per hr — build-up not supplied","REPRESENTATIVE — UK gear induction hardening cell. Energy-heavy (RF generator + quench recirculation). Target ~£55/hr. Replace with plant data.")</f>
        <v>REPRESENTATIVE — UK gear induction hardening cell. Energy-heavy (RF generator + quench recirculation). Target ~£55/hr. Replace with plant data.</v>
      </c>
      <c r="N20" t="str">
        <v>Medium</v>
      </c>
      <c r="O20">
        <f>IFERROR(IF(OR(INDEX(Mapping!$C:$C,MATCH($A20,Mapping!$A:$A,0))="",INDEX(JLRrates!$C:$C,MATCH(INDEX(Mapping!$C:$C,MATCH($A20,Mapping!$A:$A,0)),JLRrates!$B:$B,0))=""),0,INDEX(JLRrates!$C:$C,MATCH(INDEX(Mapping!$C:$C,MATCH($A20,Mapping!$A:$A,0)),JLRrates!$B:$B,0))),0)</f>
        <v>0</v>
      </c>
    </row>
    <row r="21">
      <c r="A21" t="str">
        <v>gear-checker</v>
      </c>
      <c r="B21" t="str">
        <v>CNC Gear Checker (profile / lead / pitch)</v>
      </c>
      <c r="C21" t="str">
        <v>UK</v>
      </c>
      <c r="D21">
        <f>IF($O21&gt;0,$O21*4000*0.65,58000)</f>
        <v>58000</v>
      </c>
      <c r="E21">
        <f>IF($O21&gt;0,0,22000)</f>
        <v>22000</v>
      </c>
      <c r="F21">
        <f>IF($O21&gt;0,0,10000)</f>
        <v>10000</v>
      </c>
      <c r="G21">
        <f>IF($O21&gt;0,0,12000)</f>
        <v>12000</v>
      </c>
      <c r="H21">
        <f>IF($O21&gt;0,0,30000)</f>
        <v>30000</v>
      </c>
      <c r="I21">
        <f>IF($O21&gt;0,0,15000)</f>
        <v>15000</v>
      </c>
      <c r="J21">
        <v>4000</v>
      </c>
      <c r="K21">
        <v>0.65</v>
      </c>
      <c r="L21" t="str">
        <v>2026-06-14</v>
      </c>
      <c r="M21" t="str">
        <f>IF($O21&gt;0,"JLR flat rate "&amp;TEXT($O21,"0.00")&amp;" per hr — build-up not supplied","REPRESENTATIVE — UK CNC gear metrology class (Klingelnberg/Gleason type). Target ~£56/hr. Replace with plant data.")</f>
        <v>REPRESENTATIVE — UK CNC gear metrology class (Klingelnberg/Gleason type). Target ~£56/hr. Replace with plant data.</v>
      </c>
      <c r="N21" t="str">
        <v>Medium</v>
      </c>
      <c r="O21">
        <f>IFERROR(IF(OR(INDEX(Mapping!$C:$C,MATCH($A21,Mapping!$A:$A,0))="",INDEX(JLRrates!$C:$C,MATCH(INDEX(Mapping!$C:$C,MATCH($A21,Mapping!$A:$A,0)),JLRrates!$B:$B,0))=""),0,INDEX(JLRrates!$C:$C,MATCH(INDEX(Mapping!$C:$C,MATCH($A21,Mapping!$A:$A,0)),JLRrates!$B:$B,0))),0)</f>
        <v>0</v>
      </c>
    </row>
    <row r="22">
      <c r="A22" t="str">
        <v>bench-assembly</v>
      </c>
      <c r="B22" t="str">
        <v>Assembly Workbench</v>
      </c>
      <c r="C22" t="str">
        <v>UK</v>
      </c>
      <c r="D22">
        <f>IF($O22&gt;0,$O22*4000*0.85,500)</f>
        <v>500</v>
      </c>
      <c r="E22">
        <f>IF($O22&gt;0,0,200)</f>
        <v>200</v>
      </c>
      <c r="F22">
        <f>IF($O22&gt;0,0,300)</f>
        <v>300</v>
      </c>
      <c r="G22">
        <f>IF($O22&gt;0,0,800)</f>
        <v>800</v>
      </c>
      <c r="H22">
        <f>IF($O22&gt;0,0,500)</f>
        <v>500</v>
      </c>
      <c r="I22">
        <f>IF($O22&gt;0,0,50)</f>
        <v>50</v>
      </c>
      <c r="J22">
        <v>4000</v>
      </c>
      <c r="K22">
        <v>0.85</v>
      </c>
      <c r="L22" t="str">
        <v>2026-06-14</v>
      </c>
      <c r="M22" t="str">
        <f>IF($O22&gt;0,"JLR flat rate "&amp;TEXT($O22,"0.00")&amp;" per hr — build-up not supplied","Assembly bench — low machine rate; cost primarily driven by labour")</f>
        <v>Assembly bench — low machine rate; cost primarily driven by labour</v>
      </c>
      <c r="N22" t="str">
        <v>Medium</v>
      </c>
      <c r="O22">
        <f>IFERROR(IF(OR(INDEX(Mapping!$C:$C,MATCH($A22,Mapping!$A:$A,0))="",INDEX(JLRrates!$C:$C,MATCH(INDEX(Mapping!$C:$C,MATCH($A22,Mapping!$A:$A,0)),JLRrates!$B:$B,0))=""),0,INDEX(JLRrates!$C:$C,MATCH(INDEX(Mapping!$C:$C,MATCH($A22,Mapping!$A:$A,0)),JLRrates!$B:$B,0))),0)</f>
        <v>0</v>
      </c>
    </row>
    <row r="23">
      <c r="A23" t="str">
        <v>mach-haas-vf2</v>
      </c>
      <c r="B23" t="str">
        <v>HAAS VF-2 (3-axis Mill)</v>
      </c>
      <c r="C23" t="str">
        <v>UK</v>
      </c>
      <c r="D23">
        <f>IF($O23&gt;0,$O23*4000*0.5,38000)</f>
        <v>38000</v>
      </c>
      <c r="E23">
        <f>IF($O23&gt;0,0,18000)</f>
        <v>18000</v>
      </c>
      <c r="F23">
        <f>IF($O23&gt;0,0,10500)</f>
        <v>10500</v>
      </c>
      <c r="G23">
        <f>IF($O23&gt;0,0,5000)</f>
        <v>5000</v>
      </c>
      <c r="H23">
        <f>IF($O23&gt;0,0,9500)</f>
        <v>9500</v>
      </c>
      <c r="I23">
        <f>IF($O23&gt;0,0,9000)</f>
        <v>9000</v>
      </c>
      <c r="J23">
        <v>4000</v>
      </c>
      <c r="K23">
        <v>0.5</v>
      </c>
      <c r="L23" t="str">
        <v>2026-06-14</v>
      </c>
      <c r="M23" t="str">
        <f>IF($O23&gt;0,"JLR flat rate "&amp;TEXT($O23,"0.00")&amp;" per hr — build-up not supplied","HAAS VF-2 benchmark, UK Tier-2 machining shop")</f>
        <v>HAAS VF-2 benchmark, UK Tier-2 machining shop</v>
      </c>
      <c r="N23" t="str">
        <v>Medium</v>
      </c>
      <c r="O23">
        <f>IFERROR(IF(OR(INDEX(Mapping!$C:$C,MATCH($A23,Mapping!$A:$A,0))="",INDEX(JLRrates!$C:$C,MATCH(INDEX(Mapping!$C:$C,MATCH($A23,Mapping!$A:$A,0)),JLRrates!$B:$B,0))=""),0,INDEX(JLRrates!$C:$C,MATCH(INDEX(Mapping!$C:$C,MATCH($A23,Mapping!$A:$A,0)),JLRrates!$B:$B,0))),0)</f>
        <v>0</v>
      </c>
    </row>
    <row r="24">
      <c r="A24" t="str">
        <v>mach-dmg-dmu50</v>
      </c>
      <c r="B24" t="str">
        <v>DMG Mori DMU 50 (5-axis Mill)</v>
      </c>
      <c r="C24" t="str">
        <v>UK</v>
      </c>
      <c r="D24">
        <f>IF($O24&gt;0,$O24*4000*0.5,85000)</f>
        <v>85000</v>
      </c>
      <c r="E24">
        <f>IF($O24&gt;0,0,35000)</f>
        <v>35000</v>
      </c>
      <c r="F24">
        <f>IF($O24&gt;0,0,20000)</f>
        <v>20000</v>
      </c>
      <c r="G24">
        <f>IF($O24&gt;0,0,8000)</f>
        <v>8000</v>
      </c>
      <c r="H24">
        <f>IF($O24&gt;0,0,22000)</f>
        <v>22000</v>
      </c>
      <c r="I24">
        <f>IF($O24&gt;0,0,20000)</f>
        <v>20000</v>
      </c>
      <c r="J24">
        <v>4000</v>
      </c>
      <c r="K24">
        <v>0.5</v>
      </c>
      <c r="L24" t="str">
        <v>2026-06-14</v>
      </c>
      <c r="M24" t="str">
        <f>IF($O24&gt;0,"JLR flat rate "&amp;TEXT($O24,"0.00")&amp;" per hr — build-up not supplied","DMG Mori DMU 50 benchmark, UK Tier-1 precision shop")</f>
        <v>DMG Mori DMU 50 benchmark, UK Tier-1 precision shop</v>
      </c>
      <c r="N24" t="str">
        <v>Medium</v>
      </c>
      <c r="O24">
        <f>IFERROR(IF(OR(INDEX(Mapping!$C:$C,MATCH($A24,Mapping!$A:$A,0))="",INDEX(JLRrates!$C:$C,MATCH(INDEX(Mapping!$C:$C,MATCH($A24,Mapping!$A:$A,0)),JLRrates!$B:$B,0))=""),0,INDEX(JLRrates!$C:$C,MATCH(INDEX(Mapping!$C:$C,MATCH($A24,Mapping!$A:$A,0)),JLRrates!$B:$B,0))),0)</f>
        <v>0</v>
      </c>
    </row>
    <row r="25">
      <c r="A25" t="str">
        <v>mach-haas-umc500</v>
      </c>
      <c r="B25" t="str">
        <v>HAAS UMC-500 (5-axis Mill)</v>
      </c>
      <c r="C25" t="str">
        <v>UK</v>
      </c>
      <c r="D25">
        <f>IF($O25&gt;0,$O25*4000*0.5,65000)</f>
        <v>65000</v>
      </c>
      <c r="E25">
        <f>IF($O25&gt;0,0,28000)</f>
        <v>28000</v>
      </c>
      <c r="F25">
        <f>IF($O25&gt;0,0,16000)</f>
        <v>16000</v>
      </c>
      <c r="G25">
        <f>IF($O25&gt;0,0,7000)</f>
        <v>7000</v>
      </c>
      <c r="H25">
        <f>IF($O25&gt;0,0,18000)</f>
        <v>18000</v>
      </c>
      <c r="I25">
        <f>IF($O25&gt;0,0,16000)</f>
        <v>16000</v>
      </c>
      <c r="J25">
        <v>4000</v>
      </c>
      <c r="K25">
        <v>0.5</v>
      </c>
      <c r="L25" t="str">
        <v>2026-06-14</v>
      </c>
      <c r="M25" t="str">
        <f>IF($O25&gt;0,"JLR flat rate "&amp;TEXT($O25,"0.00")&amp;" per hr — build-up not supplied","HAAS UMC-500 benchmark, UK Tier-2 machining shop")</f>
        <v>HAAS UMC-500 benchmark, UK Tier-2 machining shop</v>
      </c>
      <c r="N25" t="str">
        <v>Medium</v>
      </c>
      <c r="O25">
        <f>IFERROR(IF(OR(INDEX(Mapping!$C:$C,MATCH($A25,Mapping!$A:$A,0))="",INDEX(JLRrates!$C:$C,MATCH(INDEX(Mapping!$C:$C,MATCH($A25,Mapping!$A:$A,0)),JLRrates!$B:$B,0))=""),0,INDEX(JLRrates!$C:$C,MATCH(INDEX(Mapping!$C:$C,MATCH($A25,Mapping!$A:$A,0)),JLRrates!$B:$B,0))),0)</f>
        <v>0</v>
      </c>
    </row>
    <row r="26">
      <c r="A26" t="str">
        <v>mach-mazak-qt200</v>
      </c>
      <c r="B26" t="str">
        <v>Mazak Quick Turn 200 (Turning)</v>
      </c>
      <c r="C26" t="str">
        <v>UK</v>
      </c>
      <c r="D26">
        <f>IF($O26&gt;0,$O26*4000*0.5,42000)</f>
        <v>42000</v>
      </c>
      <c r="E26">
        <f>IF($O26&gt;0,0,20000)</f>
        <v>20000</v>
      </c>
      <c r="F26">
        <f>IF($O26&gt;0,0,11000)</f>
        <v>11000</v>
      </c>
      <c r="G26">
        <f>IF($O26&gt;0,0,5000)</f>
        <v>5000</v>
      </c>
      <c r="H26">
        <f>IF($O26&gt;0,0,12000)</f>
        <v>12000</v>
      </c>
      <c r="I26">
        <f>IF($O26&gt;0,0,10000)</f>
        <v>10000</v>
      </c>
      <c r="J26">
        <v>4000</v>
      </c>
      <c r="K26">
        <v>0.5</v>
      </c>
      <c r="L26" t="str">
        <v>2026-06-14</v>
      </c>
      <c r="M26" t="str">
        <f>IF($O26&gt;0,"JLR flat rate "&amp;TEXT($O26,"0.00")&amp;" per hr — build-up not supplied","Mazak Quick Turn 200 benchmark, UK Tier-2 machining shop")</f>
        <v>Mazak Quick Turn 200 benchmark, UK Tier-2 machining shop</v>
      </c>
      <c r="N26" t="str">
        <v>Medium</v>
      </c>
      <c r="O26">
        <f>IFERROR(IF(OR(INDEX(Mapping!$C:$C,MATCH($A26,Mapping!$A:$A,0))="",INDEX(JLRrates!$C:$C,MATCH(INDEX(Mapping!$C:$C,MATCH($A26,Mapping!$A:$A,0)),JLRrates!$B:$B,0))=""),0,INDEX(JLRrates!$C:$C,MATCH(INDEX(Mapping!$C:$C,MATCH($A26,Mapping!$A:$A,0)),JLRrates!$B:$B,0))),0)</f>
        <v>0</v>
      </c>
    </row>
    <row r="27">
      <c r="A27" t="str">
        <v>grav-die-cast-std</v>
      </c>
      <c r="B27" t="str">
        <v>Gravity Die Casting Machine</v>
      </c>
      <c r="C27" t="str">
        <v>UK</v>
      </c>
      <c r="D27">
        <f>IF($O27&gt;0,$O27*4000*0.5,28000)</f>
        <v>28000</v>
      </c>
      <c r="E27">
        <f>IF($O27&gt;0,0,14000)</f>
        <v>14000</v>
      </c>
      <c r="F27">
        <f>IF($O27&gt;0,0,10000)</f>
        <v>10000</v>
      </c>
      <c r="G27">
        <f>IF($O27&gt;0,0,8000)</f>
        <v>8000</v>
      </c>
      <c r="H27">
        <f>IF($O27&gt;0,0,9000)</f>
        <v>9000</v>
      </c>
      <c r="I27">
        <f>IF($O27&gt;0,0,7000)</f>
        <v>7000</v>
      </c>
      <c r="J27">
        <v>4000</v>
      </c>
      <c r="K27">
        <v>0.5</v>
      </c>
      <c r="L27" t="str">
        <v>2026-06-14</v>
      </c>
      <c r="M27" t="str">
        <f>IF($O27&gt;0,"JLR flat rate "&amp;TEXT($O27,"0.00")&amp;" per hr — build-up not supplied","Standard gravity die casting machine, UK foundry benchmark")</f>
        <v>Standard gravity die casting machine, UK foundry benchmark</v>
      </c>
      <c r="N27" t="str">
        <v>Medium</v>
      </c>
      <c r="O27">
        <f>IFERROR(IF(OR(INDEX(Mapping!$C:$C,MATCH($A27,Mapping!$A:$A,0))="",INDEX(JLRrates!$C:$C,MATCH(INDEX(Mapping!$C:$C,MATCH($A27,Mapping!$A:$A,0)),JLRrates!$B:$B,0))=""),0,INDEX(JLRrates!$C:$C,MATCH(INDEX(Mapping!$C:$C,MATCH($A27,Mapping!$A:$A,0)),JLRrates!$B:$B,0))),0)</f>
        <v>0</v>
      </c>
    </row>
    <row r="28">
      <c r="A28" t="str">
        <v>invest-cast-furnace</v>
      </c>
      <c r="B28" t="str">
        <v>Investment Casting Furnace</v>
      </c>
      <c r="C28" t="str">
        <v>UK</v>
      </c>
      <c r="D28">
        <f>IF($O28&gt;0,$O28*4000*0.6,40000)</f>
        <v>40000</v>
      </c>
      <c r="E28">
        <f>IF($O28&gt;0,0,16000)</f>
        <v>16000</v>
      </c>
      <c r="F28">
        <f>IF($O28&gt;0,0,18000)</f>
        <v>18000</v>
      </c>
      <c r="G28">
        <f>IF($O28&gt;0,0,8000)</f>
        <v>8000</v>
      </c>
      <c r="H28">
        <f>IF($O28&gt;0,0,9600)</f>
        <v>9600</v>
      </c>
      <c r="I28">
        <f>IF($O28&gt;0,0,8400)</f>
        <v>8400</v>
      </c>
      <c r="J28">
        <v>4000</v>
      </c>
      <c r="K28">
        <v>0.6</v>
      </c>
      <c r="L28" t="str">
        <v>2026-06-14</v>
      </c>
      <c r="M28" t="str">
        <f>IF($O28&gt;0,"JLR flat rate "&amp;TEXT($O28,"0.00")&amp;" per hr — build-up not supplied","Investment casting furnace, UK foundry benchmark")</f>
        <v>Investment casting furnace, UK foundry benchmark</v>
      </c>
      <c r="N28" t="str">
        <v>Medium</v>
      </c>
      <c r="O28">
        <f>IFERROR(IF(OR(INDEX(Mapping!$C:$C,MATCH($A28,Mapping!$A:$A,0))="",INDEX(JLRrates!$C:$C,MATCH(INDEX(Mapping!$C:$C,MATCH($A28,Mapping!$A:$A,0)),JLRrates!$B:$B,0))=""),0,INDEX(JLRrates!$C:$C,MATCH(INDEX(Mapping!$C:$C,MATCH($A28,Mapping!$A:$A,0)),JLRrates!$B:$B,0))),0)</f>
        <v>0</v>
      </c>
    </row>
    <row r="29">
      <c r="A29" t="str">
        <v>heat-treat-furnace</v>
      </c>
      <c r="B29" t="str">
        <v>Heat Treatment / Ageing Furnace</v>
      </c>
      <c r="C29" t="str">
        <v>UK</v>
      </c>
      <c r="D29">
        <f>IF($O29&gt;0,$O29*6000*0.75,22000)</f>
        <v>22000</v>
      </c>
      <c r="E29">
        <f>IF($O29&gt;0,0,8000)</f>
        <v>8000</v>
      </c>
      <c r="F29">
        <f>IF($O29&gt;0,0,35000)</f>
        <v>35000</v>
      </c>
      <c r="G29">
        <f>IF($O29&gt;0,0,6000)</f>
        <v>6000</v>
      </c>
      <c r="H29">
        <f>IF($O29&gt;0,0,5000)</f>
        <v>5000</v>
      </c>
      <c r="I29">
        <f>IF($O29&gt;0,0,2750)</f>
        <v>2750</v>
      </c>
      <c r="J29">
        <v>6000</v>
      </c>
      <c r="K29">
        <v>0.75</v>
      </c>
      <c r="L29" t="str">
        <v>2026-06-14</v>
      </c>
      <c r="M29" t="str">
        <f>IF($O29&gt;0,"JLR flat rate "&amp;TEXT($O29,"0.00")&amp;" per hr — build-up not supplied","T5/T6 solution + ageing furnace, UK foundry benchmark")</f>
        <v>T5/T6 solution + ageing furnace, UK foundry benchmark</v>
      </c>
      <c r="N29" t="str">
        <v>Medium</v>
      </c>
      <c r="O29">
        <f>IFERROR(IF(OR(INDEX(Mapping!$C:$C,MATCH($A29,Mapping!$A:$A,0))="",INDEX(JLRrates!$C:$C,MATCH(INDEX(Mapping!$C:$C,MATCH($A29,Mapping!$A:$A,0)),JLRrates!$B:$B,0))=""),0,INDEX(JLRrates!$C:$C,MATCH(INDEX(Mapping!$C:$C,MATCH($A29,Mapping!$A:$A,0)),JLRrates!$B:$B,0))),0)</f>
        <v>0</v>
      </c>
    </row>
    <row r="30">
      <c r="A30" t="str">
        <v>press-100t</v>
      </c>
      <c r="B30" t="str">
        <v>100T Mechanical Press (general press shop)</v>
      </c>
      <c r="C30" t="str">
        <v>UK</v>
      </c>
      <c r="D30">
        <f>IF($O30&gt;0,$O30*3500*0.8,18000)</f>
        <v>18000</v>
      </c>
      <c r="E30">
        <f>IF($O30&gt;0,0,9000)</f>
        <v>9000</v>
      </c>
      <c r="F30">
        <f>IF($O30&gt;0,0,5000)</f>
        <v>5000</v>
      </c>
      <c r="G30">
        <f>IF($O30&gt;0,0,5000)</f>
        <v>5000</v>
      </c>
      <c r="H30">
        <f>IF($O30&gt;0,0,4000)</f>
        <v>4000</v>
      </c>
      <c r="I30">
        <f>IF($O30&gt;0,0,2250)</f>
        <v>2250</v>
      </c>
      <c r="J30">
        <v>3500</v>
      </c>
      <c r="K30">
        <v>0.8</v>
      </c>
      <c r="L30" t="str">
        <v>2026-06-14</v>
      </c>
      <c r="M30" t="str">
        <f>IF($O30&gt;0,"JLR flat rate "&amp;TEXT($O30,"0.00")&amp;" per hr — build-up not supplied","UK general press-shop benchmark (standard/amortised mechanical press), Jun 2026")</f>
        <v>UK general press-shop benchmark (standard/amortised mechanical press), Jun 2026</v>
      </c>
      <c r="N30" t="str">
        <v>Medium</v>
      </c>
      <c r="O30">
        <f>IFERROR(IF(OR(INDEX(Mapping!$C:$C,MATCH($A30,Mapping!$A:$A,0))="",INDEX(JLRrates!$C:$C,MATCH(INDEX(Mapping!$C:$C,MATCH($A30,Mapping!$A:$A,0)),JLRrates!$B:$B,0))=""),0,INDEX(JLRrates!$C:$C,MATCH(INDEX(Mapping!$C:$C,MATCH($A30,Mapping!$A:$A,0)),JLRrates!$B:$B,0))),0)</f>
        <v>0</v>
      </c>
    </row>
    <row r="31">
      <c r="A31" t="str">
        <v>press-200t</v>
      </c>
      <c r="B31" t="str">
        <v>200T Mechanical Press (general press shop)</v>
      </c>
      <c r="C31" t="str">
        <v>UK</v>
      </c>
      <c r="D31">
        <f>IF($O31&gt;0,$O31*3500*0.8,28000)</f>
        <v>28000</v>
      </c>
      <c r="E31">
        <f>IF($O31&gt;0,0,14000)</f>
        <v>14000</v>
      </c>
      <c r="F31">
        <f>IF($O31&gt;0,0,7500)</f>
        <v>7500</v>
      </c>
      <c r="G31">
        <f>IF($O31&gt;0,0,7500)</f>
        <v>7500</v>
      </c>
      <c r="H31">
        <f>IF($O31&gt;0,0,6000)</f>
        <v>6000</v>
      </c>
      <c r="I31">
        <f>IF($O31&gt;0,0,3500)</f>
        <v>3500</v>
      </c>
      <c r="J31">
        <v>3500</v>
      </c>
      <c r="K31">
        <v>0.8</v>
      </c>
      <c r="L31" t="str">
        <v>2026-06-14</v>
      </c>
      <c r="M31" t="str">
        <f>IF($O31&gt;0,"JLR flat rate "&amp;TEXT($O31,"0.00")&amp;" per hr — build-up not supplied","UK general press-shop benchmark (standard/amortised mechanical press), Jun 2026")</f>
        <v>UK general press-shop benchmark (standard/amortised mechanical press), Jun 2026</v>
      </c>
      <c r="N31" t="str">
        <v>Medium</v>
      </c>
      <c r="O31">
        <f>IFERROR(IF(OR(INDEX(Mapping!$C:$C,MATCH($A31,Mapping!$A:$A,0))="",INDEX(JLRrates!$C:$C,MATCH(INDEX(Mapping!$C:$C,MATCH($A31,Mapping!$A:$A,0)),JLRrates!$B:$B,0))=""),0,INDEX(JLRrates!$C:$C,MATCH(INDEX(Mapping!$C:$C,MATCH($A31,Mapping!$A:$A,0)),JLRrates!$B:$B,0))),0)</f>
        <v>0</v>
      </c>
    </row>
    <row r="32">
      <c r="A32" t="str">
        <v>press-400t</v>
      </c>
      <c r="B32" t="str">
        <v>400T Mechanical Press (general press shop)</v>
      </c>
      <c r="C32" t="str">
        <v>UK</v>
      </c>
      <c r="D32">
        <f>IF($O32&gt;0,$O32*3500*0.8,50000)</f>
        <v>50000</v>
      </c>
      <c r="E32">
        <f>IF($O32&gt;0,0,22000)</f>
        <v>22000</v>
      </c>
      <c r="F32">
        <f>IF($O32&gt;0,0,11000)</f>
        <v>11000</v>
      </c>
      <c r="G32">
        <f>IF($O32&gt;0,0,10000)</f>
        <v>10000</v>
      </c>
      <c r="H32">
        <f>IF($O32&gt;0,0,9000)</f>
        <v>9000</v>
      </c>
      <c r="I32">
        <f>IF($O32&gt;0,0,6250)</f>
        <v>6250</v>
      </c>
      <c r="J32">
        <v>3500</v>
      </c>
      <c r="K32">
        <v>0.8</v>
      </c>
      <c r="L32" t="str">
        <v>2026-06-14</v>
      </c>
      <c r="M32" t="str">
        <f>IF($O32&gt;0,"JLR flat rate "&amp;TEXT($O32,"0.00")&amp;" per hr — build-up not supplied","UK general press-shop benchmark (standard/amortised mechanical press; new servo transfer line: use press-schuler-400t), Jun 2026")</f>
        <v>UK general press-shop benchmark (standard/amortised mechanical press; new servo transfer line: use press-schuler-400t), Jun 2026</v>
      </c>
      <c r="N32" t="str">
        <v>Medium</v>
      </c>
      <c r="O32">
        <f>IFERROR(IF(OR(INDEX(Mapping!$C:$C,MATCH($A32,Mapping!$A:$A,0))="",INDEX(JLRrates!$C:$C,MATCH(INDEX(Mapping!$C:$C,MATCH($A32,Mapping!$A:$A,0)),JLRrates!$B:$B,0))=""),0,INDEX(JLRrates!$C:$C,MATCH(INDEX(Mapping!$C:$C,MATCH($A32,Mapping!$A:$A,0)),JLRrates!$B:$B,0))),0)</f>
        <v>0</v>
      </c>
    </row>
    <row r="33">
      <c r="A33" t="str">
        <v>press-630t</v>
      </c>
      <c r="B33" t="str">
        <v>630T Mechanical Press (general press shop)</v>
      </c>
      <c r="C33" t="str">
        <v>UK</v>
      </c>
      <c r="D33">
        <f>IF($O33&gt;0,$O33*3500*0.78,75000)</f>
        <v>75000</v>
      </c>
      <c r="E33">
        <f>IF($O33&gt;0,0,35000)</f>
        <v>35000</v>
      </c>
      <c r="F33">
        <f>IF($O33&gt;0,0,15000)</f>
        <v>15000</v>
      </c>
      <c r="G33">
        <f>IF($O33&gt;0,0,15000)</f>
        <v>15000</v>
      </c>
      <c r="H33">
        <f>IF($O33&gt;0,0,14000)</f>
        <v>14000</v>
      </c>
      <c r="I33">
        <f>IF($O33&gt;0,0,9375)</f>
        <v>9375</v>
      </c>
      <c r="J33">
        <v>3500</v>
      </c>
      <c r="K33">
        <v>0.78</v>
      </c>
      <c r="L33" t="str">
        <v>2026-06-14</v>
      </c>
      <c r="M33" t="str">
        <f>IF($O33&gt;0,"JLR flat rate "&amp;TEXT($O33,"0.00")&amp;" per hr — build-up not supplied","UK general press-shop benchmark (standard/amortised mechanical press), Jun 2026")</f>
        <v>UK general press-shop benchmark (standard/amortised mechanical press), Jun 2026</v>
      </c>
      <c r="N33" t="str">
        <v>Medium</v>
      </c>
      <c r="O33">
        <f>IFERROR(IF(OR(INDEX(Mapping!$C:$C,MATCH($A33,Mapping!$A:$A,0))="",INDEX(JLRrates!$C:$C,MATCH(INDEX(Mapping!$C:$C,MATCH($A33,Mapping!$A:$A,0)),JLRrates!$B:$B,0))=""),0,INDEX(JLRrates!$C:$C,MATCH(INDEX(Mapping!$C:$C,MATCH($A33,Mapping!$A:$A,0)),JLRrates!$B:$B,0))),0)</f>
        <v>0</v>
      </c>
    </row>
    <row r="34">
      <c r="A34" t="str">
        <v>press-800t</v>
      </c>
      <c r="B34" t="str">
        <v>800T Mechanical Press (general press shop)</v>
      </c>
      <c r="C34" t="str">
        <v>UK</v>
      </c>
      <c r="D34">
        <f>IF($O34&gt;0,$O34*3500*0.78,90000)</f>
        <v>90000</v>
      </c>
      <c r="E34">
        <f>IF($O34&gt;0,0,42000)</f>
        <v>42000</v>
      </c>
      <c r="F34">
        <f>IF($O34&gt;0,0,18000)</f>
        <v>18000</v>
      </c>
      <c r="G34">
        <f>IF($O34&gt;0,0,18000)</f>
        <v>18000</v>
      </c>
      <c r="H34">
        <f>IF($O34&gt;0,0,16000)</f>
        <v>16000</v>
      </c>
      <c r="I34">
        <f>IF($O34&gt;0,0,11250)</f>
        <v>11250</v>
      </c>
      <c r="J34">
        <v>3500</v>
      </c>
      <c r="K34">
        <v>0.78</v>
      </c>
      <c r="L34" t="str">
        <v>2026-06-14</v>
      </c>
      <c r="M34" t="str">
        <f>IF($O34&gt;0,"JLR flat rate "&amp;TEXT($O34,"0.00")&amp;" per hr — build-up not supplied","UK general press-shop benchmark (standard/amortised mechanical press), Jun 2026")</f>
        <v>UK general press-shop benchmark (standard/amortised mechanical press), Jun 2026</v>
      </c>
      <c r="N34" t="str">
        <v>Medium</v>
      </c>
      <c r="O34">
        <f>IFERROR(IF(OR(INDEX(Mapping!$C:$C,MATCH($A34,Mapping!$A:$A,0))="",INDEX(JLRrates!$C:$C,MATCH(INDEX(Mapping!$C:$C,MATCH($A34,Mapping!$A:$A,0)),JLRrates!$B:$B,0))=""),0,INDEX(JLRrates!$C:$C,MATCH(INDEX(Mapping!$C:$C,MATCH($A34,Mapping!$A:$A,0)),JLRrates!$B:$B,0))),0)</f>
        <v>0</v>
      </c>
    </row>
    <row r="35">
      <c r="A35" t="str">
        <v>press-1000t</v>
      </c>
      <c r="B35" t="str">
        <v>1000T Mechanical Press (general press shop)</v>
      </c>
      <c r="C35" t="str">
        <v>UK</v>
      </c>
      <c r="D35">
        <f>IF($O35&gt;0,$O35*3500*0.78,115000)</f>
        <v>115000</v>
      </c>
      <c r="E35">
        <f>IF($O35&gt;0,0,52000)</f>
        <v>52000</v>
      </c>
      <c r="F35">
        <f>IF($O35&gt;0,0,22000)</f>
        <v>22000</v>
      </c>
      <c r="G35">
        <f>IF($O35&gt;0,0,22000)</f>
        <v>22000</v>
      </c>
      <c r="H35">
        <f>IF($O35&gt;0,0,20000)</f>
        <v>20000</v>
      </c>
      <c r="I35">
        <f>IF($O35&gt;0,0,14375)</f>
        <v>14375</v>
      </c>
      <c r="J35">
        <v>3500</v>
      </c>
      <c r="K35">
        <v>0.78</v>
      </c>
      <c r="L35" t="str">
        <v>2026-06-14</v>
      </c>
      <c r="M35" t="str">
        <f>IF($O35&gt;0,"JLR flat rate "&amp;TEXT($O35,"0.00")&amp;" per hr — build-up not supplied","UK general press-shop benchmark (large stamping press — deep-draw panels, structural), Jun 2026")</f>
        <v>UK general press-shop benchmark (large stamping press — deep-draw panels, structural), Jun 2026</v>
      </c>
      <c r="N35" t="str">
        <v>Medium</v>
      </c>
      <c r="O35">
        <f>IFERROR(IF(OR(INDEX(Mapping!$C:$C,MATCH($A35,Mapping!$A:$A,0))="",INDEX(JLRrates!$C:$C,MATCH(INDEX(Mapping!$C:$C,MATCH($A35,Mapping!$A:$A,0)),JLRrates!$B:$B,0))=""),0,INDEX(JLRrates!$C:$C,MATCH(INDEX(Mapping!$C:$C,MATCH($A35,Mapping!$A:$A,0)),JLRrates!$B:$B,0))),0)</f>
        <v>0</v>
      </c>
    </row>
    <row r="36">
      <c r="A36" t="str">
        <v>press-1250t</v>
      </c>
      <c r="B36" t="str">
        <v>1250T Mechanical Press (general press shop)</v>
      </c>
      <c r="C36" t="str">
        <v>UK</v>
      </c>
      <c r="D36">
        <f>IF($O36&gt;0,$O36*3500*0.78,145000)</f>
        <v>145000</v>
      </c>
      <c r="E36">
        <f>IF($O36&gt;0,0,65000)</f>
        <v>65000</v>
      </c>
      <c r="F36">
        <f>IF($O36&gt;0,0,27000)</f>
        <v>27000</v>
      </c>
      <c r="G36">
        <f>IF($O36&gt;0,0,26000)</f>
        <v>26000</v>
      </c>
      <c r="H36">
        <f>IF($O36&gt;0,0,24000)</f>
        <v>24000</v>
      </c>
      <c r="I36">
        <f>IF($O36&gt;0,0,18125)</f>
        <v>18125</v>
      </c>
      <c r="J36">
        <v>3500</v>
      </c>
      <c r="K36">
        <v>0.78</v>
      </c>
      <c r="L36" t="str">
        <v>2026-06-14</v>
      </c>
      <c r="M36" t="str">
        <f>IF($O36&gt;0,"JLR flat rate "&amp;TEXT($O36,"0.00")&amp;" per hr — build-up not supplied","UK general press-shop benchmark (heavy stamping press — large body/chassis panels), Jun 2026")</f>
        <v>UK general press-shop benchmark (heavy stamping press — large body/chassis panels), Jun 2026</v>
      </c>
      <c r="N36" t="str">
        <v>Medium</v>
      </c>
      <c r="O36">
        <f>IFERROR(IF(OR(INDEX(Mapping!$C:$C,MATCH($A36,Mapping!$A:$A,0))="",INDEX(JLRrates!$C:$C,MATCH(INDEX(Mapping!$C:$C,MATCH($A36,Mapping!$A:$A,0)),JLRrates!$B:$B,0))=""),0,INDEX(JLRrates!$C:$C,MATCH(INDEX(Mapping!$C:$C,MATCH($A36,Mapping!$A:$A,0)),JLRrates!$B:$B,0))),0)</f>
        <v>0</v>
      </c>
    </row>
    <row r="37">
      <c r="A37" t="str">
        <v>press-fineblank-250t</v>
      </c>
      <c r="B37" t="str">
        <v>250T Fine-Blanking Press (triple-action)</v>
      </c>
      <c r="C37" t="str">
        <v>UK</v>
      </c>
      <c r="D37">
        <f>IF($O37&gt;0,$O37*3500*0.8,60000)</f>
        <v>60000</v>
      </c>
      <c r="E37">
        <f>IF($O37&gt;0,0,28000)</f>
        <v>28000</v>
      </c>
      <c r="F37">
        <f>IF($O37&gt;0,0,12000)</f>
        <v>12000</v>
      </c>
      <c r="G37">
        <f>IF($O37&gt;0,0,12000)</f>
        <v>12000</v>
      </c>
      <c r="H37">
        <f>IF($O37&gt;0,0,11000)</f>
        <v>11000</v>
      </c>
      <c r="I37">
        <f>IF($O37&gt;0,0,7500)</f>
        <v>7500</v>
      </c>
      <c r="J37">
        <v>3500</v>
      </c>
      <c r="K37">
        <v>0.8</v>
      </c>
      <c r="L37" t="str">
        <v>2026-06-14</v>
      </c>
      <c r="M37" t="str">
        <f>IF($O37&gt;0,"JLR flat rate "&amp;TEXT($O37,"0.00")&amp;" per hr — build-up not supplied","UK fine-blanking benchmark. Triple-action FB press — full-shear precision edges (gears, levers, seat recliners). Jun 2026")</f>
        <v>UK fine-blanking benchmark. Triple-action FB press — full-shear precision edges (gears, levers, seat recliners). Jun 2026</v>
      </c>
      <c r="N37" t="str">
        <v>Medium</v>
      </c>
      <c r="O37">
        <f>IFERROR(IF(OR(INDEX(Mapping!$C:$C,MATCH($A37,Mapping!$A:$A,0))="",INDEX(JLRrates!$C:$C,MATCH(INDEX(Mapping!$C:$C,MATCH($A37,Mapping!$A:$A,0)),JLRrates!$B:$B,0))=""),0,INDEX(JLRrates!$C:$C,MATCH(INDEX(Mapping!$C:$C,MATCH($A37,Mapping!$A:$A,0)),JLRrates!$B:$B,0))),0)</f>
        <v>0</v>
      </c>
    </row>
    <row r="38">
      <c r="A38" t="str">
        <v>press-hotstamp-1000t</v>
      </c>
      <c r="B38" t="str">
        <v>1000T Hot-Stamping Press (water-cooled dies)</v>
      </c>
      <c r="C38" t="str">
        <v>UK</v>
      </c>
      <c r="D38">
        <f>IF($O38&gt;0,$O38*3500*0.75,180000)</f>
        <v>180000</v>
      </c>
      <c r="E38">
        <f>IF($O38&gt;0,0,80000)</f>
        <v>80000</v>
      </c>
      <c r="F38">
        <f>IF($O38&gt;0,0,30000)</f>
        <v>30000</v>
      </c>
      <c r="G38">
        <f>IF($O38&gt;0,0,25000)</f>
        <v>25000</v>
      </c>
      <c r="H38">
        <f>IF($O38&gt;0,0,24000)</f>
        <v>24000</v>
      </c>
      <c r="I38">
        <f>IF($O38&gt;0,0,22500)</f>
        <v>22500</v>
      </c>
      <c r="J38">
        <v>3500</v>
      </c>
      <c r="K38">
        <v>0.75</v>
      </c>
      <c r="L38" t="str">
        <v>2026-06-14</v>
      </c>
      <c r="M38" t="str">
        <f>IF($O38&gt;0,"JLR flat rate "&amp;TEXT($O38,"0.00")&amp;" per hr — build-up not supplied","UK hot-stamping line press. Forms + quenches austenitised boron blanks in water-cooled dies (B-pillar, rocker). Quench-dwell limited. Jun 2026")</f>
        <v>UK hot-stamping line press. Forms + quenches austenitised boron blanks in water-cooled dies (B-pillar, rocker). Quench-dwell limited. Jun 2026</v>
      </c>
      <c r="N38" t="str">
        <v>Medium</v>
      </c>
      <c r="O38">
        <f>IFERROR(IF(OR(INDEX(Mapping!$C:$C,MATCH($A38,Mapping!$A:$A,0))="",INDEX(JLRrates!$C:$C,MATCH(INDEX(Mapping!$C:$C,MATCH($A38,Mapping!$A:$A,0)),JLRrates!$B:$B,0))=""),0,INDEX(JLRrates!$C:$C,MATCH(INDEX(Mapping!$C:$C,MATCH($A38,Mapping!$A:$A,0)),JLRrates!$B:$B,0))),0)</f>
        <v>0</v>
      </c>
    </row>
    <row r="39">
      <c r="A39" t="str">
        <v>furnace-roller-hearth</v>
      </c>
      <c r="B39" t="str">
        <v>Roller-Hearth Austenitising Furnace (hot stamping)</v>
      </c>
      <c r="C39" t="str">
        <v>UK</v>
      </c>
      <c r="D39">
        <f>IF($O39&gt;0,$O39*6000*0.8,90000)</f>
        <v>90000</v>
      </c>
      <c r="E39">
        <f>IF($O39&gt;0,0,40000)</f>
        <v>40000</v>
      </c>
      <c r="F39">
        <f>IF($O39&gt;0,0,50000)</f>
        <v>50000</v>
      </c>
      <c r="G39">
        <f>IF($O39&gt;0,0,40000)</f>
        <v>40000</v>
      </c>
      <c r="H39">
        <f>IF($O39&gt;0,0,20000)</f>
        <v>20000</v>
      </c>
      <c r="I39">
        <f>IF($O39&gt;0,0,11250)</f>
        <v>11250</v>
      </c>
      <c r="J39">
        <v>6000</v>
      </c>
      <c r="K39">
        <v>0.8</v>
      </c>
      <c r="L39" t="str">
        <v>2026-06-14</v>
      </c>
      <c r="M39" t="str">
        <f>IF($O39&gt;0,"JLR flat rate "&amp;TEXT($O39,"0.00")&amp;" per hr — build-up not supplied","UK hot-stamping furnace. ~900–950°C austenitising roller hearth. Capital/standby only — per-part austenitising heat is a separate energy consumable. Jun 2026")</f>
        <v>UK hot-stamping furnace. ~900–950°C austenitising roller hearth. Capital/standby only — per-part austenitising heat is a separate energy consumable. Jun 2026</v>
      </c>
      <c r="N39" t="str">
        <v>Medium</v>
      </c>
      <c r="O39">
        <f>IFERROR(IF(OR(INDEX(Mapping!$C:$C,MATCH($A39,Mapping!$A:$A,0))="",INDEX(JLRrates!$C:$C,MATCH(INDEX(Mapping!$C:$C,MATCH($A39,Mapping!$A:$A,0)),JLRrates!$B:$B,0))=""),0,INDEX(JLRrates!$C:$C,MATCH(INDEX(Mapping!$C:$C,MATCH($A39,Mapping!$A:$A,0)),JLRrates!$B:$B,0))),0)</f>
        <v>0</v>
      </c>
    </row>
    <row r="40">
      <c r="A40" t="str">
        <v>notching-machine</v>
      </c>
      <c r="B40" t="str">
        <v>CNC Notching Machine (laminations)</v>
      </c>
      <c r="C40" t="str">
        <v>UK</v>
      </c>
      <c r="D40">
        <f>IF($O40&gt;0,$O40*4000*0.75,40000)</f>
        <v>40000</v>
      </c>
      <c r="E40">
        <f>IF($O40&gt;0,0,18000)</f>
        <v>18000</v>
      </c>
      <c r="F40">
        <f>IF($O40&gt;0,0,10000)</f>
        <v>10000</v>
      </c>
      <c r="G40">
        <f>IF($O40&gt;0,0,10000)</f>
        <v>10000</v>
      </c>
      <c r="H40">
        <f>IF($O40&gt;0,0,9000)</f>
        <v>9000</v>
      </c>
      <c r="I40">
        <f>IF($O40&gt;0,0,5000)</f>
        <v>5000</v>
      </c>
      <c r="J40">
        <v>4000</v>
      </c>
      <c r="K40">
        <v>0.75</v>
      </c>
      <c r="L40" t="str">
        <v>2026-06-14</v>
      </c>
      <c r="M40" t="str">
        <f>IF($O40&gt;0,"JLR flat rate "&amp;TEXT($O40,"0.00")&amp;" per hr — build-up not supplied","UK electrical-steel benchmark. Single-slot rotary notching for prototype / low-volume stator &amp; rotor laminations (no hard progressive die). Jun 2026")</f>
        <v>UK electrical-steel benchmark. Single-slot rotary notching for prototype / low-volume stator &amp; rotor laminations (no hard progressive die). Jun 2026</v>
      </c>
      <c r="N40" t="str">
        <v>Medium</v>
      </c>
      <c r="O40">
        <f>IFERROR(IF(OR(INDEX(Mapping!$C:$C,MATCH($A40,Mapping!$A:$A,0))="",INDEX(JLRrates!$C:$C,MATCH(INDEX(Mapping!$C:$C,MATCH($A40,Mapping!$A:$A,0)),JLRrates!$B:$B,0))=""),0,INDEX(JLRrates!$C:$C,MATCH(INDEX(Mapping!$C:$C,MATCH($A40,Mapping!$A:$A,0)),JLRrates!$B:$B,0))),0)</f>
        <v>0</v>
      </c>
    </row>
    <row r="41">
      <c r="A41" t="str">
        <v>lamination-anneal-furnace</v>
      </c>
      <c r="B41" t="str">
        <v>Stress-Relief Annealing Furnace (laminations)</v>
      </c>
      <c r="C41" t="str">
        <v>UK</v>
      </c>
      <c r="D41">
        <f>IF($O41&gt;0,$O41*6000*0.8,70000)</f>
        <v>70000</v>
      </c>
      <c r="E41">
        <f>IF($O41&gt;0,0,30000)</f>
        <v>30000</v>
      </c>
      <c r="F41">
        <f>IF($O41&gt;0,0,40000)</f>
        <v>40000</v>
      </c>
      <c r="G41">
        <f>IF($O41&gt;0,0,20000)</f>
        <v>20000</v>
      </c>
      <c r="H41">
        <f>IF($O41&gt;0,0,15000)</f>
        <v>15000</v>
      </c>
      <c r="I41">
        <f>IF($O41&gt;0,0,8750)</f>
        <v>8750</v>
      </c>
      <c r="J41">
        <v>6000</v>
      </c>
      <c r="K41">
        <v>0.8</v>
      </c>
      <c r="L41" t="str">
        <v>2026-06-14</v>
      </c>
      <c r="M41" t="str">
        <f>IF($O41&gt;0,"JLR flat rate "&amp;TEXT($O41,"0.00")&amp;" per hr — build-up not supplied","UK electrical-steel benchmark. ~750–850°C continuous N₂/H₂ stress-relief/decarb anneal to restore core loss after blanking. Per-part heat is a separate energy consumable. Jun 2026")</f>
        <v>UK electrical-steel benchmark. ~750–850°C continuous N₂/H₂ stress-relief/decarb anneal to restore core loss after blanking. Per-part heat is a separate energy consumable. Jun 2026</v>
      </c>
      <c r="N41" t="str">
        <v>Medium</v>
      </c>
      <c r="O41">
        <f>IFERROR(IF(OR(INDEX(Mapping!$C:$C,MATCH($A41,Mapping!$A:$A,0))="",INDEX(JLRrates!$C:$C,MATCH(INDEX(Mapping!$C:$C,MATCH($A41,Mapping!$A:$A,0)),JLRrates!$B:$B,0))=""),0,INDEX(JLRrates!$C:$C,MATCH(INDEX(Mapping!$C:$C,MATCH($A41,Mapping!$A:$A,0)),JLRrates!$B:$B,0))),0)</f>
        <v>0</v>
      </c>
    </row>
    <row r="42">
      <c r="A42" t="str">
        <v>backlack-bonding-oven</v>
      </c>
      <c r="B42" t="str">
        <v>Backlack Bonding Oven/Press (self-bonded stacks)</v>
      </c>
      <c r="C42" t="str">
        <v>UK</v>
      </c>
      <c r="D42">
        <f>IF($O42&gt;0,$O42*4000*0.78,45000)</f>
        <v>45000</v>
      </c>
      <c r="E42">
        <f>IF($O42&gt;0,0,20000)</f>
        <v>20000</v>
      </c>
      <c r="F42">
        <f>IF($O42&gt;0,0,25000)</f>
        <v>25000</v>
      </c>
      <c r="G42">
        <f>IF($O42&gt;0,0,12000)</f>
        <v>12000</v>
      </c>
      <c r="H42">
        <f>IF($O42&gt;0,0,10000)</f>
        <v>10000</v>
      </c>
      <c r="I42">
        <f>IF($O42&gt;0,0,5625)</f>
        <v>5625</v>
      </c>
      <c r="J42">
        <v>4000</v>
      </c>
      <c r="K42">
        <v>0.78</v>
      </c>
      <c r="L42" t="str">
        <v>2026-06-14</v>
      </c>
      <c r="M42" t="str">
        <f>IF($O42&gt;0,"JLR flat rate "&amp;TEXT($O42,"0.00")&amp;" per hr — build-up not supplied","UK electrical-steel benchmark. Heat+pressure cure of self-bonding (backlack) varnish — lowest-loss laminated stacks, EV traction. Jun 2026")</f>
        <v>UK electrical-steel benchmark. Heat+pressure cure of self-bonding (backlack) varnish — lowest-loss laminated stacks, EV traction. Jun 2026</v>
      </c>
      <c r="N42" t="str">
        <v>Medium</v>
      </c>
      <c r="O42">
        <f>IFERROR(IF(OR(INDEX(Mapping!$C:$C,MATCH($A42,Mapping!$A:$A,0))="",INDEX(JLRrates!$C:$C,MATCH(INDEX(Mapping!$C:$C,MATCH($A42,Mapping!$A:$A,0)),JLRrates!$B:$B,0))=""),0,INDEX(JLRrates!$C:$C,MATCH(INDEX(Mapping!$C:$C,MATCH($A42,Mapping!$A:$A,0)),JLRrates!$B:$B,0))),0)</f>
        <v>0</v>
      </c>
    </row>
    <row r="43">
      <c r="A43" t="str">
        <v>laser-stack-welder</v>
      </c>
      <c r="B43" t="str">
        <v>Laser Stack Welder (stator OD welds)</v>
      </c>
      <c r="C43" t="str">
        <v>UK</v>
      </c>
      <c r="D43">
        <f>IF($O43&gt;0,$O43*4000*0.8,90000)</f>
        <v>90000</v>
      </c>
      <c r="E43">
        <f>IF($O43&gt;0,0,35000)</f>
        <v>35000</v>
      </c>
      <c r="F43">
        <f>IF($O43&gt;0,0,15000)</f>
        <v>15000</v>
      </c>
      <c r="G43">
        <f>IF($O43&gt;0,0,10000)</f>
        <v>10000</v>
      </c>
      <c r="H43">
        <f>IF($O43&gt;0,0,14000)</f>
        <v>14000</v>
      </c>
      <c r="I43">
        <f>IF($O43&gt;0,0,11250)</f>
        <v>11250</v>
      </c>
      <c r="J43">
        <v>4000</v>
      </c>
      <c r="K43">
        <v>0.8</v>
      </c>
      <c r="L43" t="str">
        <v>2026-06-14</v>
      </c>
      <c r="M43" t="str">
        <f>IF($O43&gt;0,"JLR flat rate "&amp;TEXT($O43,"0.00")&amp;" per hr — build-up not supplied","UK electrical-steel benchmark. Laser welding of stacked stator laminations along the OD — fast, but weld shorts a few edge laminations (small loss penalty). Jun 2026")</f>
        <v>UK electrical-steel benchmark. Laser welding of stacked stator laminations along the OD — fast, but weld shorts a few edge laminations (small loss penalty). Jun 2026</v>
      </c>
      <c r="N43" t="str">
        <v>Medium</v>
      </c>
      <c r="O43">
        <f>IFERROR(IF(OR(INDEX(Mapping!$C:$C,MATCH($A43,Mapping!$A:$A,0))="",INDEX(JLRrates!$C:$C,MATCH(INDEX(Mapping!$C:$C,MATCH($A43,Mapping!$A:$A,0)),JLRrates!$B:$B,0))=""),0,INDEX(JLRrates!$C:$C,MATCH(INDEX(Mapping!$C:$C,MATCH($A43,Mapping!$A:$A,0)),JLRrates!$B:$B,0))),0)</f>
        <v>0</v>
      </c>
    </row>
    <row r="44">
      <c r="A44" t="str">
        <v>imm-50t</v>
      </c>
      <c r="B44" t="str">
        <v>50T Injection Moulding Machine</v>
      </c>
      <c r="C44" t="str">
        <v>UK</v>
      </c>
      <c r="D44">
        <f>IF($O44&gt;0,$O44*4000*0.8,9000)</f>
        <v>9000</v>
      </c>
      <c r="E44">
        <f>IF($O44&gt;0,0,4500)</f>
        <v>4500</v>
      </c>
      <c r="F44">
        <f>IF($O44&gt;0,0,11000)</f>
        <v>11000</v>
      </c>
      <c r="G44">
        <f>IF($O44&gt;0,0,2500)</f>
        <v>2500</v>
      </c>
      <c r="H44">
        <f>IF($O44&gt;0,0,2000)</f>
        <v>2000</v>
      </c>
      <c r="I44">
        <f>IF($O44&gt;0,0,1125)</f>
        <v>1125</v>
      </c>
      <c r="J44">
        <v>4000</v>
      </c>
      <c r="K44">
        <v>0.8</v>
      </c>
      <c r="L44" t="str">
        <v>2026-06-14</v>
      </c>
      <c r="M44" t="str">
        <f>IF($O44&gt;0,"JLR flat rate "&amp;TEXT($O44,"0.00")&amp;" per hr — build-up not supplied","UK plastics benchmark (small precision/technical mouldings), Jun 2026")</f>
        <v>UK plastics benchmark (small precision/technical mouldings), Jun 2026</v>
      </c>
      <c r="N44" t="str">
        <v>Medium</v>
      </c>
      <c r="O44">
        <f>IFERROR(IF(OR(INDEX(Mapping!$C:$C,MATCH($A44,Mapping!$A:$A,0))="",INDEX(JLRrates!$C:$C,MATCH(INDEX(Mapping!$C:$C,MATCH($A44,Mapping!$A:$A,0)),JLRrates!$B:$B,0))=""),0,INDEX(JLRrates!$C:$C,MATCH(INDEX(Mapping!$C:$C,MATCH($A44,Mapping!$A:$A,0)),JLRrates!$B:$B,0))),0)</f>
        <v>0</v>
      </c>
    </row>
    <row r="45">
      <c r="A45" t="str">
        <v>imm-100t</v>
      </c>
      <c r="B45" t="str">
        <v>100T Injection Moulding Machine</v>
      </c>
      <c r="C45" t="str">
        <v>UK</v>
      </c>
      <c r="D45">
        <f>IF($O45&gt;0,$O45*4000*0.8,14000)</f>
        <v>14000</v>
      </c>
      <c r="E45">
        <f>IF($O45&gt;0,0,7000)</f>
        <v>7000</v>
      </c>
      <c r="F45">
        <f>IF($O45&gt;0,0,20000)</f>
        <v>20000</v>
      </c>
      <c r="G45">
        <f>IF($O45&gt;0,0,3500)</f>
        <v>3500</v>
      </c>
      <c r="H45">
        <f>IF($O45&gt;0,0,3000)</f>
        <v>3000</v>
      </c>
      <c r="I45">
        <f>IF($O45&gt;0,0,1750)</f>
        <v>1750</v>
      </c>
      <c r="J45">
        <v>4000</v>
      </c>
      <c r="K45">
        <v>0.8</v>
      </c>
      <c r="L45" t="str">
        <v>2026-06-14</v>
      </c>
      <c r="M45" t="str">
        <f>IF($O45&gt;0,"JLR flat rate "&amp;TEXT($O45,"0.00")&amp;" per hr — build-up not supplied","UK plastics benchmark, Jun 2026")</f>
        <v>UK plastics benchmark, Jun 2026</v>
      </c>
      <c r="N45" t="str">
        <v>Medium</v>
      </c>
      <c r="O45">
        <f>IFERROR(IF(OR(INDEX(Mapping!$C:$C,MATCH($A45,Mapping!$A:$A,0))="",INDEX(JLRrates!$C:$C,MATCH(INDEX(Mapping!$C:$C,MATCH($A45,Mapping!$A:$A,0)),JLRrates!$B:$B,0))=""),0,INDEX(JLRrates!$C:$C,MATCH(INDEX(Mapping!$C:$C,MATCH($A45,Mapping!$A:$A,0)),JLRrates!$B:$B,0))),0)</f>
        <v>0</v>
      </c>
    </row>
    <row r="46">
      <c r="A46" t="str">
        <v>imm-200t</v>
      </c>
      <c r="B46" t="str">
        <v>200T Injection Moulding Machine</v>
      </c>
      <c r="C46" t="str">
        <v>UK</v>
      </c>
      <c r="D46">
        <f>IF($O46&gt;0,$O46*4000*0.8,22000)</f>
        <v>22000</v>
      </c>
      <c r="E46">
        <f>IF($O46&gt;0,0,11000)</f>
        <v>11000</v>
      </c>
      <c r="F46">
        <f>IF($O46&gt;0,0,35000)</f>
        <v>35000</v>
      </c>
      <c r="G46">
        <f>IF($O46&gt;0,0,5000)</f>
        <v>5000</v>
      </c>
      <c r="H46">
        <f>IF($O46&gt;0,0,4500)</f>
        <v>4500</v>
      </c>
      <c r="I46">
        <f>IF($O46&gt;0,0,2750)</f>
        <v>2750</v>
      </c>
      <c r="J46">
        <v>4000</v>
      </c>
      <c r="K46">
        <v>0.8</v>
      </c>
      <c r="L46" t="str">
        <v>2026-06-14</v>
      </c>
      <c r="M46" t="str">
        <f>IF($O46&gt;0,"JLR flat rate "&amp;TEXT($O46,"0.00")&amp;" per hr — build-up not supplied","UK plastics benchmark, Jun 2026")</f>
        <v>UK plastics benchmark, Jun 2026</v>
      </c>
      <c r="N46" t="str">
        <v>Medium</v>
      </c>
      <c r="O46">
        <f>IFERROR(IF(OR(INDEX(Mapping!$C:$C,MATCH($A46,Mapping!$A:$A,0))="",INDEX(JLRrates!$C:$C,MATCH(INDEX(Mapping!$C:$C,MATCH($A46,Mapping!$A:$A,0)),JLRrates!$B:$B,0))=""),0,INDEX(JLRrates!$C:$C,MATCH(INDEX(Mapping!$C:$C,MATCH($A46,Mapping!$A:$A,0)),JLRrates!$B:$B,0))),0)</f>
        <v>0</v>
      </c>
    </row>
    <row r="47">
      <c r="A47" t="str">
        <v>imm-350t</v>
      </c>
      <c r="B47" t="str">
        <v>350T Injection Moulding Machine</v>
      </c>
      <c r="C47" t="str">
        <v>UK</v>
      </c>
      <c r="D47">
        <f>IF($O47&gt;0,$O47*4000*0.8,34000)</f>
        <v>34000</v>
      </c>
      <c r="E47">
        <f>IF($O47&gt;0,0,15500)</f>
        <v>15500</v>
      </c>
      <c r="F47">
        <f>IF($O47&gt;0,0,52000)</f>
        <v>52000</v>
      </c>
      <c r="G47">
        <f>IF($O47&gt;0,0,7000)</f>
        <v>7000</v>
      </c>
      <c r="H47">
        <f>IF($O47&gt;0,0,6800)</f>
        <v>6800</v>
      </c>
      <c r="I47">
        <f>IF($O47&gt;0,0,4250)</f>
        <v>4250</v>
      </c>
      <c r="J47">
        <v>4000</v>
      </c>
      <c r="K47">
        <v>0.8</v>
      </c>
      <c r="L47" t="str">
        <v>2026-06-14</v>
      </c>
      <c r="M47" t="str">
        <f>IF($O47&gt;0,"JLR flat rate "&amp;TEXT($O47,"0.00")&amp;" per hr — build-up not supplied","UK plastics benchmark, Jun 2026")</f>
        <v>UK plastics benchmark, Jun 2026</v>
      </c>
      <c r="N47" t="str">
        <v>Medium</v>
      </c>
      <c r="O47">
        <f>IFERROR(IF(OR(INDEX(Mapping!$C:$C,MATCH($A47,Mapping!$A:$A,0))="",INDEX(JLRrates!$C:$C,MATCH(INDEX(Mapping!$C:$C,MATCH($A47,Mapping!$A:$A,0)),JLRrates!$B:$B,0))=""),0,INDEX(JLRrates!$C:$C,MATCH(INDEX(Mapping!$C:$C,MATCH($A47,Mapping!$A:$A,0)),JLRrates!$B:$B,0))),0)</f>
        <v>0</v>
      </c>
    </row>
    <row r="48">
      <c r="A48" t="str">
        <v>imm-400t</v>
      </c>
      <c r="B48" t="str">
        <v>400T Injection Moulding Machine</v>
      </c>
      <c r="C48" t="str">
        <v>UK</v>
      </c>
      <c r="D48">
        <f>IF($O48&gt;0,$O48*4000*0.8,40000)</f>
        <v>40000</v>
      </c>
      <c r="E48">
        <f>IF($O48&gt;0,0,18000)</f>
        <v>18000</v>
      </c>
      <c r="F48">
        <f>IF($O48&gt;0,0,60000)</f>
        <v>60000</v>
      </c>
      <c r="G48">
        <f>IF($O48&gt;0,0,8000)</f>
        <v>8000</v>
      </c>
      <c r="H48">
        <f>IF($O48&gt;0,0,8000)</f>
        <v>8000</v>
      </c>
      <c r="I48">
        <f>IF($O48&gt;0,0,5000)</f>
        <v>5000</v>
      </c>
      <c r="J48">
        <v>4000</v>
      </c>
      <c r="K48">
        <v>0.8</v>
      </c>
      <c r="L48" t="str">
        <v>2026-06-14</v>
      </c>
      <c r="M48" t="str">
        <f>IF($O48&gt;0,"JLR flat rate "&amp;TEXT($O48,"0.00")&amp;" per hr — build-up not supplied","UK plastics benchmark, Jun 2026")</f>
        <v>UK plastics benchmark, Jun 2026</v>
      </c>
      <c r="N48" t="str">
        <v>Medium</v>
      </c>
      <c r="O48">
        <f>IFERROR(IF(OR(INDEX(Mapping!$C:$C,MATCH($A48,Mapping!$A:$A,0))="",INDEX(JLRrates!$C:$C,MATCH(INDEX(Mapping!$C:$C,MATCH($A48,Mapping!$A:$A,0)),JLRrates!$B:$B,0))=""),0,INDEX(JLRrates!$C:$C,MATCH(INDEX(Mapping!$C:$C,MATCH($A48,Mapping!$A:$A,0)),JLRrates!$B:$B,0))),0)</f>
        <v>0</v>
      </c>
    </row>
    <row r="49">
      <c r="A49" t="str">
        <v>imm-500t</v>
      </c>
      <c r="B49" t="str">
        <v>500T Injection Moulding Machine</v>
      </c>
      <c r="C49" t="str">
        <v>UK</v>
      </c>
      <c r="D49">
        <f>IF($O49&gt;0,$O49*4000*0.8,50000)</f>
        <v>50000</v>
      </c>
      <c r="E49">
        <f>IF($O49&gt;0,0,22000)</f>
        <v>22000</v>
      </c>
      <c r="F49">
        <f>IF($O49&gt;0,0,72000)</f>
        <v>72000</v>
      </c>
      <c r="G49">
        <f>IF($O49&gt;0,0,9500)</f>
        <v>9500</v>
      </c>
      <c r="H49">
        <f>IF($O49&gt;0,0,10000)</f>
        <v>10000</v>
      </c>
      <c r="I49">
        <f>IF($O49&gt;0,0,6250)</f>
        <v>6250</v>
      </c>
      <c r="J49">
        <v>4000</v>
      </c>
      <c r="K49">
        <v>0.8</v>
      </c>
      <c r="L49" t="str">
        <v>2026-06-14</v>
      </c>
      <c r="M49" t="str">
        <f>IF($O49&gt;0,"JLR flat rate "&amp;TEXT($O49,"0.00")&amp;" per hr — build-up not supplied","UK plastics benchmark, Jun 2026")</f>
        <v>UK plastics benchmark, Jun 2026</v>
      </c>
      <c r="N49" t="str">
        <v>Medium</v>
      </c>
      <c r="O49">
        <f>IFERROR(IF(OR(INDEX(Mapping!$C:$C,MATCH($A49,Mapping!$A:$A,0))="",INDEX(JLRrates!$C:$C,MATCH(INDEX(Mapping!$C:$C,MATCH($A49,Mapping!$A:$A,0)),JLRrates!$B:$B,0))=""),0,INDEX(JLRrates!$C:$C,MATCH(INDEX(Mapping!$C:$C,MATCH($A49,Mapping!$A:$A,0)),JLRrates!$B:$B,0))),0)</f>
        <v>0</v>
      </c>
    </row>
    <row r="50">
      <c r="A50" t="str">
        <v>imm-800t</v>
      </c>
      <c r="B50" t="str">
        <v>800T Injection Moulding Machine</v>
      </c>
      <c r="C50" t="str">
        <v>UK</v>
      </c>
      <c r="D50">
        <f>IF($O50&gt;0,$O50*4000*0.78,70000)</f>
        <v>70000</v>
      </c>
      <c r="E50">
        <f>IF($O50&gt;0,0,32000)</f>
        <v>32000</v>
      </c>
      <c r="F50">
        <f>IF($O50&gt;0,0,105000)</f>
        <v>105000</v>
      </c>
      <c r="G50">
        <f>IF($O50&gt;0,0,14000)</f>
        <v>14000</v>
      </c>
      <c r="H50">
        <f>IF($O50&gt;0,0,14000)</f>
        <v>14000</v>
      </c>
      <c r="I50">
        <f>IF($O50&gt;0,0,8750)</f>
        <v>8750</v>
      </c>
      <c r="J50">
        <v>4000</v>
      </c>
      <c r="K50">
        <v>0.78</v>
      </c>
      <c r="L50" t="str">
        <v>2026-06-14</v>
      </c>
      <c r="M50" t="str">
        <f>IF($O50&gt;0,"JLR flat rate "&amp;TEXT($O50,"0.00")&amp;" per hr — build-up not supplied","UK plastics benchmark, Jun 2026")</f>
        <v>UK plastics benchmark, Jun 2026</v>
      </c>
      <c r="N50" t="str">
        <v>Medium</v>
      </c>
      <c r="O50">
        <f>IFERROR(IF(OR(INDEX(Mapping!$C:$C,MATCH($A50,Mapping!$A:$A,0))="",INDEX(JLRrates!$C:$C,MATCH(INDEX(Mapping!$C:$C,MATCH($A50,Mapping!$A:$A,0)),JLRrates!$B:$B,0))=""),0,INDEX(JLRrates!$C:$C,MATCH(INDEX(Mapping!$C:$C,MATCH($A50,Mapping!$A:$A,0)),JLRrates!$B:$B,0))),0)</f>
        <v>0</v>
      </c>
    </row>
    <row r="51">
      <c r="A51" t="str">
        <v>imm-1200t</v>
      </c>
      <c r="B51" t="str">
        <v>1200T Injection Moulding Machine</v>
      </c>
      <c r="C51" t="str">
        <v>UK</v>
      </c>
      <c r="D51">
        <f>IF($O51&gt;0,$O51*4000*0.78,100000)</f>
        <v>100000</v>
      </c>
      <c r="E51">
        <f>IF($O51&gt;0,0,46000)</f>
        <v>46000</v>
      </c>
      <c r="F51">
        <f>IF($O51&gt;0,0,150000)</f>
        <v>150000</v>
      </c>
      <c r="G51">
        <f>IF($O51&gt;0,0,20000)</f>
        <v>20000</v>
      </c>
      <c r="H51">
        <f>IF($O51&gt;0,0,20000)</f>
        <v>20000</v>
      </c>
      <c r="I51">
        <f>IF($O51&gt;0,0,12500)</f>
        <v>12500</v>
      </c>
      <c r="J51">
        <v>4000</v>
      </c>
      <c r="K51">
        <v>0.78</v>
      </c>
      <c r="L51" t="str">
        <v>2026-06-14</v>
      </c>
      <c r="M51" t="str">
        <f>IF($O51&gt;0,"JLR flat rate "&amp;TEXT($O51,"0.00")&amp;" per hr — build-up not supplied","UK plastics benchmark (large structural mouldings), Jun 2026")</f>
        <v>UK plastics benchmark (large structural mouldings), Jun 2026</v>
      </c>
      <c r="N51" t="str">
        <v>Medium</v>
      </c>
      <c r="O51">
        <f>IFERROR(IF(OR(INDEX(Mapping!$C:$C,MATCH($A51,Mapping!$A:$A,0))="",INDEX(JLRrates!$C:$C,MATCH(INDEX(Mapping!$C:$C,MATCH($A51,Mapping!$A:$A,0)),JLRrates!$B:$B,0))=""),0,INDEX(JLRrates!$C:$C,MATCH(INDEX(Mapping!$C:$C,MATCH($A51,Mapping!$A:$A,0)),JLRrates!$B:$B,0))),0)</f>
        <v>0</v>
      </c>
    </row>
    <row r="52">
      <c r="A52" t="str">
        <v>imm-2000t</v>
      </c>
      <c r="B52" t="str">
        <v>2000T Injection Moulding Machine</v>
      </c>
      <c r="C52" t="str">
        <v>UK</v>
      </c>
      <c r="D52">
        <f>IF($O52&gt;0,$O52*4000*0.76,158000)</f>
        <v>158000</v>
      </c>
      <c r="E52">
        <f>IF($O52&gt;0,0,72000)</f>
        <v>72000</v>
      </c>
      <c r="F52">
        <f>IF($O52&gt;0,0,232000)</f>
        <v>232000</v>
      </c>
      <c r="G52">
        <f>IF($O52&gt;0,0,30000)</f>
        <v>30000</v>
      </c>
      <c r="H52">
        <f>IF($O52&gt;0,0,31000)</f>
        <v>31000</v>
      </c>
      <c r="I52">
        <f>IF($O52&gt;0,0,19750)</f>
        <v>19750</v>
      </c>
      <c r="J52">
        <v>4000</v>
      </c>
      <c r="K52">
        <v>0.76</v>
      </c>
      <c r="L52" t="str">
        <v>2026-06-14</v>
      </c>
      <c r="M52" t="str">
        <f>IF($O52&gt;0,"JLR flat rate "&amp;TEXT($O52,"0.00")&amp;" per hr — build-up not supplied","UK plastics benchmark (large automotive mouldings — door panels, cladding), Jun 2026")</f>
        <v>UK plastics benchmark (large automotive mouldings — door panels, cladding), Jun 2026</v>
      </c>
      <c r="N52" t="str">
        <v>Medium</v>
      </c>
      <c r="O52">
        <f>IFERROR(IF(OR(INDEX(Mapping!$C:$C,MATCH($A52,Mapping!$A:$A,0))="",INDEX(JLRrates!$C:$C,MATCH(INDEX(Mapping!$C:$C,MATCH($A52,Mapping!$A:$A,0)),JLRrates!$B:$B,0))=""),0,INDEX(JLRrates!$C:$C,MATCH(INDEX(Mapping!$C:$C,MATCH($A52,Mapping!$A:$A,0)),JLRrates!$B:$B,0))),0)</f>
        <v>0</v>
      </c>
    </row>
    <row r="53">
      <c r="A53" t="str">
        <v>imm-3500t</v>
      </c>
      <c r="B53" t="str">
        <v>3500T Injection Moulding Machine</v>
      </c>
      <c r="C53" t="str">
        <v>UK</v>
      </c>
      <c r="D53">
        <f>IF($O53&gt;0,$O53*4000*0.74,265000)</f>
        <v>265000</v>
      </c>
      <c r="E53">
        <f>IF($O53&gt;0,0,120000)</f>
        <v>120000</v>
      </c>
      <c r="F53">
        <f>IF($O53&gt;0,0,390000)</f>
        <v>390000</v>
      </c>
      <c r="G53">
        <f>IF($O53&gt;0,0,48000)</f>
        <v>48000</v>
      </c>
      <c r="H53">
        <f>IF($O53&gt;0,0,50000)</f>
        <v>50000</v>
      </c>
      <c r="I53">
        <f>IF($O53&gt;0,0,33125)</f>
        <v>33125</v>
      </c>
      <c r="J53">
        <v>4000</v>
      </c>
      <c r="K53">
        <v>0.74</v>
      </c>
      <c r="L53" t="str">
        <v>2026-06-14</v>
      </c>
      <c r="M53" t="str">
        <f>IF($O53&gt;0,"JLR flat rate "&amp;TEXT($O53,"0.00")&amp;" per hr — build-up not supplied","UK plastics benchmark (very large automotive — bumpers, IPs, tailgates; high clamp tonnage), Jun 2026")</f>
        <v>UK plastics benchmark (very large automotive — bumpers, IPs, tailgates; high clamp tonnage), Jun 2026</v>
      </c>
      <c r="N53" t="str">
        <v>Medium</v>
      </c>
      <c r="O53">
        <f>IFERROR(IF(OR(INDEX(Mapping!$C:$C,MATCH($A53,Mapping!$A:$A,0))="",INDEX(JLRrates!$C:$C,MATCH(INDEX(Mapping!$C:$C,MATCH($A53,Mapping!$A:$A,0)),JLRrates!$B:$B,0))=""),0,INDEX(JLRrates!$C:$C,MATCH(INDEX(Mapping!$C:$C,MATCH($A53,Mapping!$A:$A,0)),JLRrates!$B:$B,0))),0)</f>
        <v>0</v>
      </c>
    </row>
    <row r="54">
      <c r="A54" t="str">
        <v>hpdc-500t</v>
      </c>
      <c r="B54" t="str">
        <v>HPDC 500T</v>
      </c>
      <c r="C54" t="str">
        <v>UK</v>
      </c>
      <c r="D54">
        <f>IF($O54&gt;0,$O54*3500*0.78,50000)</f>
        <v>50000</v>
      </c>
      <c r="E54">
        <f>IF($O54&gt;0,0,25000)</f>
        <v>25000</v>
      </c>
      <c r="F54">
        <f>IF($O54&gt;0,0,40000)</f>
        <v>40000</v>
      </c>
      <c r="G54">
        <f>IF($O54&gt;0,0,12000)</f>
        <v>12000</v>
      </c>
      <c r="H54">
        <f>IF($O54&gt;0,0,10000)</f>
        <v>10000</v>
      </c>
      <c r="I54">
        <f>IF($O54&gt;0,0,6250)</f>
        <v>6250</v>
      </c>
      <c r="J54">
        <v>3500</v>
      </c>
      <c r="K54">
        <v>0.78</v>
      </c>
      <c r="L54" t="str">
        <v>2026-06-14</v>
      </c>
      <c r="M54" t="str">
        <f>IF($O54&gt;0,"JLR flat rate "&amp;TEXT($O54,"0.00")&amp;" per hr — build-up not supplied","UK foundry benchmark, Jun 2026")</f>
        <v>UK foundry benchmark, Jun 2026</v>
      </c>
      <c r="N54" t="str">
        <v>Medium</v>
      </c>
      <c r="O54">
        <f>IFERROR(IF(OR(INDEX(Mapping!$C:$C,MATCH($A54,Mapping!$A:$A,0))="",INDEX(JLRrates!$C:$C,MATCH(INDEX(Mapping!$C:$C,MATCH($A54,Mapping!$A:$A,0)),JLRrates!$B:$B,0))=""),0,INDEX(JLRrates!$C:$C,MATCH(INDEX(Mapping!$C:$C,MATCH($A54,Mapping!$A:$A,0)),JLRrates!$B:$B,0))),0)</f>
        <v>0</v>
      </c>
    </row>
    <row r="55">
      <c r="A55" t="str">
        <v>hpdc-800t</v>
      </c>
      <c r="B55" t="str">
        <v>HPDC 800T</v>
      </c>
      <c r="C55" t="str">
        <v>UK</v>
      </c>
      <c r="D55">
        <f>IF($O55&gt;0,$O55*3500*0.78,80000)</f>
        <v>80000</v>
      </c>
      <c r="E55">
        <f>IF($O55&gt;0,0,38000)</f>
        <v>38000</v>
      </c>
      <c r="F55">
        <f>IF($O55&gt;0,0,55000)</f>
        <v>55000</v>
      </c>
      <c r="G55">
        <f>IF($O55&gt;0,0,18000)</f>
        <v>18000</v>
      </c>
      <c r="H55">
        <f>IF($O55&gt;0,0,15000)</f>
        <v>15000</v>
      </c>
      <c r="I55">
        <f>IF($O55&gt;0,0,10000)</f>
        <v>10000</v>
      </c>
      <c r="J55">
        <v>3500</v>
      </c>
      <c r="K55">
        <v>0.78</v>
      </c>
      <c r="L55" t="str">
        <v>2026-06-14</v>
      </c>
      <c r="M55" t="str">
        <f>IF($O55&gt;0,"JLR flat rate "&amp;TEXT($O55,"0.00")&amp;" per hr — build-up not supplied","UK foundry benchmark, Jun 2026")</f>
        <v>UK foundry benchmark, Jun 2026</v>
      </c>
      <c r="N55" t="str">
        <v>Medium</v>
      </c>
      <c r="O55">
        <f>IFERROR(IF(OR(INDEX(Mapping!$C:$C,MATCH($A55,Mapping!$A:$A,0))="",INDEX(JLRrates!$C:$C,MATCH(INDEX(Mapping!$C:$C,MATCH($A55,Mapping!$A:$A,0)),JLRrates!$B:$B,0))=""),0,INDEX(JLRrates!$C:$C,MATCH(INDEX(Mapping!$C:$C,MATCH($A55,Mapping!$A:$A,0)),JLRrates!$B:$B,0))),0)</f>
        <v>0</v>
      </c>
    </row>
    <row r="56">
      <c r="A56" t="str">
        <v>hpdc-1600t</v>
      </c>
      <c r="B56" t="str">
        <v>HPDC 1600T</v>
      </c>
      <c r="C56" t="str">
        <v>UK</v>
      </c>
      <c r="D56">
        <f>IF($O56&gt;0,$O56*3500*0.78,140000)</f>
        <v>140000</v>
      </c>
      <c r="E56">
        <f>IF($O56&gt;0,0,65000)</f>
        <v>65000</v>
      </c>
      <c r="F56">
        <f>IF($O56&gt;0,0,100000)</f>
        <v>100000</v>
      </c>
      <c r="G56">
        <f>IF($O56&gt;0,0,28000)</f>
        <v>28000</v>
      </c>
      <c r="H56">
        <f>IF($O56&gt;0,0,25000)</f>
        <v>25000</v>
      </c>
      <c r="I56">
        <f>IF($O56&gt;0,0,17500)</f>
        <v>17500</v>
      </c>
      <c r="J56">
        <v>3500</v>
      </c>
      <c r="K56">
        <v>0.78</v>
      </c>
      <c r="L56" t="str">
        <v>2026-06-14</v>
      </c>
      <c r="M56" t="str">
        <f>IF($O56&gt;0,"JLR flat rate "&amp;TEXT($O56,"0.00")&amp;" per hr — build-up not supplied","UK foundry benchmark, Jun 2026")</f>
        <v>UK foundry benchmark, Jun 2026</v>
      </c>
      <c r="N56" t="str">
        <v>Medium</v>
      </c>
      <c r="O56">
        <f>IFERROR(IF(OR(INDEX(Mapping!$C:$C,MATCH($A56,Mapping!$A:$A,0))="",INDEX(JLRrates!$C:$C,MATCH(INDEX(Mapping!$C:$C,MATCH($A56,Mapping!$A:$A,0)),JLRrates!$B:$B,0))=""),0,INDEX(JLRrates!$C:$C,MATCH(INDEX(Mapping!$C:$C,MATCH($A56,Mapping!$A:$A,0)),JLRrates!$B:$B,0))),0)</f>
        <v>0</v>
      </c>
    </row>
    <row r="57">
      <c r="A57" t="str">
        <v>hpdc-giga-6100t</v>
      </c>
      <c r="B57" t="str">
        <v>Giga-Casting Press 6100T (megacasting)</v>
      </c>
      <c r="C57" t="str">
        <v>UK</v>
      </c>
      <c r="D57">
        <f>IF($O57&gt;0,$O57*4000*0.8,520000)</f>
        <v>520000</v>
      </c>
      <c r="E57">
        <f>IF($O57&gt;0,0,240000)</f>
        <v>240000</v>
      </c>
      <c r="F57">
        <f>IF($O57&gt;0,0,320000)</f>
        <v>320000</v>
      </c>
      <c r="G57">
        <f>IF($O57&gt;0,0,120000)</f>
        <v>120000</v>
      </c>
      <c r="H57">
        <f>IF($O57&gt;0,0,90000)</f>
        <v>90000</v>
      </c>
      <c r="I57">
        <f>IF($O57&gt;0,0,65000)</f>
        <v>65000</v>
      </c>
      <c r="J57">
        <v>4000</v>
      </c>
      <c r="K57">
        <v>0.8</v>
      </c>
      <c r="L57" t="str">
        <v>2026-06-14</v>
      </c>
      <c r="M57" t="str">
        <f>IF($O57&gt;0,"JLR flat rate "&amp;TEXT($O57,"0.00")&amp;" per hr — build-up not supplied","Giga-press benchmark. 6,100T locking force — single-piece rear/front underbody megacastings (Tesla-class, BYD). Very high capital; huge cell (vacuum, thermal control, laser trim). Jun 2026")</f>
        <v>Giga-press benchmark. 6,100T locking force — single-piece rear/front underbody megacastings (Tesla-class, BYD). Very high capital; huge cell (vacuum, thermal control, laser trim). Jun 2026</v>
      </c>
      <c r="N57" t="str">
        <v>Medium</v>
      </c>
      <c r="O57">
        <f>IFERROR(IF(OR(INDEX(Mapping!$C:$C,MATCH($A57,Mapping!$A:$A,0))="",INDEX(JLRrates!$C:$C,MATCH(INDEX(Mapping!$C:$C,MATCH($A57,Mapping!$A:$A,0)),JLRrates!$B:$B,0))=""),0,INDEX(JLRrates!$C:$C,MATCH(INDEX(Mapping!$C:$C,MATCH($A57,Mapping!$A:$A,0)),JLRrates!$B:$B,0))),0)</f>
        <v>0</v>
      </c>
    </row>
    <row r="58">
      <c r="A58" t="str">
        <v>hpdc-giga-9000t</v>
      </c>
      <c r="B58" t="str">
        <v>Giga-Casting Press 9000T (Xiaomi/Tesla-class)</v>
      </c>
      <c r="C58" t="str">
        <v>UK</v>
      </c>
      <c r="D58">
        <f>IF($O58&gt;0,$O58*4000*0.8,780000)</f>
        <v>780000</v>
      </c>
      <c r="E58">
        <f>IF($O58&gt;0,0,360000)</f>
        <v>360000</v>
      </c>
      <c r="F58">
        <f>IF($O58&gt;0,0,480000)</f>
        <v>480000</v>
      </c>
      <c r="G58">
        <f>IF($O58&gt;0,0,180000)</f>
        <v>180000</v>
      </c>
      <c r="H58">
        <f>IF($O58&gt;0,0,140000)</f>
        <v>140000</v>
      </c>
      <c r="I58">
        <f>IF($O58&gt;0,0,97500)</f>
        <v>97500</v>
      </c>
      <c r="J58">
        <v>4000</v>
      </c>
      <c r="K58">
        <v>0.8</v>
      </c>
      <c r="L58" t="str">
        <v>2026-06-14</v>
      </c>
      <c r="M58" t="str">
        <f>IF($O58&gt;0,"JLR flat rate "&amp;TEXT($O58,"0.00")&amp;" per hr — build-up not supplied","Giga-press benchmark. 9,000T+ locking force (Xiaomi 9,100T \"die-casting cluster\", Tesla, largest OEM presses) — full one-piece underbody. Highest capital in the tool. Jun 2026")</f>
        <v>Giga-press benchmark. 9,000T+ locking force (Xiaomi 9,100T "die-casting cluster", Tesla, largest OEM presses) — full one-piece underbody. Highest capital in the tool. Jun 2026</v>
      </c>
      <c r="N58" t="str">
        <v>Medium</v>
      </c>
      <c r="O58">
        <f>IFERROR(IF(OR(INDEX(Mapping!$C:$C,MATCH($A58,Mapping!$A:$A,0))="",INDEX(JLRrates!$C:$C,MATCH(INDEX(Mapping!$C:$C,MATCH($A58,Mapping!$A:$A,0)),JLRrates!$B:$B,0))=""),0,INDEX(JLRrates!$C:$C,MATCH(INDEX(Mapping!$C:$C,MATCH($A58,Mapping!$A:$A,0)),JLRrates!$B:$B,0))),0)</f>
        <v>0</v>
      </c>
    </row>
    <row r="59">
      <c r="A59" t="str">
        <v>sand-cast-line</v>
      </c>
      <c r="B59" t="str">
        <v>Sand Casting Moulding Line</v>
      </c>
      <c r="C59" t="str">
        <v>UK</v>
      </c>
      <c r="D59">
        <f>IF($O59&gt;0,$O59*3500*0.75,25000)</f>
        <v>25000</v>
      </c>
      <c r="E59">
        <f>IF($O59&gt;0,0,12000)</f>
        <v>12000</v>
      </c>
      <c r="F59">
        <f>IF($O59&gt;0,0,25000)</f>
        <v>25000</v>
      </c>
      <c r="G59">
        <f>IF($O59&gt;0,0,10000)</f>
        <v>10000</v>
      </c>
      <c r="H59">
        <f>IF($O59&gt;0,0,8000)</f>
        <v>8000</v>
      </c>
      <c r="I59">
        <f>IF($O59&gt;0,0,3125)</f>
        <v>3125</v>
      </c>
      <c r="J59">
        <v>3500</v>
      </c>
      <c r="K59">
        <v>0.75</v>
      </c>
      <c r="L59" t="str">
        <v>2026-06-14</v>
      </c>
      <c r="M59" t="str">
        <f>IF($O59&gt;0,"JLR flat rate "&amp;TEXT($O59,"0.00")&amp;" per hr — build-up not supplied","UK foundry benchmark, Jun 2026")</f>
        <v>UK foundry benchmark, Jun 2026</v>
      </c>
      <c r="N59" t="str">
        <v>Medium</v>
      </c>
      <c r="O59">
        <f>IFERROR(IF(OR(INDEX(Mapping!$C:$C,MATCH($A59,Mapping!$A:$A,0))="",INDEX(JLRrates!$C:$C,MATCH(INDEX(Mapping!$C:$C,MATCH($A59,Mapping!$A:$A,0)),JLRrates!$B:$B,0))=""),0,INDEX(JLRrates!$C:$C,MATCH(INDEX(Mapping!$C:$C,MATCH($A59,Mapping!$A:$A,0)),JLRrates!$B:$B,0))),0)</f>
        <v>0</v>
      </c>
    </row>
    <row r="60">
      <c r="A60" t="str">
        <v>hpdc-160t</v>
      </c>
      <c r="B60" t="str">
        <v>HPDC 160T (Zinc/Small Al)</v>
      </c>
      <c r="C60" t="str">
        <v>UK</v>
      </c>
      <c r="D60">
        <f>IF($O60&gt;0,$O60*3500*0.8,18000)</f>
        <v>18000</v>
      </c>
      <c r="E60">
        <f>IF($O60&gt;0,0,9000)</f>
        <v>9000</v>
      </c>
      <c r="F60">
        <f>IF($O60&gt;0,0,14000)</f>
        <v>14000</v>
      </c>
      <c r="G60">
        <f>IF($O60&gt;0,0,5000)</f>
        <v>5000</v>
      </c>
      <c r="H60">
        <f>IF($O60&gt;0,0,4000)</f>
        <v>4000</v>
      </c>
      <c r="I60">
        <f>IF($O60&gt;0,0,2250)</f>
        <v>2250</v>
      </c>
      <c r="J60">
        <v>3500</v>
      </c>
      <c r="K60">
        <v>0.8</v>
      </c>
      <c r="L60" t="str">
        <v>2026-06-14</v>
      </c>
      <c r="M60" t="str">
        <f>IF($O60&gt;0,"JLR flat rate "&amp;TEXT($O60,"0.00")&amp;" per hr — build-up not supplied","Small HPDC / zinc die casting machine, UK foundry benchmark")</f>
        <v>Small HPDC / zinc die casting machine, UK foundry benchmark</v>
      </c>
      <c r="N60" t="str">
        <v>Medium</v>
      </c>
      <c r="O60">
        <f>IFERROR(IF(OR(INDEX(Mapping!$C:$C,MATCH($A60,Mapping!$A:$A,0))="",INDEX(JLRrates!$C:$C,MATCH(INDEX(Mapping!$C:$C,MATCH($A60,Mapping!$A:$A,0)),JLRrates!$B:$B,0))=""),0,INDEX(JLRrates!$C:$C,MATCH(INDEX(Mapping!$C:$C,MATCH($A60,Mapping!$A:$A,0)),JLRrates!$B:$B,0))),0)</f>
        <v>0</v>
      </c>
    </row>
    <row r="61">
      <c r="A61" t="str">
        <v>forge-press-500t</v>
      </c>
      <c r="B61" t="str">
        <v>500T Mechanical Forge Press</v>
      </c>
      <c r="C61" t="str">
        <v>UK</v>
      </c>
      <c r="D61">
        <f>IF($O61&gt;0,$O61*3500*0.78,45000)</f>
        <v>45000</v>
      </c>
      <c r="E61">
        <f>IF($O61&gt;0,0,22000)</f>
        <v>22000</v>
      </c>
      <c r="F61">
        <f>IF($O61&gt;0,0,55000)</f>
        <v>55000</v>
      </c>
      <c r="G61">
        <f>IF($O61&gt;0,0,12000)</f>
        <v>12000</v>
      </c>
      <c r="H61">
        <f>IF($O61&gt;0,0,10000)</f>
        <v>10000</v>
      </c>
      <c r="I61">
        <f>IF($O61&gt;0,0,5625)</f>
        <v>5625</v>
      </c>
      <c r="J61">
        <v>3500</v>
      </c>
      <c r="K61">
        <v>0.78</v>
      </c>
      <c r="L61" t="str">
        <v>2026-06-14</v>
      </c>
      <c r="M61" t="str">
        <f>IF($O61&gt;0,"JLR flat rate "&amp;TEXT($O61,"0.00")&amp;" per hr — build-up not supplied","UK forge shop benchmark, Jun 2026")</f>
        <v>UK forge shop benchmark, Jun 2026</v>
      </c>
      <c r="N61" t="str">
        <v>Medium</v>
      </c>
      <c r="O61">
        <f>IFERROR(IF(OR(INDEX(Mapping!$C:$C,MATCH($A61,Mapping!$A:$A,0))="",INDEX(JLRrates!$C:$C,MATCH(INDEX(Mapping!$C:$C,MATCH($A61,Mapping!$A:$A,0)),JLRrates!$B:$B,0))=""),0,INDEX(JLRrates!$C:$C,MATCH(INDEX(Mapping!$C:$C,MATCH($A61,Mapping!$A:$A,0)),JLRrates!$B:$B,0))),0)</f>
        <v>0</v>
      </c>
    </row>
    <row r="62">
      <c r="A62" t="str">
        <v>forge-press-1600t</v>
      </c>
      <c r="B62" t="str">
        <v>1600T Mechanical Forge Press</v>
      </c>
      <c r="C62" t="str">
        <v>UK</v>
      </c>
      <c r="D62">
        <f>IF($O62&gt;0,$O62*3500*0.78,90000)</f>
        <v>90000</v>
      </c>
      <c r="E62">
        <f>IF($O62&gt;0,0,42000)</f>
        <v>42000</v>
      </c>
      <c r="F62">
        <f>IF($O62&gt;0,0,85000)</f>
        <v>85000</v>
      </c>
      <c r="G62">
        <f>IF($O62&gt;0,0,20000)</f>
        <v>20000</v>
      </c>
      <c r="H62">
        <f>IF($O62&gt;0,0,18000)</f>
        <v>18000</v>
      </c>
      <c r="I62">
        <f>IF($O62&gt;0,0,11250)</f>
        <v>11250</v>
      </c>
      <c r="J62">
        <v>3500</v>
      </c>
      <c r="K62">
        <v>0.78</v>
      </c>
      <c r="L62" t="str">
        <v>2026-06-14</v>
      </c>
      <c r="M62" t="str">
        <f>IF($O62&gt;0,"JLR flat rate "&amp;TEXT($O62,"0.00")&amp;" per hr — build-up not supplied","UK forge shop benchmark (mid-size crank press), Jun 2026")</f>
        <v>UK forge shop benchmark (mid-size crank press), Jun 2026</v>
      </c>
      <c r="N62" t="str">
        <v>Medium</v>
      </c>
      <c r="O62">
        <f>IFERROR(IF(OR(INDEX(Mapping!$C:$C,MATCH($A62,Mapping!$A:$A,0))="",INDEX(JLRrates!$C:$C,MATCH(INDEX(Mapping!$C:$C,MATCH($A62,Mapping!$A:$A,0)),JLRrates!$B:$B,0))=""),0,INDEX(JLRrates!$C:$C,MATCH(INDEX(Mapping!$C:$C,MATCH($A62,Mapping!$A:$A,0)),JLRrates!$B:$B,0))),0)</f>
        <v>0</v>
      </c>
    </row>
    <row r="63">
      <c r="A63" t="str">
        <v>forge-press-2500t</v>
      </c>
      <c r="B63" t="str">
        <v>2500T Mechanical Forge Press</v>
      </c>
      <c r="C63" t="str">
        <v>UK</v>
      </c>
      <c r="D63">
        <f>IF($O63&gt;0,$O63*3500*0.78,130000)</f>
        <v>130000</v>
      </c>
      <c r="E63">
        <f>IF($O63&gt;0,0,60000)</f>
        <v>60000</v>
      </c>
      <c r="F63">
        <f>IF($O63&gt;0,0,120000)</f>
        <v>120000</v>
      </c>
      <c r="G63">
        <f>IF($O63&gt;0,0,28000)</f>
        <v>28000</v>
      </c>
      <c r="H63">
        <f>IF($O63&gt;0,0,26000)</f>
        <v>26000</v>
      </c>
      <c r="I63">
        <f>IF($O63&gt;0,0,16250)</f>
        <v>16250</v>
      </c>
      <c r="J63">
        <v>3500</v>
      </c>
      <c r="K63">
        <v>0.78</v>
      </c>
      <c r="L63" t="str">
        <v>2026-06-14</v>
      </c>
      <c r="M63" t="str">
        <f>IF($O63&gt;0,"JLR flat rate "&amp;TEXT($O63,"0.00")&amp;" per hr — build-up not supplied","UK forge shop benchmark (automotive crank/con-rod press), Jun 2026")</f>
        <v>UK forge shop benchmark (automotive crank/con-rod press), Jun 2026</v>
      </c>
      <c r="N63" t="str">
        <v>Medium</v>
      </c>
      <c r="O63">
        <f>IFERROR(IF(OR(INDEX(Mapping!$C:$C,MATCH($A63,Mapping!$A:$A,0))="",INDEX(JLRrates!$C:$C,MATCH(INDEX(Mapping!$C:$C,MATCH($A63,Mapping!$A:$A,0)),JLRrates!$B:$B,0))=""),0,INDEX(JLRrates!$C:$C,MATCH(INDEX(Mapping!$C:$C,MATCH($A63,Mapping!$A:$A,0)),JLRrates!$B:$B,0))),0)</f>
        <v>0</v>
      </c>
    </row>
    <row r="64">
      <c r="A64" t="str">
        <v>forge-press-4000t</v>
      </c>
      <c r="B64" t="str">
        <v>4000T Hydraulic Forge Press</v>
      </c>
      <c r="C64" t="str">
        <v>UK</v>
      </c>
      <c r="D64">
        <f>IF($O64&gt;0,$O64*3500*0.78,200000)</f>
        <v>200000</v>
      </c>
      <c r="E64">
        <f>IF($O64&gt;0,0,90000)</f>
        <v>90000</v>
      </c>
      <c r="F64">
        <f>IF($O64&gt;0,0,175000)</f>
        <v>175000</v>
      </c>
      <c r="G64">
        <f>IF($O64&gt;0,0,40000)</f>
        <v>40000</v>
      </c>
      <c r="H64">
        <f>IF($O64&gt;0,0,40000)</f>
        <v>40000</v>
      </c>
      <c r="I64">
        <f>IF($O64&gt;0,0,25000)</f>
        <v>25000</v>
      </c>
      <c r="J64">
        <v>3500</v>
      </c>
      <c r="K64">
        <v>0.78</v>
      </c>
      <c r="L64" t="str">
        <v>2026-06-14</v>
      </c>
      <c r="M64" t="str">
        <f>IF($O64&gt;0,"JLR flat rate "&amp;TEXT($O64,"0.00")&amp;" per hr — build-up not supplied","UK forge shop benchmark (large hydraulic press), Jun 2026")</f>
        <v>UK forge shop benchmark (large hydraulic press), Jun 2026</v>
      </c>
      <c r="N64" t="str">
        <v>Medium</v>
      </c>
      <c r="O64">
        <f>IFERROR(IF(OR(INDEX(Mapping!$C:$C,MATCH($A64,Mapping!$A:$A,0))="",INDEX(JLRrates!$C:$C,MATCH(INDEX(Mapping!$C:$C,MATCH($A64,Mapping!$A:$A,0)),JLRrates!$B:$B,0))=""),0,INDEX(JLRrates!$C:$C,MATCH(INDEX(Mapping!$C:$C,MATCH($A64,Mapping!$A:$A,0)),JLRrates!$B:$B,0))),0)</f>
        <v>0</v>
      </c>
    </row>
    <row r="65">
      <c r="A65" t="str">
        <v>forge-press-8000t</v>
      </c>
      <c r="B65" t="str">
        <v>8000T Hydraulic Forge Press</v>
      </c>
      <c r="C65" t="str">
        <v>UK</v>
      </c>
      <c r="D65">
        <f>IF($O65&gt;0,$O65*3500*0.75,380000)</f>
        <v>380000</v>
      </c>
      <c r="E65">
        <f>IF($O65&gt;0,0,170000)</f>
        <v>170000</v>
      </c>
      <c r="F65">
        <f>IF($O65&gt;0,0,320000)</f>
        <v>320000</v>
      </c>
      <c r="G65">
        <f>IF($O65&gt;0,0,70000)</f>
        <v>70000</v>
      </c>
      <c r="H65">
        <f>IF($O65&gt;0,0,75000)</f>
        <v>75000</v>
      </c>
      <c r="I65">
        <f>IF($O65&gt;0,0,47500)</f>
        <v>47500</v>
      </c>
      <c r="J65">
        <v>3500</v>
      </c>
      <c r="K65">
        <v>0.75</v>
      </c>
      <c r="L65" t="str">
        <v>2026-06-14</v>
      </c>
      <c r="M65" t="str">
        <f>IF($O65&gt;0,"JLR flat rate "&amp;TEXT($O65,"0.00")&amp;" per hr — build-up not supplied","UK forge shop benchmark (heavy structural/aero press), Jun 2026")</f>
        <v>UK forge shop benchmark (heavy structural/aero press), Jun 2026</v>
      </c>
      <c r="N65" t="str">
        <v>Medium</v>
      </c>
      <c r="O65">
        <f>IFERROR(IF(OR(INDEX(Mapping!$C:$C,MATCH($A65,Mapping!$A:$A,0))="",INDEX(JLRrates!$C:$C,MATCH(INDEX(Mapping!$C:$C,MATCH($A65,Mapping!$A:$A,0)),JLRrates!$B:$B,0))=""),0,INDEX(JLRrates!$C:$C,MATCH(INDEX(Mapping!$C:$C,MATCH($A65,Mapping!$A:$A,0)),JLRrates!$B:$B,0))),0)</f>
        <v>0</v>
      </c>
    </row>
    <row r="66">
      <c r="A66" t="str">
        <v>forge-screw-1000t</v>
      </c>
      <c r="B66" t="str">
        <v>1000T Screw Press</v>
      </c>
      <c r="C66" t="str">
        <v>UK</v>
      </c>
      <c r="D66">
        <f>IF($O66&gt;0,$O66*3500*0.78,70000)</f>
        <v>70000</v>
      </c>
      <c r="E66">
        <f>IF($O66&gt;0,0,32000)</f>
        <v>32000</v>
      </c>
      <c r="F66">
        <f>IF($O66&gt;0,0,60000)</f>
        <v>60000</v>
      </c>
      <c r="G66">
        <f>IF($O66&gt;0,0,16000)</f>
        <v>16000</v>
      </c>
      <c r="H66">
        <f>IF($O66&gt;0,0,14000)</f>
        <v>14000</v>
      </c>
      <c r="I66">
        <f>IF($O66&gt;0,0,8750)</f>
        <v>8750</v>
      </c>
      <c r="J66">
        <v>3500</v>
      </c>
      <c r="K66">
        <v>0.78</v>
      </c>
      <c r="L66" t="str">
        <v>2026-06-14</v>
      </c>
      <c r="M66" t="str">
        <f>IF($O66&gt;0,"JLR flat rate "&amp;TEXT($O66,"0.00")&amp;" per hr — build-up not supplied","UK forge shop benchmark (screw press — precision/near-net), Jun 2026")</f>
        <v>UK forge shop benchmark (screw press — precision/near-net), Jun 2026</v>
      </c>
      <c r="N66" t="str">
        <v>Medium</v>
      </c>
      <c r="O66">
        <f>IFERROR(IF(OR(INDEX(Mapping!$C:$C,MATCH($A66,Mapping!$A:$A,0))="",INDEX(JLRrates!$C:$C,MATCH(INDEX(Mapping!$C:$C,MATCH($A66,Mapping!$A:$A,0)),JLRrates!$B:$B,0))=""),0,INDEX(JLRrates!$C:$C,MATCH(INDEX(Mapping!$C:$C,MATCH($A66,Mapping!$A:$A,0)),JLRrates!$B:$B,0))),0)</f>
        <v>0</v>
      </c>
    </row>
    <row r="67">
      <c r="A67" t="str">
        <v>forge-upsetter-1000t</v>
      </c>
      <c r="B67" t="str">
        <v>1000T Horizontal Upsetter</v>
      </c>
      <c r="C67" t="str">
        <v>UK</v>
      </c>
      <c r="D67">
        <f>IF($O67&gt;0,$O67*3500*0.78,60000)</f>
        <v>60000</v>
      </c>
      <c r="E67">
        <f>IF($O67&gt;0,0,28000)</f>
        <v>28000</v>
      </c>
      <c r="F67">
        <f>IF($O67&gt;0,0,40000)</f>
        <v>40000</v>
      </c>
      <c r="G67">
        <f>IF($O67&gt;0,0,14000)</f>
        <v>14000</v>
      </c>
      <c r="H67">
        <f>IF($O67&gt;0,0,12000)</f>
        <v>12000</v>
      </c>
      <c r="I67">
        <f>IF($O67&gt;0,0,7500)</f>
        <v>7500</v>
      </c>
      <c r="J67">
        <v>3500</v>
      </c>
      <c r="K67">
        <v>0.78</v>
      </c>
      <c r="L67" t="str">
        <v>2026-06-14</v>
      </c>
      <c r="M67" t="str">
        <f>IF($O67&gt;0,"JLR flat rate "&amp;TEXT($O67,"0.00")&amp;" per hr — build-up not supplied","UK forge shop benchmark (upset forging — gears, valves, flanges), Jun 2026")</f>
        <v>UK forge shop benchmark (upset forging — gears, valves, flanges), Jun 2026</v>
      </c>
      <c r="N67" t="str">
        <v>Medium</v>
      </c>
      <c r="O67">
        <f>IFERROR(IF(OR(INDEX(Mapping!$C:$C,MATCH($A67,Mapping!$A:$A,0))="",INDEX(JLRrates!$C:$C,MATCH(INDEX(Mapping!$C:$C,MATCH($A67,Mapping!$A:$A,0)),JLRrates!$B:$B,0))=""),0,INDEX(JLRrates!$C:$C,MATCH(INDEX(Mapping!$C:$C,MATCH($A67,Mapping!$A:$A,0)),JLRrates!$B:$B,0))),0)</f>
        <v>0</v>
      </c>
    </row>
    <row r="68">
      <c r="A68" t="str">
        <v>forge-hammer-2t</v>
      </c>
      <c r="B68" t="str">
        <v>2T Pneumatic Forge Hammer</v>
      </c>
      <c r="C68" t="str">
        <v>UK</v>
      </c>
      <c r="D68">
        <f>IF($O68&gt;0,$O68*3500*0.78,20000)</f>
        <v>20000</v>
      </c>
      <c r="E68">
        <f>IF($O68&gt;0,0,10000)</f>
        <v>10000</v>
      </c>
      <c r="F68">
        <f>IF($O68&gt;0,0,28000)</f>
        <v>28000</v>
      </c>
      <c r="G68">
        <f>IF($O68&gt;0,0,10000)</f>
        <v>10000</v>
      </c>
      <c r="H68">
        <f>IF($O68&gt;0,0,6000)</f>
        <v>6000</v>
      </c>
      <c r="I68">
        <f>IF($O68&gt;0,0,2500)</f>
        <v>2500</v>
      </c>
      <c r="J68">
        <v>3500</v>
      </c>
      <c r="K68">
        <v>0.78</v>
      </c>
      <c r="L68" t="str">
        <v>2026-06-14</v>
      </c>
      <c r="M68" t="str">
        <f>IF($O68&gt;0,"JLR flat rate "&amp;TEXT($O68,"0.00")&amp;" per hr — build-up not supplied","UK forge shop benchmark (small drop hammer), Jun 2026")</f>
        <v>UK forge shop benchmark (small drop hammer), Jun 2026</v>
      </c>
      <c r="N68" t="str">
        <v>Medium</v>
      </c>
      <c r="O68">
        <f>IFERROR(IF(OR(INDEX(Mapping!$C:$C,MATCH($A68,Mapping!$A:$A,0))="",INDEX(JLRrates!$C:$C,MATCH(INDEX(Mapping!$C:$C,MATCH($A68,Mapping!$A:$A,0)),JLRrates!$B:$B,0))=""),0,INDEX(JLRrates!$C:$C,MATCH(INDEX(Mapping!$C:$C,MATCH($A68,Mapping!$A:$A,0)),JLRrates!$B:$B,0))),0)</f>
        <v>0</v>
      </c>
    </row>
    <row r="69">
      <c r="A69" t="str">
        <v>forge-hammer-5t</v>
      </c>
      <c r="B69" t="str">
        <v>5T Pneumatic Forge Hammer</v>
      </c>
      <c r="C69" t="str">
        <v>UK</v>
      </c>
      <c r="D69">
        <f>IF($O69&gt;0,$O69*3500*0.78,35000)</f>
        <v>35000</v>
      </c>
      <c r="E69">
        <f>IF($O69&gt;0,0,18000)</f>
        <v>18000</v>
      </c>
      <c r="F69">
        <f>IF($O69&gt;0,0,45000)</f>
        <v>45000</v>
      </c>
      <c r="G69">
        <f>IF($O69&gt;0,0,15000)</f>
        <v>15000</v>
      </c>
      <c r="H69">
        <f>IF($O69&gt;0,0,9000)</f>
        <v>9000</v>
      </c>
      <c r="I69">
        <f>IF($O69&gt;0,0,4375)</f>
        <v>4375</v>
      </c>
      <c r="J69">
        <v>3500</v>
      </c>
      <c r="K69">
        <v>0.78</v>
      </c>
      <c r="L69" t="str">
        <v>2026-06-14</v>
      </c>
      <c r="M69" t="str">
        <f>IF($O69&gt;0,"JLR flat rate "&amp;TEXT($O69,"0.00")&amp;" per hr — build-up not supplied","UK forge shop benchmark, Jun 2026")</f>
        <v>UK forge shop benchmark, Jun 2026</v>
      </c>
      <c r="N69" t="str">
        <v>Medium</v>
      </c>
      <c r="O69">
        <f>IFERROR(IF(OR(INDEX(Mapping!$C:$C,MATCH($A69,Mapping!$A:$A,0))="",INDEX(JLRrates!$C:$C,MATCH(INDEX(Mapping!$C:$C,MATCH($A69,Mapping!$A:$A,0)),JLRrates!$B:$B,0))=""),0,INDEX(JLRrates!$C:$C,MATCH(INDEX(Mapping!$C:$C,MATCH($A69,Mapping!$A:$A,0)),JLRrates!$B:$B,0))),0)</f>
        <v>0</v>
      </c>
    </row>
    <row r="70">
      <c r="A70" t="str">
        <v>forge-hammer-10t</v>
      </c>
      <c r="B70" t="str">
        <v>10T Counterblow Forge Hammer</v>
      </c>
      <c r="C70" t="str">
        <v>UK</v>
      </c>
      <c r="D70">
        <f>IF($O70&gt;0,$O70*3500*0.78,60000)</f>
        <v>60000</v>
      </c>
      <c r="E70">
        <f>IF($O70&gt;0,0,30000)</f>
        <v>30000</v>
      </c>
      <c r="F70">
        <f>IF($O70&gt;0,0,70000)</f>
        <v>70000</v>
      </c>
      <c r="G70">
        <f>IF($O70&gt;0,0,22000)</f>
        <v>22000</v>
      </c>
      <c r="H70">
        <f>IF($O70&gt;0,0,15000)</f>
        <v>15000</v>
      </c>
      <c r="I70">
        <f>IF($O70&gt;0,0,7500)</f>
        <v>7500</v>
      </c>
      <c r="J70">
        <v>3500</v>
      </c>
      <c r="K70">
        <v>0.78</v>
      </c>
      <c r="L70" t="str">
        <v>2026-06-14</v>
      </c>
      <c r="M70" t="str">
        <f>IF($O70&gt;0,"JLR flat rate "&amp;TEXT($O70,"0.00")&amp;" per hr — build-up not supplied","UK forge shop benchmark (heavy counterblow hammer), Jun 2026")</f>
        <v>UK forge shop benchmark (heavy counterblow hammer), Jun 2026</v>
      </c>
      <c r="N70" t="str">
        <v>Medium</v>
      </c>
      <c r="O70">
        <f>IFERROR(IF(OR(INDEX(Mapping!$C:$C,MATCH($A70,Mapping!$A:$A,0))="",INDEX(JLRrates!$C:$C,MATCH(INDEX(Mapping!$C:$C,MATCH($A70,Mapping!$A:$A,0)),JLRrates!$B:$B,0))=""),0,INDEX(JLRrates!$C:$C,MATCH(INDEX(Mapping!$C:$C,MATCH($A70,Mapping!$A:$A,0)),JLRrates!$B:$B,0))),0)</f>
        <v>0</v>
      </c>
    </row>
    <row r="71">
      <c r="A71" t="str">
        <v>forge-ring-mill</v>
      </c>
      <c r="B71" t="str">
        <v>CNC Seamless Ring Rolling Mill</v>
      </c>
      <c r="C71" t="str">
        <v>UK</v>
      </c>
      <c r="D71">
        <f>IF($O71&gt;0,$O71*3500*0.78,120000)</f>
        <v>120000</v>
      </c>
      <c r="E71">
        <f>IF($O71&gt;0,0,55000)</f>
        <v>55000</v>
      </c>
      <c r="F71">
        <f>IF($O71&gt;0,0,90000)</f>
        <v>90000</v>
      </c>
      <c r="G71">
        <f>IF($O71&gt;0,0,30000)</f>
        <v>30000</v>
      </c>
      <c r="H71">
        <f>IF($O71&gt;0,0,25000)</f>
        <v>25000</v>
      </c>
      <c r="I71">
        <f>IF($O71&gt;0,0,15000)</f>
        <v>15000</v>
      </c>
      <c r="J71">
        <v>3500</v>
      </c>
      <c r="K71">
        <v>0.78</v>
      </c>
      <c r="L71" t="str">
        <v>2026-06-14</v>
      </c>
      <c r="M71" t="str">
        <f>IF($O71&gt;0,"JLR flat rate "&amp;TEXT($O71,"0.00")&amp;" per hr — build-up not supplied","UK forge shop benchmark (radial-axial ring mill), Jun 2026")</f>
        <v>UK forge shop benchmark (radial-axial ring mill), Jun 2026</v>
      </c>
      <c r="N71" t="str">
        <v>Medium</v>
      </c>
      <c r="O71">
        <f>IFERROR(IF(OR(INDEX(Mapping!$C:$C,MATCH($A71,Mapping!$A:$A,0))="",INDEX(JLRrates!$C:$C,MATCH(INDEX(Mapping!$C:$C,MATCH($A71,Mapping!$A:$A,0)),JLRrates!$B:$B,0))=""),0,INDEX(JLRrates!$C:$C,MATCH(INDEX(Mapping!$C:$C,MATCH($A71,Mapping!$A:$A,0)),JLRrates!$B:$B,0))),0)</f>
        <v>0</v>
      </c>
    </row>
    <row r="72">
      <c r="A72" t="str">
        <v>paint-line-std</v>
      </c>
      <c r="B72" t="str">
        <v>Standard Paint Line (E-coat + Topcoat)</v>
      </c>
      <c r="C72" t="str">
        <v>UK</v>
      </c>
      <c r="D72">
        <f>IF($O72&gt;0,$O72*4000*0.82,120000)</f>
        <v>120000</v>
      </c>
      <c r="E72">
        <f>IF($O72&gt;0,0,50000)</f>
        <v>50000</v>
      </c>
      <c r="F72">
        <f>IF($O72&gt;0,0,80000)</f>
        <v>80000</v>
      </c>
      <c r="G72">
        <f>IF($O72&gt;0,0,40000)</f>
        <v>40000</v>
      </c>
      <c r="H72">
        <f>IF($O72&gt;0,0,30000)</f>
        <v>30000</v>
      </c>
      <c r="I72">
        <f>IF($O72&gt;0,0,15000)</f>
        <v>15000</v>
      </c>
      <c r="J72">
        <v>4000</v>
      </c>
      <c r="K72">
        <v>0.82</v>
      </c>
      <c r="L72" t="str">
        <v>2026-06-14</v>
      </c>
      <c r="M72" t="str">
        <f>IF($O72&gt;0,"JLR flat rate "&amp;TEXT($O72,"0.00")&amp;" per hr — build-up not supplied","UK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surface-treatment-rate.ts).")</f>
        <v>UK OEM paint line benchmark, Jun 2026. The £80k energy line is the whole line — gas-fired cure and dry-off ovens plus heated tanks, roughly 580 kW over 3,280 productive hours. Surface-treatment stage energy is therefore ALREADY here and must not be added again on top (see surface-treatment-rate.ts).</v>
      </c>
      <c r="N72" t="str">
        <v>Medium</v>
      </c>
      <c r="O72">
        <f>IFERROR(IF(OR(INDEX(Mapping!$C:$C,MATCH($A72,Mapping!$A:$A,0))="",INDEX(JLRrates!$C:$C,MATCH(INDEX(Mapping!$C:$C,MATCH($A72,Mapping!$A:$A,0)),JLRrates!$B:$B,0))=""),0,INDEX(JLRrates!$C:$C,MATCH(INDEX(Mapping!$C:$C,MATCH($A72,Mapping!$A:$A,0)),JLRrates!$B:$B,0))),0)</f>
        <v>0</v>
      </c>
    </row>
    <row r="73">
      <c r="A73" t="str">
        <v>plating-line-barrel</v>
      </c>
      <c r="B73" t="str">
        <v>Barrel Plating Line (zinc, high volume)</v>
      </c>
      <c r="C73" t="str">
        <v>UK</v>
      </c>
      <c r="D73">
        <f>IF($O73&gt;0,$O73*4000*0.8,45000)</f>
        <v>45000</v>
      </c>
      <c r="E73">
        <f>IF($O73&gt;0,0,22000)</f>
        <v>22000</v>
      </c>
      <c r="F73">
        <f>IF($O73&gt;0,0,35000)</f>
        <v>35000</v>
      </c>
      <c r="G73">
        <f>IF($O73&gt;0,0,18000)</f>
        <v>18000</v>
      </c>
      <c r="H73">
        <f>IF($O73&gt;0,0,20000)</f>
        <v>20000</v>
      </c>
      <c r="I73">
        <f>IF($O73&gt;0,0,8000)</f>
        <v>8000</v>
      </c>
      <c r="J73">
        <v>4000</v>
      </c>
      <c r="K73">
        <v>0.8</v>
      </c>
      <c r="L73" t="str">
        <v>2026-06-14</v>
      </c>
      <c r="M73" t="str">
        <f>IF($O73&gt;0,"JLR flat rate "&amp;TEXT($O73,"0.00")&amp;" per hr — build-up not supplied","REPRESENTATIVE — UK barrel zinc line class: tanks, rectifiers, barrels, effluent plant and discharge consent. Rectifier-dominated electrical load, no ovens. Target ~£46/hr. Replace with plant data.")</f>
        <v>REPRESENTATIVE — UK barrel zinc line class: tanks, rectifiers, barrels, effluent plant and discharge consent. Rectifier-dominated electrical load, no ovens. Target ~£46/hr. Replace with plant data.</v>
      </c>
      <c r="N73" t="str">
        <v>Medium</v>
      </c>
      <c r="O73">
        <f>IFERROR(IF(OR(INDEX(Mapping!$C:$C,MATCH($A73,Mapping!$A:$A,0))="",INDEX(JLRrates!$C:$C,MATCH(INDEX(Mapping!$C:$C,MATCH($A73,Mapping!$A:$A,0)),JLRrates!$B:$B,0))=""),0,INDEX(JLRrates!$C:$C,MATCH(INDEX(Mapping!$C:$C,MATCH($A73,Mapping!$A:$A,0)),JLRrates!$B:$B,0))),0)</f>
        <v>0</v>
      </c>
    </row>
    <row r="74">
      <c r="A74" t="str">
        <v>plating-line-rack</v>
      </c>
      <c r="B74" t="str">
        <v>Rack Plating / Anodising Line</v>
      </c>
      <c r="C74" t="str">
        <v>UK</v>
      </c>
      <c r="D74">
        <f>IF($O74&gt;0,$O74*4000*0.78,70000)</f>
        <v>70000</v>
      </c>
      <c r="E74">
        <f>IF($O74&gt;0,0,30000)</f>
        <v>30000</v>
      </c>
      <c r="F74">
        <f>IF($O74&gt;0,0,45000)</f>
        <v>45000</v>
      </c>
      <c r="G74">
        <f>IF($O74&gt;0,0,25000)</f>
        <v>25000</v>
      </c>
      <c r="H74">
        <f>IF($O74&gt;0,0,28000)</f>
        <v>28000</v>
      </c>
      <c r="I74">
        <f>IF($O74&gt;0,0,12000)</f>
        <v>12000</v>
      </c>
      <c r="J74">
        <v>4000</v>
      </c>
      <c r="K74">
        <v>0.78</v>
      </c>
      <c r="L74" t="str">
        <v>2026-06-14</v>
      </c>
      <c r="M74" t="str">
        <f>IF($O74&gt;0,"JLR flat rate "&amp;TEXT($O74,"0.00")&amp;" per hr — build-up not supplied","REPRESENTATIVE — UK rack plating and sulphuric anodising class. Higher capital and lower throughput than barrel: parts are jigged individually. Target ~£67/hr. Replace with plant data.")</f>
        <v>REPRESENTATIVE — UK rack plating and sulphuric anodising class. Higher capital and lower throughput than barrel: parts are jigged individually. Target ~£67/hr. Replace with plant data.</v>
      </c>
      <c r="N74" t="str">
        <v>Medium</v>
      </c>
      <c r="O74">
        <f>IFERROR(IF(OR(INDEX(Mapping!$C:$C,MATCH($A74,Mapping!$A:$A,0))="",INDEX(JLRrates!$C:$C,MATCH(INDEX(Mapping!$C:$C,MATCH($A74,Mapping!$A:$A,0)),JLRrates!$B:$B,0))=""),0,INDEX(JLRrates!$C:$C,MATCH(INDEX(Mapping!$C:$C,MATCH($A74,Mapping!$A:$A,0)),JLRrates!$B:$B,0))),0)</f>
        <v>0</v>
      </c>
    </row>
    <row r="75">
      <c r="A75" t="str">
        <v>blast-machine</v>
      </c>
      <c r="B75" t="str">
        <v>Shot Blast Machine (tumble / hanger)</v>
      </c>
      <c r="C75" t="str">
        <v>UK</v>
      </c>
      <c r="D75">
        <f>IF($O75&gt;0,$O75*4000*0.8,26000)</f>
        <v>26000</v>
      </c>
      <c r="E75">
        <f>IF($O75&gt;0,0,18000)</f>
        <v>18000</v>
      </c>
      <c r="F75">
        <f>IF($O75&gt;0,0,14000)</f>
        <v>14000</v>
      </c>
      <c r="G75">
        <f>IF($O75&gt;0,0,9000)</f>
        <v>9000</v>
      </c>
      <c r="H75">
        <f>IF($O75&gt;0,0,11000)</f>
        <v>11000</v>
      </c>
      <c r="I75">
        <f>IF($O75&gt;0,0,4500)</f>
        <v>4500</v>
      </c>
      <c r="J75">
        <v>4000</v>
      </c>
      <c r="K75">
        <v>0.8</v>
      </c>
      <c r="L75" t="str">
        <v>2026-06-14</v>
      </c>
      <c r="M75" t="str">
        <f>IF($O75&gt;0,"JLR flat rate "&amp;TEXT($O75,"0.00")&amp;" per hr — build-up not supplied","REPRESENTATIVE — UK descaling/cleaning cell class: blast wheels, shot recovery and separation, dust extraction. Maintenance is high relative to capital because blades, liners and the separator are consumable wear parts. Replace with plant data.")</f>
        <v>REPRESENTATIVE — UK descaling/cleaning cell class: blast wheels, shot recovery and separation, dust extraction. Maintenance is high relative to capital because blades, liners and the separator are consumable wear parts. Replace with plant data.</v>
      </c>
      <c r="N75" t="str">
        <v>Medium</v>
      </c>
      <c r="O75">
        <f>IFERROR(IF(OR(INDEX(Mapping!$C:$C,MATCH($A75,Mapping!$A:$A,0))="",INDEX(JLRrates!$C:$C,MATCH(INDEX(Mapping!$C:$C,MATCH($A75,Mapping!$A:$A,0)),JLRrates!$B:$B,0))=""),0,INDEX(JLRrates!$C:$C,MATCH(INDEX(Mapping!$C:$C,MATCH($A75,Mapping!$A:$A,0)),JLRrates!$B:$B,0))),0)</f>
        <v>0</v>
      </c>
    </row>
    <row r="76">
      <c r="A76" t="str">
        <v>mass-finish-bowl</v>
      </c>
      <c r="B76" t="str">
        <v>Vibratory / Mass Finishing Bowl</v>
      </c>
      <c r="C76" t="str">
        <v>UK</v>
      </c>
      <c r="D76">
        <f>IF($O76&gt;0,$O76*4000*0.75,14000)</f>
        <v>14000</v>
      </c>
      <c r="E76">
        <f>IF($O76&gt;0,0,9000)</f>
        <v>9000</v>
      </c>
      <c r="F76">
        <f>IF($O76&gt;0,0,7000)</f>
        <v>7000</v>
      </c>
      <c r="G76">
        <f>IF($O76&gt;0,0,7000)</f>
        <v>7000</v>
      </c>
      <c r="H76">
        <f>IF($O76&gt;0,0,8000)</f>
        <v>8000</v>
      </c>
      <c r="I76">
        <f>IF($O76&gt;0,0,2400)</f>
        <v>2400</v>
      </c>
      <c r="J76">
        <v>4000</v>
      </c>
      <c r="K76">
        <v>0.75</v>
      </c>
      <c r="L76" t="str">
        <v>2026-06-14</v>
      </c>
      <c r="M76" t="str">
        <f>IF($O76&gt;0,"JLR flat rate "&amp;TEXT($O76,"0.00")&amp;" per hr — build-up not supplied","REPRESENTATIVE — UK deburr/polish cell class: bowl, media separation, compound dosing, water treatment. Low capital, long cycles; media and compound are the real variable cost and are charged as stage chemistry. Replace with plant data.")</f>
        <v>REPRESENTATIVE — UK deburr/polish cell class: bowl, media separation, compound dosing, water treatment. Low capital, long cycles; media and compound are the real variable cost and are charged as stage chemistry. Replace with plant data.</v>
      </c>
      <c r="N76" t="str">
        <v>Medium</v>
      </c>
      <c r="O76">
        <f>IFERROR(IF(OR(INDEX(Mapping!$C:$C,MATCH($A76,Mapping!$A:$A,0))="",INDEX(JLRrates!$C:$C,MATCH(INDEX(Mapping!$C:$C,MATCH($A76,Mapping!$A:$A,0)),JLRrates!$B:$B,0))=""),0,INDEX(JLRrates!$C:$C,MATCH(INDEX(Mapping!$C:$C,MATCH($A76,Mapping!$A:$A,0)),JLRrates!$B:$B,0))),0)</f>
        <v>0</v>
      </c>
    </row>
    <row r="77">
      <c r="A77" t="str">
        <v>galvanising-kettle</v>
      </c>
      <c r="B77" t="str">
        <v>Hot Dip Galvanising Kettle (batch, EN ISO 1461)</v>
      </c>
      <c r="C77" t="str">
        <v>UK</v>
      </c>
      <c r="D77">
        <f>IF($O77&gt;0,$O77*5000*0.8,200000)</f>
        <v>200000</v>
      </c>
      <c r="E77">
        <f>IF($O77&gt;0,0,105000)</f>
        <v>105000</v>
      </c>
      <c r="F77">
        <f>IF($O77&gt;0,0,240000)</f>
        <v>240000</v>
      </c>
      <c r="G77">
        <f>IF($O77&gt;0,0,60000)</f>
        <v>60000</v>
      </c>
      <c r="H77">
        <f>IF($O77&gt;0,0,55000)</f>
        <v>55000</v>
      </c>
      <c r="I77">
        <f>IF($O77&gt;0,0,34000)</f>
        <v>34000</v>
      </c>
      <c r="J77">
        <v>5000</v>
      </c>
      <c r="K77">
        <v>0.8</v>
      </c>
      <c r="L77" t="str">
        <v>2026-06-14</v>
      </c>
      <c r="M77" t="str">
        <f>IF($O77&gt;0,"JLR flat rate "&amp;TEXT($O77,"0.00")&amp;" per hr — build-up not supplied","REPRESENTATIVE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time.")</f>
        <v>REPRESENTATIVE — UK batch galvanising plant class: kettle, furnace, flux and pickle tanks, fume extraction, effluent. Energy dominates because the kettle is held molten continuously whether or not work is passing. The ZINC is NOT in this rate — it is a separate pass-through that scales with surface area, not with kettle time.</v>
      </c>
      <c r="N77" t="str">
        <v>Medium</v>
      </c>
      <c r="O77">
        <f>IFERROR(IF(OR(INDEX(Mapping!$C:$C,MATCH($A77,Mapping!$A:$A,0))="",INDEX(JLRrates!$C:$C,MATCH(INDEX(Mapping!$C:$C,MATCH($A77,Mapping!$A:$A,0)),JLRrates!$B:$B,0))=""),0,INDEX(JLRrates!$C:$C,MATCH(INDEX(Mapping!$C:$C,MATCH($A77,Mapping!$A:$A,0)),JLRrates!$B:$B,0))),0)</f>
        <v>0</v>
      </c>
    </row>
    <row r="78">
      <c r="A78" t="str">
        <v>impregnation-plant</v>
      </c>
      <c r="B78" t="str">
        <v>Vacuum Resin Impregnation Plant (casting porosity)</v>
      </c>
      <c r="C78" t="str">
        <v>UK</v>
      </c>
      <c r="D78">
        <f>IF($O78&gt;0,$O78*4000*0.78,30000)</f>
        <v>30000</v>
      </c>
      <c r="E78">
        <f>IF($O78&gt;0,0,15000)</f>
        <v>15000</v>
      </c>
      <c r="F78">
        <f>IF($O78&gt;0,0,11000)</f>
        <v>11000</v>
      </c>
      <c r="G78">
        <f>IF($O78&gt;0,0,8000)</f>
        <v>8000</v>
      </c>
      <c r="H78">
        <f>IF($O78&gt;0,0,10000)</f>
        <v>10000</v>
      </c>
      <c r="I78">
        <f>IF($O78&gt;0,0,5200)</f>
        <v>5200</v>
      </c>
      <c r="J78">
        <v>4000</v>
      </c>
      <c r="K78">
        <v>0.78</v>
      </c>
      <c r="L78" t="str">
        <v>2026-06-14</v>
      </c>
      <c r="M78" t="str">
        <f>IF($O78&gt;0,"JLR flat rate "&amp;TEXT($O78,"0.00")&amp;" per hr — build-up not supplied","REPRESENTATIVE — UK casting impregnation cell class: vacuum vessel, resin recovery, wash and cure stations. Casting-specific; its value is the pressure-test reject it prevents rather than anything it adds to the part. Replace with plant data.")</f>
        <v>REPRESENTATIVE — UK casting impregnation cell class: vacuum vessel, resin recovery, wash and cure stations. Casting-specific; its value is the pressure-test reject it prevents rather than anything it adds to the part. Replace with plant data.</v>
      </c>
      <c r="N78" t="str">
        <v>Medium</v>
      </c>
      <c r="O78">
        <f>IFERROR(IF(OR(INDEX(Mapping!$C:$C,MATCH($A78,Mapping!$A:$A,0))="",INDEX(JLRrates!$C:$C,MATCH(INDEX(Mapping!$C:$C,MATCH($A78,Mapping!$A:$A,0)),JLRrates!$B:$B,0))=""),0,INDEX(JLRrates!$C:$C,MATCH(INDEX(Mapping!$C:$C,MATCH($A78,Mapping!$A:$A,0)),JLRrates!$B:$B,0))),0)</f>
        <v>0</v>
      </c>
    </row>
    <row r="79">
      <c r="A79" t="str">
        <v>robot-weld-station</v>
      </c>
      <c r="B79" t="str">
        <v>Robot Welding Station</v>
      </c>
      <c r="C79" t="str">
        <v>UK</v>
      </c>
      <c r="D79">
        <f>IF($O79&gt;0,$O79*4000*0.82,35000)</f>
        <v>35000</v>
      </c>
      <c r="E79">
        <f>IF($O79&gt;0,0,14000)</f>
        <v>14000</v>
      </c>
      <c r="F79">
        <f>IF($O79&gt;0,0,6000)</f>
        <v>6000</v>
      </c>
      <c r="G79">
        <f>IF($O79&gt;0,0,8000)</f>
        <v>8000</v>
      </c>
      <c r="H79">
        <f>IF($O79&gt;0,0,7000)</f>
        <v>7000</v>
      </c>
      <c r="I79">
        <f>IF($O79&gt;0,0,4375)</f>
        <v>4375</v>
      </c>
      <c r="J79">
        <v>4000</v>
      </c>
      <c r="K79">
        <v>0.82</v>
      </c>
      <c r="L79" t="str">
        <v>2026-06-14</v>
      </c>
      <c r="M79" t="str">
        <f>IF($O79&gt;0,"JLR flat rate "&amp;TEXT($O79,"0.00")&amp;" per hr — build-up not supplied","UK body shop benchmark, Jun 2026")</f>
        <v>UK body shop benchmark, Jun 2026</v>
      </c>
      <c r="N79" t="str">
        <v>Medium</v>
      </c>
      <c r="O79">
        <f>IFERROR(IF(OR(INDEX(Mapping!$C:$C,MATCH($A79,Mapping!$A:$A,0))="",INDEX(JLRrates!$C:$C,MATCH(INDEX(Mapping!$C:$C,MATCH($A79,Mapping!$A:$A,0)),JLRrates!$B:$B,0))=""),0,INDEX(JLRrates!$C:$C,MATCH(INDEX(Mapping!$C:$C,MATCH($A79,Mapping!$A:$A,0)),JLRrates!$B:$B,0))),0)</f>
        <v>0</v>
      </c>
    </row>
    <row r="80">
      <c r="A80" t="str">
        <v>smt-line</v>
      </c>
      <c r="B80" t="str">
        <v>SMT Pick &amp; Place + Reflow Line</v>
      </c>
      <c r="C80" t="str">
        <v>UK</v>
      </c>
      <c r="D80">
        <f>IF($O80&gt;0,$O80*4000*0.82,80000)</f>
        <v>80000</v>
      </c>
      <c r="E80">
        <f>IF($O80&gt;0,0,30000)</f>
        <v>30000</v>
      </c>
      <c r="F80">
        <f>IF($O80&gt;0,0,15000)</f>
        <v>15000</v>
      </c>
      <c r="G80">
        <f>IF($O80&gt;0,0,20000)</f>
        <v>20000</v>
      </c>
      <c r="H80">
        <f>IF($O80&gt;0,0,20000)</f>
        <v>20000</v>
      </c>
      <c r="I80">
        <f>IF($O80&gt;0,0,10000)</f>
        <v>10000</v>
      </c>
      <c r="J80">
        <v>4000</v>
      </c>
      <c r="K80">
        <v>0.82</v>
      </c>
      <c r="L80" t="str">
        <v>2026-06-14</v>
      </c>
      <c r="M80" t="str">
        <f>IF($O80&gt;0,"JLR flat rate "&amp;TEXT($O80,"0.00")&amp;" per hr — build-up not supplied","UK EMS benchmark, Jun 2026")</f>
        <v>UK EMS benchmark, Jun 2026</v>
      </c>
      <c r="N80" t="str">
        <v>Medium</v>
      </c>
      <c r="O80">
        <f>IFERROR(IF(OR(INDEX(Mapping!$C:$C,MATCH($A80,Mapping!$A:$A,0))="",INDEX(JLRrates!$C:$C,MATCH(INDEX(Mapping!$C:$C,MATCH($A80,Mapping!$A:$A,0)),JLRrates!$B:$B,0))=""),0,INDEX(JLRrates!$C:$C,MATCH(INDEX(Mapping!$C:$C,MATCH($A80,Mapping!$A:$A,0)),JLRrates!$B:$B,0))),0)</f>
        <v>0</v>
      </c>
    </row>
    <row r="81">
      <c r="A81" t="str">
        <v>smt-high-speed-line</v>
      </c>
      <c r="B81" t="str">
        <v>High-Speed SMT Line (Fuji/Juki/ASM)</v>
      </c>
      <c r="C81" t="str">
        <v>UK</v>
      </c>
      <c r="D81">
        <f>IF($O81&gt;0,$O81*4000*0.82,180000)</f>
        <v>180000</v>
      </c>
      <c r="E81">
        <f>IF($O81&gt;0,0,80000)</f>
        <v>80000</v>
      </c>
      <c r="F81">
        <f>IF($O81&gt;0,0,55000)</f>
        <v>55000</v>
      </c>
      <c r="G81">
        <f>IF($O81&gt;0,0,30000)</f>
        <v>30000</v>
      </c>
      <c r="H81">
        <f>IF($O81&gt;0,0,100000)</f>
        <v>100000</v>
      </c>
      <c r="I81">
        <f>IF($O81&gt;0,0,47000)</f>
        <v>47000</v>
      </c>
      <c r="J81">
        <v>4000</v>
      </c>
      <c r="K81">
        <v>0.82</v>
      </c>
      <c r="L81" t="str">
        <v>2026-06-14</v>
      </c>
      <c r="M81" t="str">
        <f>IF($O81&gt;0,"JLR flat rate "&amp;TEXT($O81,"0.00")&amp;" per hr — build-up not supplied","High-speed SMT line 80000+ CPH. Automotive EMS benchmark. Target £150/hr. Jun 2026")</f>
        <v>High-speed SMT line 80000+ CPH. Automotive EMS benchmark. Target £150/hr. Jun 2026</v>
      </c>
      <c r="N81" t="str">
        <v>Medium</v>
      </c>
      <c r="O81">
        <f>IFERROR(IF(OR(INDEX(Mapping!$C:$C,MATCH($A81,Mapping!$A:$A,0))="",INDEX(JLRrates!$C:$C,MATCH(INDEX(Mapping!$C:$C,MATCH($A81,Mapping!$A:$A,0)),JLRrates!$B:$B,0))=""),0,INDEX(JLRrates!$C:$C,MATCH(INDEX(Mapping!$C:$C,MATCH($A81,Mapping!$A:$A,0)),JLRrates!$B:$B,0))),0)</f>
        <v>0</v>
      </c>
    </row>
    <row r="82">
      <c r="A82" t="str">
        <v>laser-drill-75um</v>
      </c>
      <c r="B82" t="str">
        <v>Laser Drill — 75 µm Microvia (CO₂/UV)</v>
      </c>
      <c r="C82" t="str">
        <v>UK</v>
      </c>
      <c r="D82">
        <f>IF($O82&gt;0,$O82*4000*0.82,150000)</f>
        <v>150000</v>
      </c>
      <c r="E82">
        <f>IF($O82&gt;0,0,60000)</f>
        <v>60000</v>
      </c>
      <c r="F82">
        <f>IF($O82&gt;0,0,40000)</f>
        <v>40000</v>
      </c>
      <c r="G82">
        <f>IF($O82&gt;0,0,25000)</f>
        <v>25000</v>
      </c>
      <c r="H82">
        <f>IF($O82&gt;0,0,80000)</f>
        <v>80000</v>
      </c>
      <c r="I82">
        <f>IF($O82&gt;0,0,38600)</f>
        <v>38600</v>
      </c>
      <c r="J82">
        <v>4000</v>
      </c>
      <c r="K82">
        <v>0.82</v>
      </c>
      <c r="L82" t="str">
        <v>2026-06-14</v>
      </c>
      <c r="M82" t="str">
        <f>IF($O82&gt;0,"JLR flat rate "&amp;TEXT($O82,"0.00")&amp;" per hr — build-up not supplied","CO₂/UV laser drill for HDI microvias (≥75 µm). UK PCB fab benchmark. Target £120/hr. Jun 2026")</f>
        <v>CO₂/UV laser drill for HDI microvias (≥75 µm). UK PCB fab benchmark. Target £120/hr. Jun 2026</v>
      </c>
      <c r="N82" t="str">
        <v>Medium</v>
      </c>
      <c r="O82">
        <f>IFERROR(IF(OR(INDEX(Mapping!$C:$C,MATCH($A82,Mapping!$A:$A,0))="",INDEX(JLRrates!$C:$C,MATCH(INDEX(Mapping!$C:$C,MATCH($A82,Mapping!$A:$A,0)),JLRrates!$B:$B,0))=""),0,INDEX(JLRrates!$C:$C,MATCH(INDEX(Mapping!$C:$C,MATCH($A82,Mapping!$A:$A,0)),JLRrates!$B:$B,0))),0)</f>
        <v>0</v>
      </c>
    </row>
    <row r="83">
      <c r="A83" t="str">
        <v>xray-bga-inspection</v>
      </c>
      <c r="B83" t="str">
        <v>X-Ray BGA Inspection Cell (2D/3D AXI)</v>
      </c>
      <c r="C83" t="str">
        <v>UK</v>
      </c>
      <c r="D83">
        <f>IF($O83&gt;0,$O83*4000*0.82,120000)</f>
        <v>120000</v>
      </c>
      <c r="E83">
        <f>IF($O83&gt;0,0,45000)</f>
        <v>45000</v>
      </c>
      <c r="F83">
        <f>IF($O83&gt;0,0,25000)</f>
        <v>25000</v>
      </c>
      <c r="G83">
        <f>IF($O83&gt;0,0,20000)</f>
        <v>20000</v>
      </c>
      <c r="H83">
        <f>IF($O83&gt;0,0,65000)</f>
        <v>65000</v>
      </c>
      <c r="I83">
        <f>IF($O83&gt;0,0,20200)</f>
        <v>20200</v>
      </c>
      <c r="J83">
        <v>4000</v>
      </c>
      <c r="K83">
        <v>0.82</v>
      </c>
      <c r="L83" t="str">
        <v>2026-06-14</v>
      </c>
      <c r="M83" t="str">
        <f>IF($O83&gt;0,"JLR flat rate "&amp;TEXT($O83,"0.00")&amp;" per hr — build-up not supplied","2D/3D automated X-ray inspection for BGA solder joints. EMS automotive benchmark. Target £90/hr. Jun 2026")</f>
        <v>2D/3D automated X-ray inspection for BGA solder joints. EMS automotive benchmark. Target £90/hr. Jun 2026</v>
      </c>
      <c r="N83" t="str">
        <v>Medium</v>
      </c>
      <c r="O83">
        <f>IFERROR(IF(OR(INDEX(Mapping!$C:$C,MATCH($A83,Mapping!$A:$A,0))="",INDEX(JLRrates!$C:$C,MATCH(INDEX(Mapping!$C:$C,MATCH($A83,Mapping!$A:$A,0)),JLRrates!$B:$B,0))=""),0,INDEX(JLRrates!$C:$C,MATCH(INDEX(Mapping!$C:$C,MATCH($A83,Mapping!$A:$A,0)),JLRrates!$B:$B,0))),0)</f>
        <v>0</v>
      </c>
    </row>
    <row r="84">
      <c r="A84" t="str">
        <v>ict-automotive</v>
      </c>
      <c r="B84" t="str">
        <v>ICT Bed-of-Nails Test System (Automotive)</v>
      </c>
      <c r="C84" t="str">
        <v>UK</v>
      </c>
      <c r="D84">
        <f>IF($O84&gt;0,$O84*4000*0.82,130000)</f>
        <v>130000</v>
      </c>
      <c r="E84">
        <f>IF($O84&gt;0,0,55000)</f>
        <v>55000</v>
      </c>
      <c r="F84">
        <f>IF($O84&gt;0,0,30000)</f>
        <v>30000</v>
      </c>
      <c r="G84">
        <f>IF($O84&gt;0,0,25000)</f>
        <v>25000</v>
      </c>
      <c r="H84">
        <f>IF($O84&gt;0,0,85000)</f>
        <v>85000</v>
      </c>
      <c r="I84">
        <f>IF($O84&gt;0,0,36600)</f>
        <v>36600</v>
      </c>
      <c r="J84">
        <v>4000</v>
      </c>
      <c r="K84">
        <v>0.82</v>
      </c>
      <c r="L84" t="str">
        <v>2026-06-14</v>
      </c>
      <c r="M84" t="str">
        <f>IF($O84&gt;0,"JLR flat rate "&amp;TEXT($O84,"0.00")&amp;" per hr — build-up not supplied","In-circuit test fixture for IATF 16949 automotive boards. Target £110/hr. Jun 2026")</f>
        <v>In-circuit test fixture for IATF 16949 automotive boards. Target £110/hr. Jun 2026</v>
      </c>
      <c r="N84" t="str">
        <v>Medium</v>
      </c>
      <c r="O84">
        <f>IFERROR(IF(OR(INDEX(Mapping!$C:$C,MATCH($A84,Mapping!$A:$A,0))="",INDEX(JLRrates!$C:$C,MATCH(INDEX(Mapping!$C:$C,MATCH($A84,Mapping!$A:$A,0)),JLRrates!$B:$B,0))=""),0,INDEX(JLRrates!$C:$C,MATCH(INDEX(Mapping!$C:$C,MATCH($A84,Mapping!$A:$A,0)),JLRrates!$B:$B,0))),0)</f>
        <v>0</v>
      </c>
    </row>
    <row r="85">
      <c r="A85" t="str">
        <v>blow-ebm-100l</v>
      </c>
      <c r="B85" t="str">
        <v>EBM Blow Moulder (up to 5L)</v>
      </c>
      <c r="C85" t="str">
        <v>UK</v>
      </c>
      <c r="D85">
        <f>IF($O85&gt;0,$O85*4000*0.8,25000)</f>
        <v>25000</v>
      </c>
      <c r="E85">
        <f>IF($O85&gt;0,0,12000)</f>
        <v>12000</v>
      </c>
      <c r="F85">
        <f>IF($O85&gt;0,0,18000)</f>
        <v>18000</v>
      </c>
      <c r="G85">
        <f>IF($O85&gt;0,0,6000)</f>
        <v>6000</v>
      </c>
      <c r="H85">
        <f>IF($O85&gt;0,0,5000)</f>
        <v>5000</v>
      </c>
      <c r="I85">
        <f>IF($O85&gt;0,0,3125)</f>
        <v>3125</v>
      </c>
      <c r="J85">
        <v>4000</v>
      </c>
      <c r="K85">
        <v>0.8</v>
      </c>
      <c r="L85" t="str">
        <v>2026-06-14</v>
      </c>
      <c r="M85" t="str">
        <f>IF($O85&gt;0,"JLR flat rate "&amp;TEXT($O85,"0.00")&amp;" per hr — build-up not supplied","UK plastics benchmark. EBM for bottles/containers up to 5L. Jun 2026")</f>
        <v>UK plastics benchmark. EBM for bottles/containers up to 5L. Jun 2026</v>
      </c>
      <c r="N85" t="str">
        <v>Medium</v>
      </c>
      <c r="O85">
        <f>IFERROR(IF(OR(INDEX(Mapping!$C:$C,MATCH($A85,Mapping!$A:$A,0))="",INDEX(JLRrates!$C:$C,MATCH(INDEX(Mapping!$C:$C,MATCH($A85,Mapping!$A:$A,0)),JLRrates!$B:$B,0))=""),0,INDEX(JLRrates!$C:$C,MATCH(INDEX(Mapping!$C:$C,MATCH($A85,Mapping!$A:$A,0)),JLRrates!$B:$B,0))),0)</f>
        <v>0</v>
      </c>
    </row>
    <row r="86">
      <c r="A86" t="str">
        <v>blow-ebm-500l</v>
      </c>
      <c r="B86" t="str">
        <v>EBM Blow Moulder (5–100L tanks/drums)</v>
      </c>
      <c r="C86" t="str">
        <v>UK</v>
      </c>
      <c r="D86">
        <f>IF($O86&gt;0,$O86*4000*0.8,45000)</f>
        <v>45000</v>
      </c>
      <c r="E86">
        <f>IF($O86&gt;0,0,20000)</f>
        <v>20000</v>
      </c>
      <c r="F86">
        <f>IF($O86&gt;0,0,30000)</f>
        <v>30000</v>
      </c>
      <c r="G86">
        <f>IF($O86&gt;0,0,12000)</f>
        <v>12000</v>
      </c>
      <c r="H86">
        <f>IF($O86&gt;0,0,9000)</f>
        <v>9000</v>
      </c>
      <c r="I86">
        <f>IF($O86&gt;0,0,5625)</f>
        <v>5625</v>
      </c>
      <c r="J86">
        <v>4000</v>
      </c>
      <c r="K86">
        <v>0.8</v>
      </c>
      <c r="L86" t="str">
        <v>2026-06-14</v>
      </c>
      <c r="M86" t="str">
        <f>IF($O86&gt;0,"JLR flat rate "&amp;TEXT($O86,"0.00")&amp;" per hr — build-up not supplied","UK plastics benchmark. EBM for large industrial containers, automotive fuel tanks. Jun 2026")</f>
        <v>UK plastics benchmark. EBM for large industrial containers, automotive fuel tanks. Jun 2026</v>
      </c>
      <c r="N86" t="str">
        <v>Medium</v>
      </c>
      <c r="O86">
        <f>IFERROR(IF(OR(INDEX(Mapping!$C:$C,MATCH($A86,Mapping!$A:$A,0))="",INDEX(JLRrates!$C:$C,MATCH(INDEX(Mapping!$C:$C,MATCH($A86,Mapping!$A:$A,0)),JLRrates!$B:$B,0))=""),0,INDEX(JLRrates!$C:$C,MATCH(INDEX(Mapping!$C:$C,MATCH($A86,Mapping!$A:$A,0)),JLRrates!$B:$B,0))),0)</f>
        <v>0</v>
      </c>
    </row>
    <row r="87">
      <c r="A87" t="str">
        <v>blow-ebm-2head</v>
      </c>
      <c r="B87" t="str">
        <v>EBM 2-Head (Bottles 1–5L)</v>
      </c>
      <c r="C87" t="str">
        <v>UK</v>
      </c>
      <c r="D87">
        <f>IF($O87&gt;0,$O87*4000*0.82,30000)</f>
        <v>30000</v>
      </c>
      <c r="E87">
        <f>IF($O87&gt;0,0,14000)</f>
        <v>14000</v>
      </c>
      <c r="F87">
        <f>IF($O87&gt;0,0,22000)</f>
        <v>22000</v>
      </c>
      <c r="G87">
        <f>IF($O87&gt;0,0,7000)</f>
        <v>7000</v>
      </c>
      <c r="H87">
        <f>IF($O87&gt;0,0,6000)</f>
        <v>6000</v>
      </c>
      <c r="I87">
        <f>IF($O87&gt;0,0,3750)</f>
        <v>3750</v>
      </c>
      <c r="J87">
        <v>4000</v>
      </c>
      <c r="K87">
        <v>0.82</v>
      </c>
      <c r="L87" t="str">
        <v>2026-06-14</v>
      </c>
      <c r="M87" t="str">
        <f>IF($O87&gt;0,"JLR flat rate "&amp;TEXT($O87,"0.00")&amp;" per hr — build-up not supplied","UK plastics benchmark Jun 2026. Continuous 2-head EBM for HDPE/LDPE/PP bottles and containers 1–5L. High output, straightforward tooling, typical dairy/detergent packaging.")</f>
        <v>UK plastics benchmark Jun 2026. Continuous 2-head EBM for HDPE/LDPE/PP bottles and containers 1–5L. High output, straightforward tooling, typical dairy/detergent packaging.</v>
      </c>
      <c r="N87" t="str">
        <v>Medium</v>
      </c>
      <c r="O87">
        <f>IFERROR(IF(OR(INDEX(Mapping!$C:$C,MATCH($A87,Mapping!$A:$A,0))="",INDEX(JLRrates!$C:$C,MATCH(INDEX(Mapping!$C:$C,MATCH($A87,Mapping!$A:$A,0)),JLRrates!$B:$B,0))=""),0,INDEX(JLRrates!$C:$C,MATCH(INDEX(Mapping!$C:$C,MATCH($A87,Mapping!$A:$A,0)),JLRrates!$B:$B,0))),0)</f>
        <v>0</v>
      </c>
    </row>
    <row r="88">
      <c r="A88" t="str">
        <v>blow-ebm-coex3</v>
      </c>
      <c r="B88" t="str">
        <v>3-Layer Co-Ex EBM</v>
      </c>
      <c r="C88" t="str">
        <v>UK</v>
      </c>
      <c r="D88">
        <f>IF($O88&gt;0,$O88*4000*0.78,60000)</f>
        <v>60000</v>
      </c>
      <c r="E88">
        <f>IF($O88&gt;0,0,25000)</f>
        <v>25000</v>
      </c>
      <c r="F88">
        <f>IF($O88&gt;0,0,35000)</f>
        <v>35000</v>
      </c>
      <c r="G88">
        <f>IF($O88&gt;0,0,12000)</f>
        <v>12000</v>
      </c>
      <c r="H88">
        <f>IF($O88&gt;0,0,12000)</f>
        <v>12000</v>
      </c>
      <c r="I88">
        <f>IF($O88&gt;0,0,7500)</f>
        <v>7500</v>
      </c>
      <c r="J88">
        <v>4000</v>
      </c>
      <c r="K88">
        <v>0.78</v>
      </c>
      <c r="L88" t="str">
        <v>2026-06-14</v>
      </c>
      <c r="M88" t="str">
        <f>IF($O88&gt;0,"JLR flat rate "&amp;TEXT($O88,"0.00")&amp;" per hr — build-up not supplied","UK plastics benchmark Jun 2026. 3-layer co-extrusion EBM — HDPE/regrind/HDPE or HDPE/barrier/HDPE for fuel tanks and barrier packaging. Higher capital and manning than mono-layer.")</f>
        <v>UK plastics benchmark Jun 2026. 3-layer co-extrusion EBM — HDPE/regrind/HDPE or HDPE/barrier/HDPE for fuel tanks and barrier packaging. Higher capital and manning than mono-layer.</v>
      </c>
      <c r="N88" t="str">
        <v>Medium</v>
      </c>
      <c r="O88">
        <f>IFERROR(IF(OR(INDEX(Mapping!$C:$C,MATCH($A88,Mapping!$A:$A,0))="",INDEX(JLRrates!$C:$C,MATCH(INDEX(Mapping!$C:$C,MATCH($A88,Mapping!$A:$A,0)),JLRrates!$B:$B,0))=""),0,INDEX(JLRrates!$C:$C,MATCH(INDEX(Mapping!$C:$C,MATCH($A88,Mapping!$A:$A,0)),JLRrates!$B:$B,0))),0)</f>
        <v>0</v>
      </c>
    </row>
    <row r="89">
      <c r="A89" t="str">
        <v>blow-ebm-coex5</v>
      </c>
      <c r="B89" t="str">
        <v>5-Layer Co-Ex EBM (High-Barrier)</v>
      </c>
      <c r="C89" t="str">
        <v>UK</v>
      </c>
      <c r="D89">
        <f>IF($O89&gt;0,$O89*4000*0.75,100000)</f>
        <v>100000</v>
      </c>
      <c r="E89">
        <f>IF($O89&gt;0,0,40000)</f>
        <v>40000</v>
      </c>
      <c r="F89">
        <f>IF($O89&gt;0,0,50000)</f>
        <v>50000</v>
      </c>
      <c r="G89">
        <f>IF($O89&gt;0,0,18000)</f>
        <v>18000</v>
      </c>
      <c r="H89">
        <f>IF($O89&gt;0,0,20000)</f>
        <v>20000</v>
      </c>
      <c r="I89">
        <f>IF($O89&gt;0,0,12500)</f>
        <v>12500</v>
      </c>
      <c r="J89">
        <v>4000</v>
      </c>
      <c r="K89">
        <v>0.75</v>
      </c>
      <c r="L89" t="str">
        <v>2026-06-14</v>
      </c>
      <c r="M89" t="str">
        <f>IF($O89&gt;0,"JLR flat rate "&amp;TEXT($O89,"0.00")&amp;" per hr — build-up not supplied","UK plastics benchmark Jun 2026. 5-layer co-ex EBM — HDPE/tie/EVOH/tie/HDPE for automotive fuel systems, food packaging requiring high oxygen/fuel barrier. Complex, high capital.")</f>
        <v>UK plastics benchmark Jun 2026. 5-layer co-ex EBM — HDPE/tie/EVOH/tie/HDPE for automotive fuel systems, food packaging requiring high oxygen/fuel barrier. Complex, high capital.</v>
      </c>
      <c r="N89" t="str">
        <v>Medium</v>
      </c>
      <c r="O89">
        <f>IFERROR(IF(OR(INDEX(Mapping!$C:$C,MATCH($A89,Mapping!$A:$A,0))="",INDEX(JLRrates!$C:$C,MATCH(INDEX(Mapping!$C:$C,MATCH($A89,Mapping!$A:$A,0)),JLRrates!$B:$B,0))=""),0,INDEX(JLRrates!$C:$C,MATCH(INDEX(Mapping!$C:$C,MATCH($A89,Mapping!$A:$A,0)),JLRrates!$B:$B,0))),0)</f>
        <v>0</v>
      </c>
    </row>
    <row r="90">
      <c r="A90" t="str">
        <v>blow-ebm-large</v>
      </c>
      <c r="B90" t="str">
        <v>Large EBM Accumulator Head (20–200L)</v>
      </c>
      <c r="C90" t="str">
        <v>UK</v>
      </c>
      <c r="D90">
        <f>IF($O90&gt;0,$O90*4000*0.77,70000)</f>
        <v>70000</v>
      </c>
      <c r="E90">
        <f>IF($O90&gt;0,0,32000)</f>
        <v>32000</v>
      </c>
      <c r="F90">
        <f>IF($O90&gt;0,0,45000)</f>
        <v>45000</v>
      </c>
      <c r="G90">
        <f>IF($O90&gt;0,0,20000)</f>
        <v>20000</v>
      </c>
      <c r="H90">
        <f>IF($O90&gt;0,0,14000)</f>
        <v>14000</v>
      </c>
      <c r="I90">
        <f>IF($O90&gt;0,0,8750)</f>
        <v>8750</v>
      </c>
      <c r="J90">
        <v>4000</v>
      </c>
      <c r="K90">
        <v>0.77</v>
      </c>
      <c r="L90" t="str">
        <v>2026-06-14</v>
      </c>
      <c r="M90" t="str">
        <f>IF($O90&gt;0,"JLR flat rate "&amp;TEXT($O90,"0.00")&amp;" per hr — build-up not supplied","UK plastics benchmark Jun 2026. Large accumulator-head EBM for drums (20–200L), IBCs, automotive fuel tanks. Long cycle, single cavity, high tonnage clamp.")</f>
        <v>UK plastics benchmark Jun 2026. Large accumulator-head EBM for drums (20–200L), IBCs, automotive fuel tanks. Long cycle, single cavity, high tonnage clamp.</v>
      </c>
      <c r="N90" t="str">
        <v>Medium</v>
      </c>
      <c r="O90">
        <f>IFERROR(IF(OR(INDEX(Mapping!$C:$C,MATCH($A90,Mapping!$A:$A,0))="",INDEX(JLRrates!$C:$C,MATCH(INDEX(Mapping!$C:$C,MATCH($A90,Mapping!$A:$A,0)),JLRrates!$B:$B,0))=""),0,INDEX(JLRrates!$C:$C,MATCH(INDEX(Mapping!$C:$C,MATCH($A90,Mapping!$A:$A,0)),JLRrates!$B:$B,0))),0)</f>
        <v>0</v>
      </c>
    </row>
    <row r="91">
      <c r="A91" t="str">
        <v>blow-ibm-rotary</v>
      </c>
      <c r="B91" t="str">
        <v>IBM Rotary Machine (Pharma/Cosmetics)</v>
      </c>
      <c r="C91" t="str">
        <v>UK</v>
      </c>
      <c r="D91">
        <f>IF($O91&gt;0,$O91*5000*0.88,80000)</f>
        <v>80000</v>
      </c>
      <c r="E91">
        <f>IF($O91&gt;0,0,28000)</f>
        <v>28000</v>
      </c>
      <c r="F91">
        <f>IF($O91&gt;0,0,25000)</f>
        <v>25000</v>
      </c>
      <c r="G91">
        <f>IF($O91&gt;0,0,15000)</f>
        <v>15000</v>
      </c>
      <c r="H91">
        <f>IF($O91&gt;0,0,16000)</f>
        <v>16000</v>
      </c>
      <c r="I91">
        <f>IF($O91&gt;0,0,10000)</f>
        <v>10000</v>
      </c>
      <c r="J91">
        <v>5000</v>
      </c>
      <c r="K91">
        <v>0.88</v>
      </c>
      <c r="L91" t="str">
        <v>2026-06-14</v>
      </c>
      <c r="M91" t="str">
        <f>IF($O91&gt;0,"JLR flat rate "&amp;TEXT($O91,"0.00")&amp;" per hr — build-up not supplied","UK plastics benchmark Jun 2026. Injection blow moulding rotary — 3/4-station indexing. No flash, dimensional accuracy ±0.05mm. Pharma vials, cosmetics jars, eye-drop bottles. PP/PE/PET.")</f>
        <v>UK plastics benchmark Jun 2026. Injection blow moulding rotary — 3/4-station indexing. No flash, dimensional accuracy ±0.05mm. Pharma vials, cosmetics jars, eye-drop bottles. PP/PE/PET.</v>
      </c>
      <c r="N91" t="str">
        <v>Medium</v>
      </c>
      <c r="O91">
        <f>IFERROR(IF(OR(INDEX(Mapping!$C:$C,MATCH($A91,Mapping!$A:$A,0))="",INDEX(JLRrates!$C:$C,MATCH(INDEX(Mapping!$C:$C,MATCH($A91,Mapping!$A:$A,0)),JLRrates!$B:$B,0))=""),0,INDEX(JLRrates!$C:$C,MATCH(INDEX(Mapping!$C:$C,MATCH($A91,Mapping!$A:$A,0)),JLRrates!$B:$B,0))),0)</f>
        <v>0</v>
      </c>
    </row>
    <row r="92">
      <c r="A92" t="str">
        <v>blow-ibm-linear</v>
      </c>
      <c r="B92" t="str">
        <v>IBM Linear Machine (Medium Volume)</v>
      </c>
      <c r="C92" t="str">
        <v>UK</v>
      </c>
      <c r="D92">
        <f>IF($O92&gt;0,$O92*4500*0.85,55000)</f>
        <v>55000</v>
      </c>
      <c r="E92">
        <f>IF($O92&gt;0,0,20000)</f>
        <v>20000</v>
      </c>
      <c r="F92">
        <f>IF($O92&gt;0,0,20000)</f>
        <v>20000</v>
      </c>
      <c r="G92">
        <f>IF($O92&gt;0,0,12000)</f>
        <v>12000</v>
      </c>
      <c r="H92">
        <f>IF($O92&gt;0,0,11000)</f>
        <v>11000</v>
      </c>
      <c r="I92">
        <f>IF($O92&gt;0,0,6875)</f>
        <v>6875</v>
      </c>
      <c r="J92">
        <v>4500</v>
      </c>
      <c r="K92">
        <v>0.85</v>
      </c>
      <c r="L92" t="str">
        <v>2026-06-14</v>
      </c>
      <c r="M92" t="str">
        <f>IF($O92&gt;0,"JLR flat rate "&amp;TEXT($O92,"0.00")&amp;" per hr — build-up not supplied","UK plastics benchmark Jun 2026. Injection blow moulding linear indexing. Wide-mouth jars, pharmaceutical bottles, narrow-neck containers. No flash. PP/PE.")</f>
        <v>UK plastics benchmark Jun 2026. Injection blow moulding linear indexing. Wide-mouth jars, pharmaceutical bottles, narrow-neck containers. No flash. PP/PE.</v>
      </c>
      <c r="N92" t="str">
        <v>Medium</v>
      </c>
      <c r="O92">
        <f>IFERROR(IF(OR(INDEX(Mapping!$C:$C,MATCH($A92,Mapping!$A:$A,0))="",INDEX(JLRrates!$C:$C,MATCH(INDEX(Mapping!$C:$C,MATCH($A92,Mapping!$A:$A,0)),JLRrates!$B:$B,0))=""),0,INDEX(JLRrates!$C:$C,MATCH(INDEX(Mapping!$C:$C,MATCH($A92,Mapping!$A:$A,0)),JLRrates!$B:$B,0))),0)</f>
        <v>0</v>
      </c>
    </row>
    <row r="93">
      <c r="A93" t="str">
        <v>blow-sbm-1stage</v>
      </c>
      <c r="B93" t="str">
        <v>SBM Single-Stage (Preform + Blow)</v>
      </c>
      <c r="C93" t="str">
        <v>UK</v>
      </c>
      <c r="D93">
        <f>IF($O93&gt;0,$O93*4500*0.8,65000)</f>
        <v>65000</v>
      </c>
      <c r="E93">
        <f>IF($O93&gt;0,0,24000)</f>
        <v>24000</v>
      </c>
      <c r="F93">
        <f>IF($O93&gt;0,0,35000)</f>
        <v>35000</v>
      </c>
      <c r="G93">
        <f>IF($O93&gt;0,0,14000)</f>
        <v>14000</v>
      </c>
      <c r="H93">
        <f>IF($O93&gt;0,0,13000)</f>
        <v>13000</v>
      </c>
      <c r="I93">
        <f>IF($O93&gt;0,0,8125)</f>
        <v>8125</v>
      </c>
      <c r="J93">
        <v>4500</v>
      </c>
      <c r="K93">
        <v>0.8</v>
      </c>
      <c r="L93" t="str">
        <v>2026-06-14</v>
      </c>
      <c r="M93" t="str">
        <f>IF($O93&gt;0,"JLR flat rate "&amp;TEXT($O93,"0.00")&amp;" per hr — build-up not supplied","UK plastics benchmark Jun 2026. Single-stage stretch blow moulding — preform injection and stretch-blow in one machine. PET/PP wide-mouth jars, cosmetics, condiment bottles. Excellent clarity.")</f>
        <v>UK plastics benchmark Jun 2026. Single-stage stretch blow moulding — preform injection and stretch-blow in one machine. PET/PP wide-mouth jars, cosmetics, condiment bottles. Excellent clarity.</v>
      </c>
      <c r="N93" t="str">
        <v>Medium</v>
      </c>
      <c r="O93">
        <f>IFERROR(IF(OR(INDEX(Mapping!$C:$C,MATCH($A93,Mapping!$A:$A,0))="",INDEX(JLRrates!$C:$C,MATCH(INDEX(Mapping!$C:$C,MATCH($A93,Mapping!$A:$A,0)),JLRrates!$B:$B,0))=""),0,INDEX(JLRrates!$C:$C,MATCH(INDEX(Mapping!$C:$C,MATCH($A93,Mapping!$A:$A,0)),JLRrates!$B:$B,0))),0)</f>
        <v>0</v>
      </c>
    </row>
    <row r="94">
      <c r="A94" t="str">
        <v>blow-sbm-2stage</v>
      </c>
      <c r="B94" t="str">
        <v>SBM Two-Stage Reheat (High-Speed PET)</v>
      </c>
      <c r="C94" t="str">
        <v>UK</v>
      </c>
      <c r="D94">
        <f>IF($O94&gt;0,$O94*6000*0.9,90000)</f>
        <v>90000</v>
      </c>
      <c r="E94">
        <f>IF($O94&gt;0,0,35000)</f>
        <v>35000</v>
      </c>
      <c r="F94">
        <f>IF($O94&gt;0,0,40000)</f>
        <v>40000</v>
      </c>
      <c r="G94">
        <f>IF($O94&gt;0,0,16000)</f>
        <v>16000</v>
      </c>
      <c r="H94">
        <f>IF($O94&gt;0,0,18000)</f>
        <v>18000</v>
      </c>
      <c r="I94">
        <f>IF($O94&gt;0,0,11250)</f>
        <v>11250</v>
      </c>
      <c r="J94">
        <v>6000</v>
      </c>
      <c r="K94">
        <v>0.9</v>
      </c>
      <c r="L94" t="str">
        <v>2026-06-14</v>
      </c>
      <c r="M94" t="str">
        <f>IF($O94&gt;0,"JLR flat rate "&amp;TEXT($O94,"0.00")&amp;" per hr — build-up not supplied","UK plastics benchmark Jun 2026. Two-stage reheat SBM — preforms made separately, reheated and blown at 20,000–80,000 bph. Dominant for PET water/CSD/juice bottles. Very low per-part cost at volume.")</f>
        <v>UK plastics benchmark Jun 2026. Two-stage reheat SBM — preforms made separately, reheated and blown at 20,000–80,000 bph. Dominant for PET water/CSD/juice bottles. Very low per-part cost at volume.</v>
      </c>
      <c r="N94" t="str">
        <v>Medium</v>
      </c>
      <c r="O94">
        <f>IFERROR(IF(OR(INDEX(Mapping!$C:$C,MATCH($A94,Mapping!$A:$A,0))="",INDEX(JLRrates!$C:$C,MATCH(INDEX(Mapping!$C:$C,MATCH($A94,Mapping!$A:$A,0)),JLRrates!$B:$B,0))=""),0,INDEX(JLRrates!$C:$C,MATCH(INDEX(Mapping!$C:$C,MATCH($A94,Mapping!$A:$A,0)),JLRrates!$B:$B,0))),0)</f>
        <v>0</v>
      </c>
    </row>
    <row r="95">
      <c r="A95" t="str">
        <v>blow-deflash-trimmer</v>
      </c>
      <c r="B95" t="str">
        <v>Deflash Trim Robot / Station</v>
      </c>
      <c r="C95" t="str">
        <v>UK</v>
      </c>
      <c r="D95">
        <f>IF($O95&gt;0,$O95*4000*0.85,15000)</f>
        <v>15000</v>
      </c>
      <c r="E95">
        <f>IF($O95&gt;0,0,6000)</f>
        <v>6000</v>
      </c>
      <c r="F95">
        <f>IF($O95&gt;0,0,8000)</f>
        <v>8000</v>
      </c>
      <c r="G95">
        <f>IF($O95&gt;0,0,6000)</f>
        <v>6000</v>
      </c>
      <c r="H95">
        <f>IF($O95&gt;0,0,3000)</f>
        <v>3000</v>
      </c>
      <c r="I95">
        <f>IF($O95&gt;0,0,1875)</f>
        <v>1875</v>
      </c>
      <c r="J95">
        <v>4000</v>
      </c>
      <c r="K95">
        <v>0.85</v>
      </c>
      <c r="L95" t="str">
        <v>2026-06-14</v>
      </c>
      <c r="M95" t="str">
        <f>IF($O95&gt;0,"JLR flat rate "&amp;TEXT($O95,"0.00")&amp;" per hr — build-up not supplied","UK plastics benchmark Jun 2026. Automated deflash trim station / robot for EBM parts. Removes pinch-off flash from bottles, tanks, automotive parts. 6–15s per part cycle.")</f>
        <v>UK plastics benchmark Jun 2026. Automated deflash trim station / robot for EBM parts. Removes pinch-off flash from bottles, tanks, automotive parts. 6–15s per part cycle.</v>
      </c>
      <c r="N95" t="str">
        <v>Medium</v>
      </c>
      <c r="O95">
        <f>IFERROR(IF(OR(INDEX(Mapping!$C:$C,MATCH($A95,Mapping!$A:$A,0))="",INDEX(JLRrates!$C:$C,MATCH(INDEX(Mapping!$C:$C,MATCH($A95,Mapping!$A:$A,0)),JLRrates!$B:$B,0))=""),0,INDEX(JLRrates!$C:$C,MATCH(INDEX(Mapping!$C:$C,MATCH($A95,Mapping!$A:$A,0)),JLRrates!$B:$B,0))),0)</f>
        <v>0</v>
      </c>
    </row>
    <row r="96">
      <c r="A96" t="str">
        <v>extruder-75mm</v>
      </c>
      <c r="B96" t="str">
        <v>Single Screw Extruder 75mm</v>
      </c>
      <c r="C96" t="str">
        <v>UK</v>
      </c>
      <c r="D96">
        <f>IF($O96&gt;0,$O96*5000*0.82,20000)</f>
        <v>20000</v>
      </c>
      <c r="E96">
        <f>IF($O96&gt;0,0,8000)</f>
        <v>8000</v>
      </c>
      <c r="F96">
        <f>IF($O96&gt;0,0,35000)</f>
        <v>35000</v>
      </c>
      <c r="G96">
        <f>IF($O96&gt;0,0,5000)</f>
        <v>5000</v>
      </c>
      <c r="H96">
        <f>IF($O96&gt;0,0,4000)</f>
        <v>4000</v>
      </c>
      <c r="I96">
        <f>IF($O96&gt;0,0,2500)</f>
        <v>2500</v>
      </c>
      <c r="J96">
        <v>5000</v>
      </c>
      <c r="K96">
        <v>0.82</v>
      </c>
      <c r="L96" t="str">
        <v>2026-06-14</v>
      </c>
      <c r="M96" t="str">
        <f>IF($O96&gt;0,"JLR flat rate "&amp;TEXT($O96,"0.00")&amp;" per hr — build-up not supplied","UK plastics benchmark. 75mm SSE for profile/pipe/sheet. ~200–400 kg/hr. Jun 2026")</f>
        <v>UK plastics benchmark. 75mm SSE for profile/pipe/sheet. ~200–400 kg/hr. Jun 2026</v>
      </c>
      <c r="N96" t="str">
        <v>Medium</v>
      </c>
      <c r="O96">
        <f>IFERROR(IF(OR(INDEX(Mapping!$C:$C,MATCH($A96,Mapping!$A:$A,0))="",INDEX(JLRrates!$C:$C,MATCH(INDEX(Mapping!$C:$C,MATCH($A96,Mapping!$A:$A,0)),JLRrates!$B:$B,0))=""),0,INDEX(JLRrates!$C:$C,MATCH(INDEX(Mapping!$C:$C,MATCH($A96,Mapping!$A:$A,0)),JLRrates!$B:$B,0))),0)</f>
        <v>0</v>
      </c>
    </row>
    <row r="97">
      <c r="A97" t="str">
        <v>extruder-150mm</v>
      </c>
      <c r="B97" t="str">
        <v>Twin Screw Compounding/Extrusion Line 150mm</v>
      </c>
      <c r="C97" t="str">
        <v>UK</v>
      </c>
      <c r="D97">
        <f>IF($O97&gt;0,$O97*5000*0.8,80000)</f>
        <v>80000</v>
      </c>
      <c r="E97">
        <f>IF($O97&gt;0,0,30000)</f>
        <v>30000</v>
      </c>
      <c r="F97">
        <f>IF($O97&gt;0,0,70000)</f>
        <v>70000</v>
      </c>
      <c r="G97">
        <f>IF($O97&gt;0,0,15000)</f>
        <v>15000</v>
      </c>
      <c r="H97">
        <f>IF($O97&gt;0,0,15000)</f>
        <v>15000</v>
      </c>
      <c r="I97">
        <f>IF($O97&gt;0,0,10000)</f>
        <v>10000</v>
      </c>
      <c r="J97">
        <v>5000</v>
      </c>
      <c r="K97">
        <v>0.8</v>
      </c>
      <c r="L97" t="str">
        <v>2026-06-14</v>
      </c>
      <c r="M97" t="str">
        <f>IF($O97&gt;0,"JLR flat rate "&amp;TEXT($O97,"0.00")&amp;" per hr — build-up not supplied","UK plastics benchmark. 150mm TSE compounding/extrusion line. ~800–1500 kg/hr. Jun 2026")</f>
        <v>UK plastics benchmark. 150mm TSE compounding/extrusion line. ~800–1500 kg/hr. Jun 2026</v>
      </c>
      <c r="N97" t="str">
        <v>Medium</v>
      </c>
      <c r="O97">
        <f>IFERROR(IF(OR(INDEX(Mapping!$C:$C,MATCH($A97,Mapping!$A:$A,0))="",INDEX(JLRrates!$C:$C,MATCH(INDEX(Mapping!$C:$C,MATCH($A97,Mapping!$A:$A,0)),JLRrates!$B:$B,0))=""),0,INDEX(JLRrates!$C:$C,MATCH(INDEX(Mapping!$C:$C,MATCH($A97,Mapping!$A:$A,0)),JLRrates!$B:$B,0))),0)</f>
        <v>0</v>
      </c>
    </row>
    <row r="98">
      <c r="A98" t="str">
        <v>extruder-pipe-line</v>
      </c>
      <c r="B98" t="str">
        <v>Pipe Extrusion Line 90mm (SSE + vacuum tank + haul-off + saw)</v>
      </c>
      <c r="C98" t="str">
        <v>UK</v>
      </c>
      <c r="D98">
        <f>IF($O98&gt;0,$O98*6000*0.85,45000)</f>
        <v>45000</v>
      </c>
      <c r="E98">
        <f>IF($O98&gt;0,0,15000)</f>
        <v>15000</v>
      </c>
      <c r="F98">
        <f>IF($O98&gt;0,0,55000)</f>
        <v>55000</v>
      </c>
      <c r="G98">
        <f>IF($O98&gt;0,0,12000)</f>
        <v>12000</v>
      </c>
      <c r="H98">
        <f>IF($O98&gt;0,0,9000)</f>
        <v>9000</v>
      </c>
      <c r="I98">
        <f>IF($O98&gt;0,0,6000)</f>
        <v>6000</v>
      </c>
      <c r="J98">
        <v>6000</v>
      </c>
      <c r="K98">
        <v>0.85</v>
      </c>
      <c r="L98" t="str">
        <v>2026-06-14</v>
      </c>
      <c r="M98" t="str">
        <f>IF($O98&gt;0,"JLR flat rate "&amp;TEXT($O98,"0.00")&amp;" per hr — build-up not supplied","UK plastics benchmark 2026-07. 90mm SSE pipe line — die, vacuum-sizing tank, spray cooling, caterpillar haul-off, planetary saw. PE/PVC pressure &amp; drainage pipe.")</f>
        <v>UK plastics benchmark 2026-07. 90mm SSE pipe line — die, vacuum-sizing tank, spray cooling, caterpillar haul-off, planetary saw. PE/PVC pressure &amp; drainage pipe.</v>
      </c>
      <c r="N98" t="str">
        <v>Medium</v>
      </c>
      <c r="O98">
        <f>IFERROR(IF(OR(INDEX(Mapping!$C:$C,MATCH($A98,Mapping!$A:$A,0))="",INDEX(JLRrates!$C:$C,MATCH(INDEX(Mapping!$C:$C,MATCH($A98,Mapping!$A:$A,0)),JLRrates!$B:$B,0))=""),0,INDEX(JLRrates!$C:$C,MATCH(INDEX(Mapping!$C:$C,MATCH($A98,Mapping!$A:$A,0)),JLRrates!$B:$B,0))),0)</f>
        <v>0</v>
      </c>
    </row>
    <row r="99">
      <c r="A99" t="str">
        <v>extruder-profile-line</v>
      </c>
      <c r="B99" t="str">
        <v>Profile Extrusion Line 75mm (SSE + calibration table + haul-off)</v>
      </c>
      <c r="C99" t="str">
        <v>UK</v>
      </c>
      <c r="D99">
        <f>IF($O99&gt;0,$O99*5500*0.8,30000)</f>
        <v>30000</v>
      </c>
      <c r="E99">
        <f>IF($O99&gt;0,0,12000)</f>
        <v>12000</v>
      </c>
      <c r="F99">
        <f>IF($O99&gt;0,0,40000)</f>
        <v>40000</v>
      </c>
      <c r="G99">
        <f>IF($O99&gt;0,0,8000)</f>
        <v>8000</v>
      </c>
      <c r="H99">
        <f>IF($O99&gt;0,0,7000)</f>
        <v>7000</v>
      </c>
      <c r="I99">
        <f>IF($O99&gt;0,0,4000)</f>
        <v>4000</v>
      </c>
      <c r="J99">
        <v>5500</v>
      </c>
      <c r="K99">
        <v>0.8</v>
      </c>
      <c r="L99" t="str">
        <v>2026-06-14</v>
      </c>
      <c r="M99" t="str">
        <f>IF($O99&gt;0,"JLR flat rate "&amp;TEXT($O99,"0.00")&amp;" per hr — build-up not supplied","UK plastics benchmark 2026-07. 75mm SSE profile line — dry/vacuum calibration table, cooling, haul-off, cut-off. Window/trim/seal profiles.")</f>
        <v>UK plastics benchmark 2026-07. 75mm SSE profile line — dry/vacuum calibration table, cooling, haul-off, cut-off. Window/trim/seal profiles.</v>
      </c>
      <c r="N99" t="str">
        <v>Medium</v>
      </c>
      <c r="O99">
        <f>IFERROR(IF(OR(INDEX(Mapping!$C:$C,MATCH($A99,Mapping!$A:$A,0))="",INDEX(JLRrates!$C:$C,MATCH(INDEX(Mapping!$C:$C,MATCH($A99,Mapping!$A:$A,0)),JLRrates!$B:$B,0))=""),0,INDEX(JLRrates!$C:$C,MATCH(INDEX(Mapping!$C:$C,MATCH($A99,Mapping!$A:$A,0)),JLRrates!$B:$B,0))),0)</f>
        <v>0</v>
      </c>
    </row>
    <row r="100">
      <c r="A100" t="str">
        <v>extruder-sheet-line</v>
      </c>
      <c r="B100" t="str">
        <v>Sheet Extrusion Line (die + 3-roll stack + winder)</v>
      </c>
      <c r="C100" t="str">
        <v>UK</v>
      </c>
      <c r="D100">
        <f>IF($O100&gt;0,$O100*6000*0.82,90000)</f>
        <v>90000</v>
      </c>
      <c r="E100">
        <f>IF($O100&gt;0,0,32000)</f>
        <v>32000</v>
      </c>
      <c r="F100">
        <f>IF($O100&gt;0,0,85000)</f>
        <v>85000</v>
      </c>
      <c r="G100">
        <f>IF($O100&gt;0,0,20000)</f>
        <v>20000</v>
      </c>
      <c r="H100">
        <f>IF($O100&gt;0,0,16000)</f>
        <v>16000</v>
      </c>
      <c r="I100">
        <f>IF($O100&gt;0,0,11000)</f>
        <v>11000</v>
      </c>
      <c r="J100">
        <v>6000</v>
      </c>
      <c r="K100">
        <v>0.82</v>
      </c>
      <c r="L100" t="str">
        <v>2026-06-14</v>
      </c>
      <c r="M100" t="str">
        <f>IF($O100&gt;0,"JLR flat rate "&amp;TEXT($O100,"0.00")&amp;" per hr — build-up not supplied","UK plastics benchmark 2026-07. Sheet line — coat-hanger die, polished 3-roll calender stack, edge-trim, thickness gauging, winder/guillotine. PS/PP/PET/ABS sheet.")</f>
        <v>UK plastics benchmark 2026-07. Sheet line — coat-hanger die, polished 3-roll calender stack, edge-trim, thickness gauging, winder/guillotine. PS/PP/PET/ABS sheet.</v>
      </c>
      <c r="N100" t="str">
        <v>Medium</v>
      </c>
      <c r="O100">
        <f>IFERROR(IF(OR(INDEX(Mapping!$C:$C,MATCH($A100,Mapping!$A:$A,0))="",INDEX(JLRrates!$C:$C,MATCH(INDEX(Mapping!$C:$C,MATCH($A100,Mapping!$A:$A,0)),JLRrates!$B:$B,0))=""),0,INDEX(JLRrates!$C:$C,MATCH(INDEX(Mapping!$C:$C,MATCH($A100,Mapping!$A:$A,0)),JLRrates!$B:$B,0))),0)</f>
        <v>0</v>
      </c>
    </row>
    <row r="101">
      <c r="A101" t="str">
        <v>extruder-cable-line</v>
      </c>
      <c r="B101" t="str">
        <v>Cable/Wire Line (crosshead + CV/cooling + capstan)</v>
      </c>
      <c r="C101" t="str">
        <v>UK</v>
      </c>
      <c r="D101">
        <f>IF($O101&gt;0,$O101*6500*0.85,40000)</f>
        <v>40000</v>
      </c>
      <c r="E101">
        <f>IF($O101&gt;0,0,14000)</f>
        <v>14000</v>
      </c>
      <c r="F101">
        <f>IF($O101&gt;0,0,45000)</f>
        <v>45000</v>
      </c>
      <c r="G101">
        <f>IF($O101&gt;0,0,10000)</f>
        <v>10000</v>
      </c>
      <c r="H101">
        <f>IF($O101&gt;0,0,8000)</f>
        <v>8000</v>
      </c>
      <c r="I101">
        <f>IF($O101&gt;0,0,5000)</f>
        <v>5000</v>
      </c>
      <c r="J101">
        <v>6500</v>
      </c>
      <c r="K101">
        <v>0.85</v>
      </c>
      <c r="L101" t="str">
        <v>2026-06-14</v>
      </c>
      <c r="M101" t="str">
        <f>IF($O101&gt;0,"JLR flat rate "&amp;TEXT($O101,"0.00")&amp;" per hr — build-up not supplied","UK cable benchmark 2026-07. Crosshead wire/cable coating line — pay-off, crosshead die, cooling trough or CV, spark test, capstan, take-up. PVC/XLPE insulation &amp; sheathing.")</f>
        <v>UK cable benchmark 2026-07. Crosshead wire/cable coating line — pay-off, crosshead die, cooling trough or CV, spark test, capstan, take-up. PVC/XLPE insulation &amp; sheathing.</v>
      </c>
      <c r="N101" t="str">
        <v>Medium</v>
      </c>
      <c r="O101">
        <f>IFERROR(IF(OR(INDEX(Mapping!$C:$C,MATCH($A101,Mapping!$A:$A,0))="",INDEX(JLRrates!$C:$C,MATCH(INDEX(Mapping!$C:$C,MATCH($A101,Mapping!$A:$A,0)),JLRrates!$B:$B,0))=""),0,INDEX(JLRrates!$C:$C,MATCH(INDEX(Mapping!$C:$C,MATCH($A101,Mapping!$A:$A,0)),JLRrates!$B:$B,0))),0)</f>
        <v>0</v>
      </c>
    </row>
    <row r="102">
      <c r="A102" t="str">
        <v>extruder-coex-3</v>
      </c>
      <c r="B102" t="str">
        <v>3-Layer Co-Extrusion Line (3 extruders + feed block/manifold die)</v>
      </c>
      <c r="C102" t="str">
        <v>UK</v>
      </c>
      <c r="D102">
        <f>IF($O102&gt;0,$O102*6000*0.8,120000)</f>
        <v>120000</v>
      </c>
      <c r="E102">
        <f>IF($O102&gt;0,0,40000)</f>
        <v>40000</v>
      </c>
      <c r="F102">
        <f>IF($O102&gt;0,0,95000)</f>
        <v>95000</v>
      </c>
      <c r="G102">
        <f>IF($O102&gt;0,0,22000)</f>
        <v>22000</v>
      </c>
      <c r="H102">
        <f>IF($O102&gt;0,0,20000)</f>
        <v>20000</v>
      </c>
      <c r="I102">
        <f>IF($O102&gt;0,0,14000)</f>
        <v>14000</v>
      </c>
      <c r="J102">
        <v>6000</v>
      </c>
      <c r="K102">
        <v>0.8</v>
      </c>
      <c r="L102" t="str">
        <v>2026-06-14</v>
      </c>
      <c r="M102" t="str">
        <f>IF($O102&gt;0,"JLR flat rate "&amp;TEXT($O102,"0.00")&amp;" per hr — build-up not supplied","UK plastics benchmark 2026-07. 3-extruder co-extrusion line — feed-block/multi-manifold die for skin/tie/barrier layers. Barrier pipe, weatherseals, packaging sheet.")</f>
        <v>UK plastics benchmark 2026-07. 3-extruder co-extrusion line — feed-block/multi-manifold die for skin/tie/barrier layers. Barrier pipe, weatherseals, packaging sheet.</v>
      </c>
      <c r="N102" t="str">
        <v>Medium</v>
      </c>
      <c r="O102">
        <f>IFERROR(IF(OR(INDEX(Mapping!$C:$C,MATCH($A102,Mapping!$A:$A,0))="",INDEX(JLRrates!$C:$C,MATCH(INDEX(Mapping!$C:$C,MATCH($A102,Mapping!$A:$A,0)),JLRrates!$B:$B,0))=""),0,INDEX(JLRrates!$C:$C,MATCH(INDEX(Mapping!$C:$C,MATCH($A102,Mapping!$A:$A,0)),JLRrates!$B:$B,0))),0)</f>
        <v>0</v>
      </c>
    </row>
    <row r="103">
      <c r="A103" t="str">
        <v>extruder-micro-tube</v>
      </c>
      <c r="B103" t="str">
        <v>Medical Micro-Tubing Line (precision + laser gauge + cleanroom-ready)</v>
      </c>
      <c r="C103" t="str">
        <v>UK</v>
      </c>
      <c r="D103">
        <f>IF($O103&gt;0,$O103*5000*0.75,60000)</f>
        <v>60000</v>
      </c>
      <c r="E103">
        <f>IF($O103&gt;0,0,18000)</f>
        <v>18000</v>
      </c>
      <c r="F103">
        <f>IF($O103&gt;0,0,30000)</f>
        <v>30000</v>
      </c>
      <c r="G103">
        <f>IF($O103&gt;0,0,8000)</f>
        <v>8000</v>
      </c>
      <c r="H103">
        <f>IF($O103&gt;0,0,12000)</f>
        <v>12000</v>
      </c>
      <c r="I103">
        <f>IF($O103&gt;0,0,7000)</f>
        <v>7000</v>
      </c>
      <c r="J103">
        <v>5000</v>
      </c>
      <c r="K103">
        <v>0.75</v>
      </c>
      <c r="L103" t="str">
        <v>2026-06-14</v>
      </c>
      <c r="M103" t="str">
        <f>IF($O103&gt;0,"JLR flat rate "&amp;TEXT($O103,"0.00")&amp;" per hr — build-up not supplied","UK medical-extrusion benchmark 2026-07. Precision micro-tubing/multi-lumen line — vacuum sizing, laser OD/ID gauging, precision haul-off, cut-to-length. Catheter/medical tube.")</f>
        <v>UK medical-extrusion benchmark 2026-07. Precision micro-tubing/multi-lumen line — vacuum sizing, laser OD/ID gauging, precision haul-off, cut-to-length. Catheter/medical tube.</v>
      </c>
      <c r="N103" t="str">
        <v>Medium</v>
      </c>
      <c r="O103">
        <f>IFERROR(IF(OR(INDEX(Mapping!$C:$C,MATCH($A103,Mapping!$A:$A,0))="",INDEX(JLRrates!$C:$C,MATCH(INDEX(Mapping!$C:$C,MATCH($A103,Mapping!$A:$A,0)),JLRrates!$B:$B,0))=""),0,INDEX(JLRrates!$C:$C,MATCH(INDEX(Mapping!$C:$C,MATCH($A103,Mapping!$A:$A,0)),JLRrates!$B:$B,0))),0)</f>
        <v>0</v>
      </c>
    </row>
    <row r="104">
      <c r="A104" t="str">
        <v>extrusion-finish-qa</v>
      </c>
      <c r="B104" t="str">
        <v>Cut-off, Coil &amp; Inspection Station</v>
      </c>
      <c r="C104" t="str">
        <v>UK</v>
      </c>
      <c r="D104">
        <f>IF($O104&gt;0,$O104*4000*0.8,4000)</f>
        <v>4000</v>
      </c>
      <c r="E104">
        <f>IF($O104&gt;0,0,2000)</f>
        <v>2000</v>
      </c>
      <c r="F104">
        <f>IF($O104&gt;0,0,3000)</f>
        <v>3000</v>
      </c>
      <c r="G104">
        <f>IF($O104&gt;0,0,2000)</f>
        <v>2000</v>
      </c>
      <c r="H104">
        <f>IF($O104&gt;0,0,2000)</f>
        <v>2000</v>
      </c>
      <c r="I104">
        <f>IF($O104&gt;0,0,500)</f>
        <v>500</v>
      </c>
      <c r="J104">
        <v>4000</v>
      </c>
      <c r="K104">
        <v>0.8</v>
      </c>
      <c r="L104" t="str">
        <v>2026-06-14</v>
      </c>
      <c r="M104" t="str">
        <f>IF($O104&gt;0,"JLR flat rate "&amp;TEXT($O104,"0.00")&amp;" per hr — build-up not supplied","UK benchmark 2026-07. Downstream cut/coil + dimensional inspection station for extruded product (mostly labour).")</f>
        <v>UK benchmark 2026-07. Downstream cut/coil + dimensional inspection station for extruded product (mostly labour).</v>
      </c>
      <c r="N104" t="str">
        <v>Medium</v>
      </c>
      <c r="O104">
        <f>IFERROR(IF(OR(INDEX(Mapping!$C:$C,MATCH($A104,Mapping!$A:$A,0))="",INDEX(JLRrates!$C:$C,MATCH(INDEX(Mapping!$C:$C,MATCH($A104,Mapping!$A:$A,0)),JLRrates!$B:$B,0))=""),0,INDEX(JLRrates!$C:$C,MATCH(INDEX(Mapping!$C:$C,MATCH($A104,Mapping!$A:$A,0)),JLRrates!$B:$B,0))),0)</f>
        <v>0</v>
      </c>
    </row>
    <row r="105">
      <c r="A105" t="str">
        <v>extrusion-leak-test</v>
      </c>
      <c r="B105" t="str">
        <v>Pipe/Tube Pressure &amp; Leak Test Rig</v>
      </c>
      <c r="C105" t="str">
        <v>UK</v>
      </c>
      <c r="D105">
        <f>IF($O105&gt;0,$O105*4000*0.7,6000)</f>
        <v>6000</v>
      </c>
      <c r="E105">
        <f>IF($O105&gt;0,0,2500)</f>
        <v>2500</v>
      </c>
      <c r="F105">
        <f>IF($O105&gt;0,0,2000)</f>
        <v>2000</v>
      </c>
      <c r="G105">
        <f>IF($O105&gt;0,0,2000)</f>
        <v>2000</v>
      </c>
      <c r="H105">
        <f>IF($O105&gt;0,0,2500)</f>
        <v>2500</v>
      </c>
      <c r="I105">
        <f>IF($O105&gt;0,0,800)</f>
        <v>800</v>
      </c>
      <c r="J105">
        <v>4000</v>
      </c>
      <c r="K105">
        <v>0.7</v>
      </c>
      <c r="L105" t="str">
        <v>2026-06-14</v>
      </c>
      <c r="M105" t="str">
        <f>IF($O105&gt;0,"JLR flat rate "&amp;TEXT($O105,"0.00")&amp;" per hr — build-up not supplied","UK benchmark 2026-07. Hydrostatic/air pressure &amp; leak test rig for pipe, hose and tubing.")</f>
        <v>UK benchmark 2026-07. Hydrostatic/air pressure &amp; leak test rig for pipe, hose and tubing.</v>
      </c>
      <c r="N105" t="str">
        <v>Medium</v>
      </c>
      <c r="O105">
        <f>IFERROR(IF(OR(INDEX(Mapping!$C:$C,MATCH($A105,Mapping!$A:$A,0))="",INDEX(JLRrates!$C:$C,MATCH(INDEX(Mapping!$C:$C,MATCH($A105,Mapping!$A:$A,0)),JLRrates!$B:$B,0))=""),0,INDEX(JLRrates!$C:$C,MATCH(INDEX(Mapping!$C:$C,MATCH($A105,Mapping!$A:$A,0)),JLRrates!$B:$B,0))),0)</f>
        <v>0</v>
      </c>
    </row>
    <row r="106">
      <c r="A106" t="str">
        <v>thermoform-small</v>
      </c>
      <c r="B106" t="str">
        <v>Thermoformer (Small/Single Station)</v>
      </c>
      <c r="C106" t="str">
        <v>UK</v>
      </c>
      <c r="D106">
        <f>IF($O106&gt;0,$O106*4000*0.8,15000)</f>
        <v>15000</v>
      </c>
      <c r="E106">
        <f>IF($O106&gt;0,0,6000)</f>
        <v>6000</v>
      </c>
      <c r="F106">
        <f>IF($O106&gt;0,0,12000)</f>
        <v>12000</v>
      </c>
      <c r="G106">
        <f>IF($O106&gt;0,0,4000)</f>
        <v>4000</v>
      </c>
      <c r="H106">
        <f>IF($O106&gt;0,0,3000)</f>
        <v>3000</v>
      </c>
      <c r="I106">
        <f>IF($O106&gt;0,0,1875)</f>
        <v>1875</v>
      </c>
      <c r="J106">
        <v>4000</v>
      </c>
      <c r="K106">
        <v>0.8</v>
      </c>
      <c r="L106" t="str">
        <v>2026-06-14</v>
      </c>
      <c r="M106" t="str">
        <f>IF($O106&gt;0,"JLR flat rate "&amp;TEXT($O106,"0.00")&amp;" per hr — build-up not supplied","UK plastics benchmark. Single-station vacuum former, up to 800×600mm sheet. Jun 2026")</f>
        <v>UK plastics benchmark. Single-station vacuum former, up to 800×600mm sheet. Jun 2026</v>
      </c>
      <c r="N106" t="str">
        <v>Medium</v>
      </c>
      <c r="O106">
        <f>IFERROR(IF(OR(INDEX(Mapping!$C:$C,MATCH($A106,Mapping!$A:$A,0))="",INDEX(JLRrates!$C:$C,MATCH(INDEX(Mapping!$C:$C,MATCH($A106,Mapping!$A:$A,0)),JLRrates!$B:$B,0))=""),0,INDEX(JLRrates!$C:$C,MATCH(INDEX(Mapping!$C:$C,MATCH($A106,Mapping!$A:$A,0)),JLRrates!$B:$B,0))),0)</f>
        <v>0</v>
      </c>
    </row>
    <row r="107">
      <c r="A107" t="str">
        <v>thermoform-large</v>
      </c>
      <c r="B107" t="str">
        <v>Thermoformer (Inline/Rotary, Large)</v>
      </c>
      <c r="C107" t="str">
        <v>UK</v>
      </c>
      <c r="D107">
        <f>IF($O107&gt;0,$O107*4000*0.82,45000)</f>
        <v>45000</v>
      </c>
      <c r="E107">
        <f>IF($O107&gt;0,0,18000)</f>
        <v>18000</v>
      </c>
      <c r="F107">
        <f>IF($O107&gt;0,0,28000)</f>
        <v>28000</v>
      </c>
      <c r="G107">
        <f>IF($O107&gt;0,0,10000)</f>
        <v>10000</v>
      </c>
      <c r="H107">
        <f>IF($O107&gt;0,0,9000)</f>
        <v>9000</v>
      </c>
      <c r="I107">
        <f>IF($O107&gt;0,0,5625)</f>
        <v>5625</v>
      </c>
      <c r="J107">
        <v>4000</v>
      </c>
      <c r="K107">
        <v>0.82</v>
      </c>
      <c r="L107" t="str">
        <v>2026-06-14</v>
      </c>
      <c r="M107" t="str">
        <f>IF($O107&gt;0,"JLR flat rate "&amp;TEXT($O107,"0.00")&amp;" per hr — build-up not supplied","UK plastics benchmark. Inline rotary thermoformer, 1200×1000mm+ sheet. Jun 2026")</f>
        <v>UK plastics benchmark. Inline rotary thermoformer, 1200×1000mm+ sheet. Jun 2026</v>
      </c>
      <c r="N107" t="str">
        <v>Medium</v>
      </c>
      <c r="O107">
        <f>IFERROR(IF(OR(INDEX(Mapping!$C:$C,MATCH($A107,Mapping!$A:$A,0))="",INDEX(JLRrates!$C:$C,MATCH(INDEX(Mapping!$C:$C,MATCH($A107,Mapping!$A:$A,0)),JLRrates!$B:$B,0))=""),0,INDEX(JLRrates!$C:$C,MATCH(INDEX(Mapping!$C:$C,MATCH($A107,Mapping!$A:$A,0)),JLRrates!$B:$B,0))),0)</f>
        <v>0</v>
      </c>
    </row>
    <row r="108">
      <c r="A108" t="str">
        <v>thermoform-pressure</v>
      </c>
      <c r="B108" t="str">
        <v>Pressure Former (3–6 bar, cut-sheet)</v>
      </c>
      <c r="C108" t="str">
        <v>UK</v>
      </c>
      <c r="D108">
        <f>IF($O108&gt;0,$O108*4000*0.8,32000)</f>
        <v>32000</v>
      </c>
      <c r="E108">
        <f>IF($O108&gt;0,0,13000)</f>
        <v>13000</v>
      </c>
      <c r="F108">
        <f>IF($O108&gt;0,0,22000)</f>
        <v>22000</v>
      </c>
      <c r="G108">
        <f>IF($O108&gt;0,0,7000)</f>
        <v>7000</v>
      </c>
      <c r="H108">
        <f>IF($O108&gt;0,0,7000)</f>
        <v>7000</v>
      </c>
      <c r="I108">
        <f>IF($O108&gt;0,0,4000)</f>
        <v>4000</v>
      </c>
      <c r="J108">
        <v>4000</v>
      </c>
      <c r="K108">
        <v>0.8</v>
      </c>
      <c r="L108" t="str">
        <v>2026-06-14</v>
      </c>
      <c r="M108" t="str">
        <f>IF($O108&gt;0,"JLR flat rate "&amp;TEXT($O108,"0.00")&amp;" per hr — build-up not supplied","UK plastics benchmark 2026-07. Cut-sheet pressure former — compressed-air box (3–6 bar) for crisp detail/texture (appliance fascias, medical). Higher energy + steel/CNC-Al tool.")</f>
        <v>UK plastics benchmark 2026-07. Cut-sheet pressure former — compressed-air box (3–6 bar) for crisp detail/texture (appliance fascias, medical). Higher energy + steel/CNC-Al tool.</v>
      </c>
      <c r="N108" t="str">
        <v>Medium</v>
      </c>
      <c r="O108">
        <f>IFERROR(IF(OR(INDEX(Mapping!$C:$C,MATCH($A108,Mapping!$A:$A,0))="",INDEX(JLRrates!$C:$C,MATCH(INDEX(Mapping!$C:$C,MATCH($A108,Mapping!$A:$A,0)),JLRrates!$B:$B,0))=""),0,INDEX(JLRrates!$C:$C,MATCH(INDEX(Mapping!$C:$C,MATCH($A108,Mapping!$A:$A,0)),JLRrates!$B:$B,0))),0)</f>
        <v>0</v>
      </c>
    </row>
    <row r="109">
      <c r="A109" t="str">
        <v>thermoform-twinsheet</v>
      </c>
      <c r="B109" t="str">
        <v>Twin-Sheet Thermoformer</v>
      </c>
      <c r="C109" t="str">
        <v>UK</v>
      </c>
      <c r="D109">
        <f>IF($O109&gt;0,$O109*4000*0.78,60000)</f>
        <v>60000</v>
      </c>
      <c r="E109">
        <f>IF($O109&gt;0,0,24000)</f>
        <v>24000</v>
      </c>
      <c r="F109">
        <f>IF($O109&gt;0,0,40000)</f>
        <v>40000</v>
      </c>
      <c r="G109">
        <f>IF($O109&gt;0,0,14000)</f>
        <v>14000</v>
      </c>
      <c r="H109">
        <f>IF($O109&gt;0,0,12000)</f>
        <v>12000</v>
      </c>
      <c r="I109">
        <f>IF($O109&gt;0,0,7500)</f>
        <v>7500</v>
      </c>
      <c r="J109">
        <v>4000</v>
      </c>
      <c r="K109">
        <v>0.78</v>
      </c>
      <c r="L109" t="str">
        <v>2026-06-14</v>
      </c>
      <c r="M109" t="str">
        <f>IF($O109&gt;0,"JLR flat rate "&amp;TEXT($O109,"0.00")&amp;" per hr — build-up not supplied","UK plastics benchmark 2026-07. Twin-sheet former — two heated webs blow-bonded into a hollow part (fuel tanks, pallets, ducts, seat backs). Two ovens, two-half tooling.")</f>
        <v>UK plastics benchmark 2026-07. Twin-sheet former — two heated webs blow-bonded into a hollow part (fuel tanks, pallets, ducts, seat backs). Two ovens, two-half tooling.</v>
      </c>
      <c r="N109" t="str">
        <v>Medium</v>
      </c>
      <c r="O109">
        <f>IFERROR(IF(OR(INDEX(Mapping!$C:$C,MATCH($A109,Mapping!$A:$A,0))="",INDEX(JLRrates!$C:$C,MATCH(INDEX(Mapping!$C:$C,MATCH($A109,Mapping!$A:$A,0)),JLRrates!$B:$B,0))=""),0,INDEX(JLRrates!$C:$C,MATCH(INDEX(Mapping!$C:$C,MATCH($A109,Mapping!$A:$A,0)),JLRrates!$B:$B,0))),0)</f>
        <v>0</v>
      </c>
    </row>
    <row r="110">
      <c r="A110" t="str">
        <v>thermoform-rollfed</v>
      </c>
      <c r="B110" t="str">
        <v>Roll-Fed Inline Thermoformer (packaging)</v>
      </c>
      <c r="C110" t="str">
        <v>UK</v>
      </c>
      <c r="D110">
        <f>IF($O110&gt;0,$O110*5000*0.85,90000)</f>
        <v>90000</v>
      </c>
      <c r="E110">
        <f>IF($O110&gt;0,0,32000)</f>
        <v>32000</v>
      </c>
      <c r="F110">
        <f>IF($O110&gt;0,0,55000)</f>
        <v>55000</v>
      </c>
      <c r="G110">
        <f>IF($O110&gt;0,0,16000)</f>
        <v>16000</v>
      </c>
      <c r="H110">
        <f>IF($O110&gt;0,0,16000)</f>
        <v>16000</v>
      </c>
      <c r="I110">
        <f>IF($O110&gt;0,0,11250)</f>
        <v>11250</v>
      </c>
      <c r="J110">
        <v>5000</v>
      </c>
      <c r="K110">
        <v>0.85</v>
      </c>
      <c r="L110" t="str">
        <v>2026-06-14</v>
      </c>
      <c r="M110" t="str">
        <f>IF($O110&gt;0,"JLR flat rate "&amp;TEXT($O110,"0.00")&amp;" per hr — build-up not supplied","UK packaging benchmark 2026-07. High-speed roll-fed former-filler line — cups/trays/blister from reel; form-cut-stack at 20–40 cycles/min. Highest throughput, lowest £/part at volume.")</f>
        <v>UK packaging benchmark 2026-07. High-speed roll-fed former-filler line — cups/trays/blister from reel; form-cut-stack at 20–40 cycles/min. Highest throughput, lowest £/part at volume.</v>
      </c>
      <c r="N110" t="str">
        <v>Medium</v>
      </c>
      <c r="O110">
        <f>IFERROR(IF(OR(INDEX(Mapping!$C:$C,MATCH($A110,Mapping!$A:$A,0))="",INDEX(JLRrates!$C:$C,MATCH(INDEX(Mapping!$C:$C,MATCH($A110,Mapping!$A:$A,0)),JLRrates!$B:$B,0))=""),0,INDEX(JLRrates!$C:$C,MATCH(INDEX(Mapping!$C:$C,MATCH($A110,Mapping!$A:$A,0)),JLRrates!$B:$B,0))),0)</f>
        <v>0</v>
      </c>
    </row>
    <row r="111">
      <c r="A111" t="str">
        <v>thermoform-oven</v>
      </c>
      <c r="B111" t="str">
        <v>Standalone Sheet Pre-Heat Oven</v>
      </c>
      <c r="C111" t="str">
        <v>UK</v>
      </c>
      <c r="D111">
        <f>IF($O111&gt;0,$O111*4000*0.8,9000)</f>
        <v>9000</v>
      </c>
      <c r="E111">
        <f>IF($O111&gt;0,0,4000)</f>
        <v>4000</v>
      </c>
      <c r="F111">
        <f>IF($O111&gt;0,0,16000)</f>
        <v>16000</v>
      </c>
      <c r="G111">
        <f>IF($O111&gt;0,0,3000)</f>
        <v>3000</v>
      </c>
      <c r="H111">
        <f>IF($O111&gt;0,0,2000)</f>
        <v>2000</v>
      </c>
      <c r="I111">
        <f>IF($O111&gt;0,0,1125)</f>
        <v>1125</v>
      </c>
      <c r="J111">
        <v>4000</v>
      </c>
      <c r="K111">
        <v>0.8</v>
      </c>
      <c r="L111" t="str">
        <v>2026-06-14</v>
      </c>
      <c r="M111" t="str">
        <f>IF($O111&gt;0,"JLR flat rate "&amp;TEXT($O111,"0.00")&amp;" per hr — build-up not supplied","UK plastics benchmark 2026-07. Standalone radiant/convection sheet oven — pre-heat for heavy-gauge/twin-station forming. Energy-dominated (quartz/ceramic emitters).")</f>
        <v>UK plastics benchmark 2026-07. Standalone radiant/convection sheet oven — pre-heat for heavy-gauge/twin-station forming. Energy-dominated (quartz/ceramic emitters).</v>
      </c>
      <c r="N111" t="str">
        <v>Medium</v>
      </c>
      <c r="O111">
        <f>IFERROR(IF(OR(INDEX(Mapping!$C:$C,MATCH($A111,Mapping!$A:$A,0))="",INDEX(JLRrates!$C:$C,MATCH(INDEX(Mapping!$C:$C,MATCH($A111,Mapping!$A:$A,0)),JLRrates!$B:$B,0))=""),0,INDEX(JLRrates!$C:$C,MATCH(INDEX(Mapping!$C:$C,MATCH($A111,Mapping!$A:$A,0)),JLRrates!$B:$B,0))),0)</f>
        <v>0</v>
      </c>
    </row>
    <row r="112">
      <c r="A112" t="str">
        <v>thermoform-trim-router</v>
      </c>
      <c r="B112" t="str">
        <v>CNC Trim Router / Trim Robot (5-axis)</v>
      </c>
      <c r="C112" t="str">
        <v>UK</v>
      </c>
      <c r="D112">
        <f>IF($O112&gt;0,$O112*4000*0.8,22000)</f>
        <v>22000</v>
      </c>
      <c r="E112">
        <f>IF($O112&gt;0,0,9000)</f>
        <v>9000</v>
      </c>
      <c r="F112">
        <f>IF($O112&gt;0,0,8000)</f>
        <v>8000</v>
      </c>
      <c r="G112">
        <f>IF($O112&gt;0,0,5000)</f>
        <v>5000</v>
      </c>
      <c r="H112">
        <f>IF($O112&gt;0,0,5000)</f>
        <v>5000</v>
      </c>
      <c r="I112">
        <f>IF($O112&gt;0,0,2750)</f>
        <v>2750</v>
      </c>
      <c r="J112">
        <v>4000</v>
      </c>
      <c r="K112">
        <v>0.8</v>
      </c>
      <c r="L112" t="str">
        <v>2026-06-14</v>
      </c>
      <c r="M112" t="str">
        <f>IF($O112&gt;0,"JLR flat rate "&amp;TEXT($O112,"0.00")&amp;" per hr — build-up not supplied","UK plastics benchmark 2026-07. 5-axis CNC router / trim robot — finishes heavy-gauge formed parts; no part-specific trim die (offsets tool cost vs steel-rule).")</f>
        <v>UK plastics benchmark 2026-07. 5-axis CNC router / trim robot — finishes heavy-gauge formed parts; no part-specific trim die (offsets tool cost vs steel-rule).</v>
      </c>
      <c r="N112" t="str">
        <v>Medium</v>
      </c>
      <c r="O112">
        <f>IFERROR(IF(OR(INDEX(Mapping!$C:$C,MATCH($A112,Mapping!$A:$A,0))="",INDEX(JLRrates!$C:$C,MATCH(INDEX(Mapping!$C:$C,MATCH($A112,Mapping!$A:$A,0)),JLRrates!$B:$B,0))=""),0,INDEX(JLRrates!$C:$C,MATCH(INDEX(Mapping!$C:$C,MATCH($A112,Mapping!$A:$A,0)),JLRrates!$B:$B,0))),0)</f>
        <v>0</v>
      </c>
    </row>
    <row r="113">
      <c r="A113" t="str">
        <v>rotomould-biaxial</v>
      </c>
      <c r="B113" t="str">
        <v>Biaxial Rotational Moulder (3-arm carousel)</v>
      </c>
      <c r="C113" t="str">
        <v>UK</v>
      </c>
      <c r="D113">
        <f>IF($O113&gt;0,$O113*3500*0.75,30000)</f>
        <v>30000</v>
      </c>
      <c r="E113">
        <f>IF($O113&gt;0,0,14000)</f>
        <v>14000</v>
      </c>
      <c r="F113">
        <f>IF($O113&gt;0,0,40000)</f>
        <v>40000</v>
      </c>
      <c r="G113">
        <f>IF($O113&gt;0,0,20000)</f>
        <v>20000</v>
      </c>
      <c r="H113">
        <f>IF($O113&gt;0,0,8000)</f>
        <v>8000</v>
      </c>
      <c r="I113">
        <f>IF($O113&gt;0,0,3750)</f>
        <v>3750</v>
      </c>
      <c r="J113">
        <v>3500</v>
      </c>
      <c r="K113">
        <v>0.75</v>
      </c>
      <c r="L113" t="str">
        <v>2026-06-14</v>
      </c>
      <c r="M113" t="str">
        <f>IF($O113&gt;0,"JLR flat rate "&amp;TEXT($O113,"0.00")&amp;" per hr — build-up not supplied","UK plastics benchmark. 3-arm biaxial carousel. Large tanks/playground equip. Jun 2026")</f>
        <v>UK plastics benchmark. 3-arm biaxial carousel. Large tanks/playground equip. Jun 2026</v>
      </c>
      <c r="N113" t="str">
        <v>Medium</v>
      </c>
      <c r="O113">
        <f>IFERROR(IF(OR(INDEX(Mapping!$C:$C,MATCH($A113,Mapping!$A:$A,0))="",INDEX(JLRrates!$C:$C,MATCH(INDEX(Mapping!$C:$C,MATCH($A113,Mapping!$A:$A,0)),JLRrates!$B:$B,0))=""),0,INDEX(JLRrates!$C:$C,MATCH(INDEX(Mapping!$C:$C,MATCH($A113,Mapping!$A:$A,0)),JLRrates!$B:$B,0))),0)</f>
        <v>0</v>
      </c>
    </row>
    <row r="114">
      <c r="A114" t="str">
        <v>rotomould-lab-1arm</v>
      </c>
      <c r="B114" t="str">
        <v>Single-Arm Rotational Moulder (small/lab)</v>
      </c>
      <c r="C114" t="str">
        <v>UK</v>
      </c>
      <c r="D114">
        <f>IF($O114&gt;0,$O114*3500*0.65,12000)</f>
        <v>12000</v>
      </c>
      <c r="E114">
        <f>IF($O114&gt;0,0,5000)</f>
        <v>5000</v>
      </c>
      <c r="F114">
        <f>IF($O114&gt;0,0,15000)</f>
        <v>15000</v>
      </c>
      <c r="G114">
        <f>IF($O114&gt;0,0,8000)</f>
        <v>8000</v>
      </c>
      <c r="H114">
        <f>IF($O114&gt;0,0,3000)</f>
        <v>3000</v>
      </c>
      <c r="I114">
        <f>IF($O114&gt;0,0,1500)</f>
        <v>1500</v>
      </c>
      <c r="J114">
        <v>3500</v>
      </c>
      <c r="K114">
        <v>0.65</v>
      </c>
      <c r="L114" t="str">
        <v>2026-06-14</v>
      </c>
      <c r="M114" t="str">
        <f>IF($O114&gt;0,"JLR flat rate "&amp;TEXT($O114,"0.00")&amp;" per hr — build-up not supplied","UK plastics benchmark. Single-arm / lab roto — small tanks, prototyping, low volume. Jun 2026")</f>
        <v>UK plastics benchmark. Single-arm / lab roto — small tanks, prototyping, low volume. Jun 2026</v>
      </c>
      <c r="N114" t="str">
        <v>Medium</v>
      </c>
      <c r="O114">
        <f>IFERROR(IF(OR(INDEX(Mapping!$C:$C,MATCH($A114,Mapping!$A:$A,0))="",INDEX(JLRrates!$C:$C,MATCH(INDEX(Mapping!$C:$C,MATCH($A114,Mapping!$A:$A,0)),JLRrates!$B:$B,0))=""),0,INDEX(JLRrates!$C:$C,MATCH(INDEX(Mapping!$C:$C,MATCH($A114,Mapping!$A:$A,0)),JLRrates!$B:$B,0))),0)</f>
        <v>0</v>
      </c>
    </row>
    <row r="115">
      <c r="A115" t="str">
        <v>rotomould-shuttle</v>
      </c>
      <c r="B115" t="str">
        <v>Shuttle Rotational Moulder (1–2 station)</v>
      </c>
      <c r="C115" t="str">
        <v>UK</v>
      </c>
      <c r="D115">
        <f>IF($O115&gt;0,$O115*3500*0.72,26000)</f>
        <v>26000</v>
      </c>
      <c r="E115">
        <f>IF($O115&gt;0,0,12000)</f>
        <v>12000</v>
      </c>
      <c r="F115">
        <f>IF($O115&gt;0,0,35000)</f>
        <v>35000</v>
      </c>
      <c r="G115">
        <f>IF($O115&gt;0,0,18000)</f>
        <v>18000</v>
      </c>
      <c r="H115">
        <f>IF($O115&gt;0,0,7000)</f>
        <v>7000</v>
      </c>
      <c r="I115">
        <f>IF($O115&gt;0,0,3250)</f>
        <v>3250</v>
      </c>
      <c r="J115">
        <v>3500</v>
      </c>
      <c r="K115">
        <v>0.72</v>
      </c>
      <c r="L115" t="str">
        <v>2026-06-14</v>
      </c>
      <c r="M115" t="str">
        <f>IF($O115&gt;0,"JLR flat rate "&amp;TEXT($O115,"0.00")&amp;" per hr — build-up not supplied","UK plastics benchmark. Shuttle roto — mid volume, large/awkward parts, flexible tool changes. Jun 2026")</f>
        <v>UK plastics benchmark. Shuttle roto — mid volume, large/awkward parts, flexible tool changes. Jun 2026</v>
      </c>
      <c r="N115" t="str">
        <v>Medium</v>
      </c>
      <c r="O115">
        <f>IFERROR(IF(OR(INDEX(Mapping!$C:$C,MATCH($A115,Mapping!$A:$A,0))="",INDEX(JLRrates!$C:$C,MATCH(INDEX(Mapping!$C:$C,MATCH($A115,Mapping!$A:$A,0)),JLRrates!$B:$B,0))=""),0,INDEX(JLRrates!$C:$C,MATCH(INDEX(Mapping!$C:$C,MATCH($A115,Mapping!$A:$A,0)),JLRrates!$B:$B,0))),0)</f>
        <v>0</v>
      </c>
    </row>
    <row r="116">
      <c r="A116" t="str">
        <v>rotomould-rocknroll</v>
      </c>
      <c r="B116" t="str">
        <v>Rock-and-Roll Rotational Moulder</v>
      </c>
      <c r="C116" t="str">
        <v>UK</v>
      </c>
      <c r="D116">
        <f>IF($O116&gt;0,$O116*3500*0.72,22000)</f>
        <v>22000</v>
      </c>
      <c r="E116">
        <f>IF($O116&gt;0,0,10000)</f>
        <v>10000</v>
      </c>
      <c r="F116">
        <f>IF($O116&gt;0,0,30000)</f>
        <v>30000</v>
      </c>
      <c r="G116">
        <f>IF($O116&gt;0,0,15000)</f>
        <v>15000</v>
      </c>
      <c r="H116">
        <f>IF($O116&gt;0,0,6000)</f>
        <v>6000</v>
      </c>
      <c r="I116">
        <f>IF($O116&gt;0,0,2750)</f>
        <v>2750</v>
      </c>
      <c r="J116">
        <v>3500</v>
      </c>
      <c r="K116">
        <v>0.72</v>
      </c>
      <c r="L116" t="str">
        <v>2026-06-14</v>
      </c>
      <c r="M116" t="str">
        <f>IF($O116&gt;0,"JLR flat rate "&amp;TEXT($O116,"0.00")&amp;" per hr — build-up not supplied","UK plastics benchmark. Rock-and-roll — long narrow parts (kayaks, ducts, pontoons); minor-axis rock + major-axis roll. Jun 2026")</f>
        <v>UK plastics benchmark. Rock-and-roll — long narrow parts (kayaks, ducts, pontoons); minor-axis rock + major-axis roll. Jun 2026</v>
      </c>
      <c r="N116" t="str">
        <v>Medium</v>
      </c>
      <c r="O116">
        <f>IFERROR(IF(OR(INDEX(Mapping!$C:$C,MATCH($A116,Mapping!$A:$A,0))="",INDEX(JLRrates!$C:$C,MATCH(INDEX(Mapping!$C:$C,MATCH($A116,Mapping!$A:$A,0)),JLRrates!$B:$B,0))=""),0,INDEX(JLRrates!$C:$C,MATCH(INDEX(Mapping!$C:$C,MATCH($A116,Mapping!$A:$A,0)),JLRrates!$B:$B,0))),0)</f>
        <v>0</v>
      </c>
    </row>
    <row r="117">
      <c r="A117" t="str">
        <v>rotomould-carousel-4arm</v>
      </c>
      <c r="B117" t="str">
        <v>4-Arm Fixed Carousel Rotational Moulder</v>
      </c>
      <c r="C117" t="str">
        <v>UK</v>
      </c>
      <c r="D117">
        <f>IF($O117&gt;0,$O117*3500*0.78,45000)</f>
        <v>45000</v>
      </c>
      <c r="E117">
        <f>IF($O117&gt;0,0,20000)</f>
        <v>20000</v>
      </c>
      <c r="F117">
        <f>IF($O117&gt;0,0,60000)</f>
        <v>60000</v>
      </c>
      <c r="G117">
        <f>IF($O117&gt;0,0,28000)</f>
        <v>28000</v>
      </c>
      <c r="H117">
        <f>IF($O117&gt;0,0,12000)</f>
        <v>12000</v>
      </c>
      <c r="I117">
        <f>IF($O117&gt;0,0,5625)</f>
        <v>5625</v>
      </c>
      <c r="J117">
        <v>3500</v>
      </c>
      <c r="K117">
        <v>0.78</v>
      </c>
      <c r="L117" t="str">
        <v>2026-06-14</v>
      </c>
      <c r="M117" t="str">
        <f>IF($O117&gt;0,"JLR flat rate "&amp;TEXT($O117,"0.00")&amp;" per hr — build-up not supplied","UK plastics benchmark. 4-arm fixed-carousel — high-volume independent-arm production, best oven utilisation. Jun 2026")</f>
        <v>UK plastics benchmark. 4-arm fixed-carousel — high-volume independent-arm production, best oven utilisation. Jun 2026</v>
      </c>
      <c r="N117" t="str">
        <v>Medium</v>
      </c>
      <c r="O117">
        <f>IFERROR(IF(OR(INDEX(Mapping!$C:$C,MATCH($A117,Mapping!$A:$A,0))="",INDEX(JLRrates!$C:$C,MATCH(INDEX(Mapping!$C:$C,MATCH($A117,Mapping!$A:$A,0)),JLRrates!$B:$B,0))=""),0,INDEX(JLRrates!$C:$C,MATCH(INDEX(Mapping!$C:$C,MATCH($A117,Mapping!$A:$A,0)),JLRrates!$B:$B,0))),0)</f>
        <v>0</v>
      </c>
    </row>
    <row r="118">
      <c r="A118" t="str">
        <v>ultrasonic-welder</v>
      </c>
      <c r="B118" t="str">
        <v>Ultrasonic Welder</v>
      </c>
      <c r="C118" t="str">
        <v>UK</v>
      </c>
      <c r="D118">
        <f>IF($O118&gt;0,$O118*4000*0.8,8000)</f>
        <v>8000</v>
      </c>
      <c r="E118">
        <f>IF($O118&gt;0,0,3000)</f>
        <v>3000</v>
      </c>
      <c r="F118">
        <f>IF($O118&gt;0,0,2000)</f>
        <v>2000</v>
      </c>
      <c r="G118">
        <f>IF($O118&gt;0,0,1500)</f>
        <v>1500</v>
      </c>
      <c r="H118">
        <f>IF($O118&gt;0,0,2000)</f>
        <v>2000</v>
      </c>
      <c r="I118">
        <f>IF($O118&gt;0,0,1000)</f>
        <v>1000</v>
      </c>
      <c r="J118">
        <v>4000</v>
      </c>
      <c r="K118">
        <v>0.8</v>
      </c>
      <c r="L118" t="str">
        <v>2026-06-14</v>
      </c>
      <c r="M118" t="str">
        <f>IF($O118&gt;0,"JLR flat rate "&amp;TEXT($O118,"0.00")&amp;" per hr — build-up not supplied","UK plastics assembly benchmark. 3kW+ ultrasonic welder, small–medium plastic parts. Jun 2026")</f>
        <v>UK plastics assembly benchmark. 3kW+ ultrasonic welder, small–medium plastic parts. Jun 2026</v>
      </c>
      <c r="N118" t="str">
        <v>Medium</v>
      </c>
      <c r="O118">
        <f>IFERROR(IF(OR(INDEX(Mapping!$C:$C,MATCH($A118,Mapping!$A:$A,0))="",INDEX(JLRrates!$C:$C,MATCH(INDEX(Mapping!$C:$C,MATCH($A118,Mapping!$A:$A,0)),JLRrates!$B:$B,0))=""),0,INDEX(JLRrates!$C:$C,MATCH(INDEX(Mapping!$C:$C,MATCH($A118,Mapping!$A:$A,0)),JLRrates!$B:$B,0))),0)</f>
        <v>0</v>
      </c>
    </row>
    <row r="119">
      <c r="A119" t="str">
        <v>hot-plate-welder</v>
      </c>
      <c r="B119" t="str">
        <v>Hot Plate Welder</v>
      </c>
      <c r="C119" t="str">
        <v>UK</v>
      </c>
      <c r="D119">
        <f>IF($O119&gt;0,$O119*4000*0.8,12000)</f>
        <v>12000</v>
      </c>
      <c r="E119">
        <f>IF($O119&gt;0,0,4000)</f>
        <v>4000</v>
      </c>
      <c r="F119">
        <f>IF($O119&gt;0,0,3000)</f>
        <v>3000</v>
      </c>
      <c r="G119">
        <f>IF($O119&gt;0,0,3000)</f>
        <v>3000</v>
      </c>
      <c r="H119">
        <f>IF($O119&gt;0,0,2500)</f>
        <v>2500</v>
      </c>
      <c r="I119">
        <f>IF($O119&gt;0,0,1500)</f>
        <v>1500</v>
      </c>
      <c r="J119">
        <v>4000</v>
      </c>
      <c r="K119">
        <v>0.8</v>
      </c>
      <c r="L119" t="str">
        <v>2026-06-14</v>
      </c>
      <c r="M119" t="str">
        <f>IF($O119&gt;0,"JLR flat rate "&amp;TEXT($O119,"0.00")&amp;" per hr — build-up not supplied","UK plastics assembly benchmark. Hot plate welding for tanks and manifolds. Jun 2026")</f>
        <v>UK plastics assembly benchmark. Hot plate welding for tanks and manifolds. Jun 2026</v>
      </c>
      <c r="N119" t="str">
        <v>Medium</v>
      </c>
      <c r="O119">
        <f>IFERROR(IF(OR(INDEX(Mapping!$C:$C,MATCH($A119,Mapping!$A:$A,0))="",INDEX(JLRrates!$C:$C,MATCH(INDEX(Mapping!$C:$C,MATCH($A119,Mapping!$A:$A,0)),JLRrates!$B:$B,0))=""),0,INDEX(JLRrates!$C:$C,MATCH(INDEX(Mapping!$C:$C,MATCH($A119,Mapping!$A:$A,0)),JLRrates!$B:$B,0))),0)</f>
        <v>0</v>
      </c>
    </row>
    <row r="120">
      <c r="A120" t="str">
        <v>vibration-welder</v>
      </c>
      <c r="B120" t="str">
        <v>Vibration Welder</v>
      </c>
      <c r="C120" t="str">
        <v>UK</v>
      </c>
      <c r="D120">
        <f>IF($O120&gt;0,$O120*4000*0.8,18000)</f>
        <v>18000</v>
      </c>
      <c r="E120">
        <f>IF($O120&gt;0,0,7000)</f>
        <v>7000</v>
      </c>
      <c r="F120">
        <f>IF($O120&gt;0,0,4000)</f>
        <v>4000</v>
      </c>
      <c r="G120">
        <f>IF($O120&gt;0,0,4000)</f>
        <v>4000</v>
      </c>
      <c r="H120">
        <f>IF($O120&gt;0,0,4000)</f>
        <v>4000</v>
      </c>
      <c r="I120">
        <f>IF($O120&gt;0,0,2250)</f>
        <v>2250</v>
      </c>
      <c r="J120">
        <v>4000</v>
      </c>
      <c r="K120">
        <v>0.8</v>
      </c>
      <c r="L120" t="str">
        <v>2026-06-14</v>
      </c>
      <c r="M120" t="str">
        <f>IF($O120&gt;0,"JLR flat rate "&amp;TEXT($O120,"0.00")&amp;" per hr — build-up not supplied","UK plastics assembly benchmark. Vibration welding, large flat interfaces (automotive ducts). Jun 2026")</f>
        <v>UK plastics assembly benchmark. Vibration welding, large flat interfaces (automotive ducts). Jun 2026</v>
      </c>
      <c r="N120" t="str">
        <v>Medium</v>
      </c>
      <c r="O120">
        <f>IFERROR(IF(OR(INDEX(Mapping!$C:$C,MATCH($A120,Mapping!$A:$A,0))="",INDEX(JLRrates!$C:$C,MATCH(INDEX(Mapping!$C:$C,MATCH($A120,Mapping!$A:$A,0)),JLRrates!$B:$B,0))=""),0,INDEX(JLRrates!$C:$C,MATCH(INDEX(Mapping!$C:$C,MATCH($A120,Mapping!$A:$A,0)),JLRrates!$B:$B,0))),0)</f>
        <v>0</v>
      </c>
    </row>
    <row r="121">
      <c r="A121" t="str">
        <v>laser-trumpf-3030</v>
      </c>
      <c r="B121" t="str">
        <v>Trumpf TruLaser 3030 (6kW Fiber)</v>
      </c>
      <c r="C121" t="str">
        <v>UK</v>
      </c>
      <c r="D121">
        <f>IF($O121&gt;0,$O121*4000*0.75,90000)</f>
        <v>90000</v>
      </c>
      <c r="E121">
        <f>IF($O121&gt;0,0,65000)</f>
        <v>65000</v>
      </c>
      <c r="F121">
        <f>IF($O121&gt;0,0,32000)</f>
        <v>32000</v>
      </c>
      <c r="G121">
        <f>IF($O121&gt;0,0,10000)</f>
        <v>10000</v>
      </c>
      <c r="H121">
        <f>IF($O121&gt;0,0,40000)</f>
        <v>40000</v>
      </c>
      <c r="I121">
        <f>IF($O121&gt;0,0,18000)</f>
        <v>18000</v>
      </c>
      <c r="J121">
        <v>4000</v>
      </c>
      <c r="K121">
        <v>0.75</v>
      </c>
      <c r="L121" t="str">
        <v>2026-06-14</v>
      </c>
      <c r="M121" t="str">
        <f>IF($O121&gt;0,"JLR flat rate "&amp;TEXT($O121,"0.00")&amp;" per hr — build-up not supplied","Trumpf TruLaser 3030, 6kW fiber, 3000×1500 bed. UK fab shop benchmark. Target £85/hr. Jun 2026")</f>
        <v>Trumpf TruLaser 3030, 6kW fiber, 3000×1500 bed. UK fab shop benchmark. Target £85/hr. Jun 2026</v>
      </c>
      <c r="N121" t="str">
        <v>Medium</v>
      </c>
      <c r="O121">
        <f>IFERROR(IF(OR(INDEX(Mapping!$C:$C,MATCH($A121,Mapping!$A:$A,0))="",INDEX(JLRrates!$C:$C,MATCH(INDEX(Mapping!$C:$C,MATCH($A121,Mapping!$A:$A,0)),JLRrates!$B:$B,0))=""),0,INDEX(JLRrates!$C:$C,MATCH(INDEX(Mapping!$C:$C,MATCH($A121,Mapping!$A:$A,0)),JLRrates!$B:$B,0))),0)</f>
        <v>0</v>
      </c>
    </row>
    <row r="122">
      <c r="A122" t="str">
        <v>laser-bystronic-3015</v>
      </c>
      <c r="B122" t="str">
        <v>Bystronic BySmart 3015 (4kW Fiber)</v>
      </c>
      <c r="C122" t="str">
        <v>UK</v>
      </c>
      <c r="D122">
        <f>IF($O122&gt;0,$O122*4000*0.75,68000)</f>
        <v>68000</v>
      </c>
      <c r="E122">
        <f>IF($O122&gt;0,0,50000)</f>
        <v>50000</v>
      </c>
      <c r="F122">
        <f>IF($O122&gt;0,0,24000)</f>
        <v>24000</v>
      </c>
      <c r="G122">
        <f>IF($O122&gt;0,0,9000)</f>
        <v>9000</v>
      </c>
      <c r="H122">
        <f>IF($O122&gt;0,0,35000)</f>
        <v>35000</v>
      </c>
      <c r="I122">
        <f>IF($O122&gt;0,0,24000)</f>
        <v>24000</v>
      </c>
      <c r="J122">
        <v>4000</v>
      </c>
      <c r="K122">
        <v>0.75</v>
      </c>
      <c r="L122" t="str">
        <v>2026-06-14</v>
      </c>
      <c r="M122" t="str">
        <f>IF($O122&gt;0,"JLR flat rate "&amp;TEXT($O122,"0.00")&amp;" per hr — build-up not supplied","Bystronic BySmart 3015, 4kW fiber, 3000×1500 bed. UK fab shop benchmark. Target £70/hr. Jun 2026")</f>
        <v>Bystronic BySmart 3015, 4kW fiber, 3000×1500 bed. UK fab shop benchmark. Target £70/hr. Jun 2026</v>
      </c>
      <c r="N122" t="str">
        <v>Medium</v>
      </c>
      <c r="O122">
        <f>IFERROR(IF(OR(INDEX(Mapping!$C:$C,MATCH($A122,Mapping!$A:$A,0))="",INDEX(JLRrates!$C:$C,MATCH(INDEX(Mapping!$C:$C,MATCH($A122,Mapping!$A:$A,0)),JLRrates!$B:$B,0))=""),0,INDEX(JLRrates!$C:$C,MATCH(INDEX(Mapping!$C:$C,MATCH($A122,Mapping!$A:$A,0)),JLRrates!$B:$B,0))),0)</f>
        <v>0</v>
      </c>
    </row>
    <row r="123">
      <c r="A123" t="str">
        <v>punch-amada-emz3610</v>
      </c>
      <c r="B123" t="str">
        <v>Amada EMZ 3610 Turret Punch (30T)</v>
      </c>
      <c r="C123" t="str">
        <v>UK</v>
      </c>
      <c r="D123">
        <f>IF($O123&gt;0,$O123*3500*0.78,58000)</f>
        <v>58000</v>
      </c>
      <c r="E123">
        <f>IF($O123&gt;0,0,45000)</f>
        <v>45000</v>
      </c>
      <c r="F123">
        <f>IF($O123&gt;0,0,18000)</f>
        <v>18000</v>
      </c>
      <c r="G123">
        <f>IF($O123&gt;0,0,9000)</f>
        <v>9000</v>
      </c>
      <c r="H123">
        <f>IF($O123&gt;0,0,30000)</f>
        <v>30000</v>
      </c>
      <c r="I123">
        <f>IF($O123&gt;0,0,18000)</f>
        <v>18000</v>
      </c>
      <c r="J123">
        <v>3500</v>
      </c>
      <c r="K123">
        <v>0.78</v>
      </c>
      <c r="L123" t="str">
        <v>2026-06-14</v>
      </c>
      <c r="M123" t="str">
        <f>IF($O123&gt;0,"JLR flat rate "&amp;TEXT($O123,"0.00")&amp;" per hr — build-up not supplied","Amada EMZ 3610, 30T, 58-tool capacity. UK fab shop benchmark. Target £65/hr. Jun 2026")</f>
        <v>Amada EMZ 3610, 30T, 58-tool capacity. UK fab shop benchmark. Target £65/hr. Jun 2026</v>
      </c>
      <c r="N123" t="str">
        <v>Medium</v>
      </c>
      <c r="O123">
        <f>IFERROR(IF(OR(INDEX(Mapping!$C:$C,MATCH($A123,Mapping!$A:$A,0))="",INDEX(JLRrates!$C:$C,MATCH(INDEX(Mapping!$C:$C,MATCH($A123,Mapping!$A:$A,0)),JLRrates!$B:$B,0))=""),0,INDEX(JLRrates!$C:$C,MATCH(INDEX(Mapping!$C:$C,MATCH($A123,Mapping!$A:$A,0)),JLRrates!$B:$B,0))),0)</f>
        <v>0</v>
      </c>
    </row>
    <row r="124">
      <c r="A124" t="str">
        <v>punch-trumpf-5000</v>
      </c>
      <c r="B124" t="str">
        <v>Trumpf TruPunch 5000 (30T)</v>
      </c>
      <c r="C124" t="str">
        <v>UK</v>
      </c>
      <c r="D124">
        <f>IF($O124&gt;0,$O124*3500*0.78,68000)</f>
        <v>68000</v>
      </c>
      <c r="E124">
        <f>IF($O124&gt;0,0,55000)</f>
        <v>55000</v>
      </c>
      <c r="F124">
        <f>IF($O124&gt;0,0,22000)</f>
        <v>22000</v>
      </c>
      <c r="G124">
        <f>IF($O124&gt;0,0,10000)</f>
        <v>10000</v>
      </c>
      <c r="H124">
        <f>IF($O124&gt;0,0,33000)</f>
        <v>33000</v>
      </c>
      <c r="I124">
        <f>IF($O124&gt;0,0,22000)</f>
        <v>22000</v>
      </c>
      <c r="J124">
        <v>3500</v>
      </c>
      <c r="K124">
        <v>0.78</v>
      </c>
      <c r="L124" t="str">
        <v>2026-06-14</v>
      </c>
      <c r="M124" t="str">
        <f>IF($O124&gt;0,"JLR flat rate "&amp;TEXT($O124,"0.00")&amp;" per hr — build-up not supplied","Trumpf TruPunch 5000, 30T, 72-tool capacity. UK fab shop benchmark. Target £75/hr. Jun 2026")</f>
        <v>Trumpf TruPunch 5000, 30T, 72-tool capacity. UK fab shop benchmark. Target £75/hr. Jun 2026</v>
      </c>
      <c r="N124" t="str">
        <v>Medium</v>
      </c>
      <c r="O124">
        <f>IFERROR(IF(OR(INDEX(Mapping!$C:$C,MATCH($A124,Mapping!$A:$A,0))="",INDEX(JLRrates!$C:$C,MATCH(INDEX(Mapping!$C:$C,MATCH($A124,Mapping!$A:$A,0)),JLRrates!$B:$B,0))=""),0,INDEX(JLRrates!$C:$C,MATCH(INDEX(Mapping!$C:$C,MATCH($A124,Mapping!$A:$A,0)),JLRrates!$B:$B,0))),0)</f>
        <v>0</v>
      </c>
    </row>
    <row r="125">
      <c r="A125" t="str">
        <v>brake-amada-hfe100</v>
      </c>
      <c r="B125" t="str">
        <v>Amada HFE 100T Press Brake (3m)</v>
      </c>
      <c r="C125" t="str">
        <v>UK</v>
      </c>
      <c r="D125">
        <f>IF($O125&gt;0,$O125*3500*0.75,48000)</f>
        <v>48000</v>
      </c>
      <c r="E125">
        <f>IF($O125&gt;0,0,38000)</f>
        <v>38000</v>
      </c>
      <c r="F125">
        <f>IF($O125&gt;0,0,14000)</f>
        <v>14000</v>
      </c>
      <c r="G125">
        <f>IF($O125&gt;0,0,9000)</f>
        <v>9000</v>
      </c>
      <c r="H125">
        <f>IF($O125&gt;0,0,22000)</f>
        <v>22000</v>
      </c>
      <c r="I125">
        <f>IF($O125&gt;0,0,14000)</f>
        <v>14000</v>
      </c>
      <c r="J125">
        <v>3500</v>
      </c>
      <c r="K125">
        <v>0.75</v>
      </c>
      <c r="L125" t="str">
        <v>2026-06-14</v>
      </c>
      <c r="M125" t="str">
        <f>IF($O125&gt;0,"JLR flat rate "&amp;TEXT($O125,"0.00")&amp;" per hr — build-up not supplied","Amada HFE3i 100T, 3000mm. UK fab shop benchmark. Target £55/hr. Jun 2026")</f>
        <v>Amada HFE3i 100T, 3000mm. UK fab shop benchmark. Target £55/hr. Jun 2026</v>
      </c>
      <c r="N125" t="str">
        <v>Medium</v>
      </c>
      <c r="O125">
        <f>IFERROR(IF(OR(INDEX(Mapping!$C:$C,MATCH($A125,Mapping!$A:$A,0))="",INDEX(JLRrates!$C:$C,MATCH(INDEX(Mapping!$C:$C,MATCH($A125,Mapping!$A:$A,0)),JLRrates!$B:$B,0))=""),0,INDEX(JLRrates!$C:$C,MATCH(INDEX(Mapping!$C:$C,MATCH($A125,Mapping!$A:$A,0)),JLRrates!$B:$B,0))),0)</f>
        <v>0</v>
      </c>
    </row>
    <row r="126">
      <c r="A126" t="str">
        <v>brake-trumpf-5230</v>
      </c>
      <c r="B126" t="str">
        <v>Trumpf TruBend 5230 (230T)</v>
      </c>
      <c r="C126" t="str">
        <v>UK</v>
      </c>
      <c r="D126">
        <f>IF($O126&gt;0,$O126*3500*0.75,62000)</f>
        <v>62000</v>
      </c>
      <c r="E126">
        <f>IF($O126&gt;0,0,48000)</f>
        <v>48000</v>
      </c>
      <c r="F126">
        <f>IF($O126&gt;0,0,18000)</f>
        <v>18000</v>
      </c>
      <c r="G126">
        <f>IF($O126&gt;0,0,10000)</f>
        <v>10000</v>
      </c>
      <c r="H126">
        <f>IF($O126&gt;0,0,28000)</f>
        <v>28000</v>
      </c>
      <c r="I126">
        <f>IF($O126&gt;0,0,18000)</f>
        <v>18000</v>
      </c>
      <c r="J126">
        <v>3500</v>
      </c>
      <c r="K126">
        <v>0.75</v>
      </c>
      <c r="L126" t="str">
        <v>2026-06-14</v>
      </c>
      <c r="M126" t="str">
        <f>IF($O126&gt;0,"JLR flat rate "&amp;TEXT($O126,"0.00")&amp;" per hr — build-up not supplied","Trumpf TruBend 5230, 230T, 3230mm. UK fab shop benchmark. Target £70/hr. Jun 2026")</f>
        <v>Trumpf TruBend 5230, 230T, 3230mm. UK fab shop benchmark. Target £70/hr. Jun 2026</v>
      </c>
      <c r="N126" t="str">
        <v>Medium</v>
      </c>
      <c r="O126">
        <f>IFERROR(IF(OR(INDEX(Mapping!$C:$C,MATCH($A126,Mapping!$A:$A,0))="",INDEX(JLRrates!$C:$C,MATCH(INDEX(Mapping!$C:$C,MATCH($A126,Mapping!$A:$A,0)),JLRrates!$B:$B,0))=""),0,INDEX(JLRrates!$C:$C,MATCH(INDEX(Mapping!$C:$C,MATCH($A126,Mapping!$A:$A,0)),JLRrates!$B:$B,0))),0)</f>
        <v>0</v>
      </c>
    </row>
    <row r="127">
      <c r="A127" t="str">
        <v>press-schuler-400t</v>
      </c>
      <c r="B127" t="str">
        <v>Schuler 400T Stamping Press</v>
      </c>
      <c r="C127" t="str">
        <v>UK</v>
      </c>
      <c r="D127">
        <f>IF($O127&gt;0,$O127*3500*0.78,145000)</f>
        <v>145000</v>
      </c>
      <c r="E127">
        <f>IF($O127&gt;0,0,84500)</f>
        <v>84500</v>
      </c>
      <c r="F127">
        <f>IF($O127&gt;0,0,55000)</f>
        <v>55000</v>
      </c>
      <c r="G127">
        <f>IF($O127&gt;0,0,20000)</f>
        <v>20000</v>
      </c>
      <c r="H127">
        <f>IF($O127&gt;0,0,65000)</f>
        <v>65000</v>
      </c>
      <c r="I127">
        <f>IF($O127&gt;0,0,40000)</f>
        <v>40000</v>
      </c>
      <c r="J127">
        <v>3500</v>
      </c>
      <c r="K127">
        <v>0.78</v>
      </c>
      <c r="L127" t="str">
        <v>2026-06-14</v>
      </c>
      <c r="M127" t="str">
        <f>IF($O127&gt;0,"JLR flat rate "&amp;TEXT($O127,"0.00")&amp;" per hr — build-up not supplied","Schuler 400T mechanical stamping press. UK automotive press shop. Target £150/hr. Jun 2026")</f>
        <v>Schuler 400T mechanical stamping press. UK automotive press shop. Target £150/hr. Jun 2026</v>
      </c>
      <c r="N127" t="str">
        <v>Medium</v>
      </c>
      <c r="O127">
        <f>IFERROR(IF(OR(INDEX(Mapping!$C:$C,MATCH($A127,Mapping!$A:$A,0))="",INDEX(JLRrates!$C:$C,MATCH(INDEX(Mapping!$C:$C,MATCH($A127,Mapping!$A:$A,0)),JLRrates!$B:$B,0))=""),0,INDEX(JLRrates!$C:$C,MATCH(INDEX(Mapping!$C:$C,MATCH($A127,Mapping!$A:$A,0)),JLRrates!$B:$B,0))),0)</f>
        <v>0</v>
      </c>
    </row>
    <row r="128">
      <c r="A128" t="str">
        <v>press-aida-200t</v>
      </c>
      <c r="B128" t="str">
        <v>AIDA 200T Stamping Press</v>
      </c>
      <c r="C128" t="str">
        <v>UK</v>
      </c>
      <c r="D128">
        <f>IF($O128&gt;0,$O128*3500*0.78,110000)</f>
        <v>110000</v>
      </c>
      <c r="E128">
        <f>IF($O128&gt;0,0,70000)</f>
        <v>70000</v>
      </c>
      <c r="F128">
        <f>IF($O128&gt;0,0,40000)</f>
        <v>40000</v>
      </c>
      <c r="G128">
        <f>IF($O128&gt;0,0,18000)</f>
        <v>18000</v>
      </c>
      <c r="H128">
        <f>IF($O128&gt;0,0,55000)</f>
        <v>55000</v>
      </c>
      <c r="I128">
        <f>IF($O128&gt;0,0,35000)</f>
        <v>35000</v>
      </c>
      <c r="J128">
        <v>3500</v>
      </c>
      <c r="K128">
        <v>0.78</v>
      </c>
      <c r="L128" t="str">
        <v>2026-06-14</v>
      </c>
      <c r="M128" t="str">
        <f>IF($O128&gt;0,"JLR flat rate "&amp;TEXT($O128,"0.00")&amp;" per hr — build-up not supplied","AIDA 200T servo stamping press. UK press shop benchmark. Target £120/hr. Jun 2026")</f>
        <v>AIDA 200T servo stamping press. UK press shop benchmark. Target £120/hr. Jun 2026</v>
      </c>
      <c r="N128" t="str">
        <v>Medium</v>
      </c>
      <c r="O128">
        <f>IFERROR(IF(OR(INDEX(Mapping!$C:$C,MATCH($A128,Mapping!$A:$A,0))="",INDEX(JLRrates!$C:$C,MATCH(INDEX(Mapping!$C:$C,MATCH($A128,Mapping!$A:$A,0)),JLRrates!$B:$B,0))=""),0,INDEX(JLRrates!$C:$C,MATCH(INDEX(Mapping!$C:$C,MATCH($A128,Mapping!$A:$A,0)),JLRrates!$B:$B,0))),0)</f>
        <v>0</v>
      </c>
    </row>
    <row r="129">
      <c r="A129" t="str">
        <v>rollform-dimeco-20st</v>
      </c>
      <c r="B129" t="str">
        <v>Dimeco Roll Forming Line (20 stations)</v>
      </c>
      <c r="C129" t="str">
        <v>UK</v>
      </c>
      <c r="D129">
        <f>IF($O129&gt;0,$O129*5000*0.8,150000)</f>
        <v>150000</v>
      </c>
      <c r="E129">
        <f>IF($O129&gt;0,0,95000)</f>
        <v>95000</v>
      </c>
      <c r="F129">
        <f>IF($O129&gt;0,0,55000)</f>
        <v>55000</v>
      </c>
      <c r="G129">
        <f>IF($O129&gt;0,0,35000)</f>
        <v>35000</v>
      </c>
      <c r="H129">
        <f>IF($O129&gt;0,0,70000)</f>
        <v>70000</v>
      </c>
      <c r="I129">
        <f>IF($O129&gt;0,0,40000)</f>
        <v>40000</v>
      </c>
      <c r="J129">
        <v>5000</v>
      </c>
      <c r="K129">
        <v>0.8</v>
      </c>
      <c r="L129" t="str">
        <v>2026-06-14</v>
      </c>
      <c r="M129" t="str">
        <f>IF($O129&gt;0,"JLR flat rate "&amp;TEXT($O129,"0.00")&amp;" per hr — build-up not supplied","Dimeco 20-station roll forming line. UK fabricator. Target £110/hr. Jun 2026")</f>
        <v>Dimeco 20-station roll forming line. UK fabricator. Target £110/hr. Jun 2026</v>
      </c>
      <c r="N129" t="str">
        <v>Medium</v>
      </c>
      <c r="O129">
        <f>IFERROR(IF(OR(INDEX(Mapping!$C:$C,MATCH($A129,Mapping!$A:$A,0))="",INDEX(JLRrates!$C:$C,MATCH(INDEX(Mapping!$C:$C,MATCH($A129,Mapping!$A:$A,0)),JLRrates!$B:$B,0))=""),0,INDEX(JLRrates!$C:$C,MATCH(INDEX(Mapping!$C:$C,MATCH($A129,Mapping!$A:$A,0)),JLRrates!$B:$B,0))),0)</f>
        <v>0</v>
      </c>
    </row>
    <row r="130">
      <c r="A130" t="str">
        <v>robot-spotweld-kuka</v>
      </c>
      <c r="B130" t="str">
        <v>KUKA Spot Welding Robot Cell</v>
      </c>
      <c r="C130" t="str">
        <v>UK</v>
      </c>
      <c r="D130">
        <f>IF($O130&gt;0,$O130*4000*0.8,90000)</f>
        <v>90000</v>
      </c>
      <c r="E130">
        <f>IF($O130&gt;0,0,55000)</f>
        <v>55000</v>
      </c>
      <c r="F130">
        <f>IF($O130&gt;0,0,25000)</f>
        <v>25000</v>
      </c>
      <c r="G130">
        <f>IF($O130&gt;0,0,15000)</f>
        <v>15000</v>
      </c>
      <c r="H130">
        <f>IF($O130&gt;0,0,65000)</f>
        <v>65000</v>
      </c>
      <c r="I130">
        <f>IF($O130&gt;0,0,38000)</f>
        <v>38000</v>
      </c>
      <c r="J130">
        <v>4000</v>
      </c>
      <c r="K130">
        <v>0.8</v>
      </c>
      <c r="L130" t="str">
        <v>2026-06-14</v>
      </c>
      <c r="M130" t="str">
        <f>IF($O130&gt;0,"JLR flat rate "&amp;TEXT($O130,"0.00")&amp;" per hr — build-up not supplied","KUKA robot spot weld cell. UK automotive body shop. Target £90/hr. Jun 2026")</f>
        <v>KUKA robot spot weld cell. UK automotive body shop. Target £90/hr. Jun 2026</v>
      </c>
      <c r="N130" t="str">
        <v>Medium</v>
      </c>
      <c r="O130">
        <f>IFERROR(IF(OR(INDEX(Mapping!$C:$C,MATCH($A130,Mapping!$A:$A,0))="",INDEX(JLRrates!$C:$C,MATCH(INDEX(Mapping!$C:$C,MATCH($A130,Mapping!$A:$A,0)),JLRrates!$B:$B,0))=""),0,INDEX(JLRrates!$C:$C,MATCH(INDEX(Mapping!$C:$C,MATCH($A130,Mapping!$A:$A,0)),JLRrates!$B:$B,0))),0)</f>
        <v>0</v>
      </c>
    </row>
    <row r="131">
      <c r="A131" t="str">
        <v>mig-welder-manual</v>
      </c>
      <c r="B131" t="str">
        <v>Manual MIG/MAG Welder Station</v>
      </c>
      <c r="C131" t="str">
        <v>UK</v>
      </c>
      <c r="D131">
        <f>IF($O131&gt;0,$O131*4000*0.75,4000)</f>
        <v>4000</v>
      </c>
      <c r="E131">
        <f>IF($O131&gt;0,0,2000)</f>
        <v>2000</v>
      </c>
      <c r="F131">
        <f>IF($O131&gt;0,0,4000)</f>
        <v>4000</v>
      </c>
      <c r="G131">
        <f>IF($O131&gt;0,0,2000)</f>
        <v>2000</v>
      </c>
      <c r="H131">
        <f>IF($O131&gt;0,0,2000)</f>
        <v>2000</v>
      </c>
      <c r="I131">
        <f>IF($O131&gt;0,0,500)</f>
        <v>500</v>
      </c>
      <c r="J131">
        <v>4000</v>
      </c>
      <c r="K131">
        <v>0.75</v>
      </c>
      <c r="L131" t="str">
        <v>2026-06-14</v>
      </c>
      <c r="M131" t="str">
        <f>IF($O131&gt;0,"JLR flat rate "&amp;TEXT($O131,"0.00")&amp;" per hr — build-up not supplied","Manual MIG/MAG station. Machine rate low — cost dominated by operator labour. UK fab shop. Jun 2026")</f>
        <v>Manual MIG/MAG station. Machine rate low — cost dominated by operator labour. UK fab shop. Jun 2026</v>
      </c>
      <c r="N131" t="str">
        <v>Medium</v>
      </c>
      <c r="O131">
        <f>IFERROR(IF(OR(INDEX(Mapping!$C:$C,MATCH($A131,Mapping!$A:$A,0))="",INDEX(JLRrates!$C:$C,MATCH(INDEX(Mapping!$C:$C,MATCH($A131,Mapping!$A:$A,0)),JLRrates!$B:$B,0))=""),0,INDEX(JLRrates!$C:$C,MATCH(INDEX(Mapping!$C:$C,MATCH($A131,Mapping!$A:$A,0)),JLRrates!$B:$B,0))),0)</f>
        <v>0</v>
      </c>
    </row>
    <row r="132">
      <c r="A132" t="str">
        <v>tig-welder-manual</v>
      </c>
      <c r="B132" t="str">
        <v>Manual TIG Welder Station</v>
      </c>
      <c r="C132" t="str">
        <v>UK</v>
      </c>
      <c r="D132">
        <f>IF($O132&gt;0,$O132*4000*0.75,5000)</f>
        <v>5000</v>
      </c>
      <c r="E132">
        <f>IF($O132&gt;0,0,2500)</f>
        <v>2500</v>
      </c>
      <c r="F132">
        <f>IF($O132&gt;0,0,3500)</f>
        <v>3500</v>
      </c>
      <c r="G132">
        <f>IF($O132&gt;0,0,2000)</f>
        <v>2000</v>
      </c>
      <c r="H132">
        <f>IF($O132&gt;0,0,2000)</f>
        <v>2000</v>
      </c>
      <c r="I132">
        <f>IF($O132&gt;0,0,700)</f>
        <v>700</v>
      </c>
      <c r="J132">
        <v>4000</v>
      </c>
      <c r="K132">
        <v>0.75</v>
      </c>
      <c r="L132" t="str">
        <v>2026-06-14</v>
      </c>
      <c r="M132" t="str">
        <f>IF($O132&gt;0,"JLR flat rate "&amp;TEXT($O132,"0.00")&amp;" per hr — build-up not supplied","Manual TIG station. Machine rate low — cost dominated by skilled operator labour. UK fab shop. Jun 2026")</f>
        <v>Manual TIG station. Machine rate low — cost dominated by skilled operator labour. UK fab shop. Jun 2026</v>
      </c>
      <c r="N132" t="str">
        <v>Medium</v>
      </c>
      <c r="O132">
        <f>IFERROR(IF(OR(INDEX(Mapping!$C:$C,MATCH($A132,Mapping!$A:$A,0))="",INDEX(JLRrates!$C:$C,MATCH(INDEX(Mapping!$C:$C,MATCH($A132,Mapping!$A:$A,0)),JLRrates!$B:$B,0))=""),0,INDEX(JLRrates!$C:$C,MATCH(INDEX(Mapping!$C:$C,MATCH($A132,Mapping!$A:$A,0)),JLRrates!$B:$B,0))),0)</f>
        <v>0</v>
      </c>
    </row>
    <row r="133">
      <c r="A133" t="str">
        <v>laser-trumpf-5030</v>
      </c>
      <c r="B133" t="str">
        <v>Trumpf TruLaser 5030 (10kW Fiber)</v>
      </c>
      <c r="C133" t="str">
        <v>UK</v>
      </c>
      <c r="D133">
        <f>IF($O133&gt;0,$O133*4000*0.78,135000)</f>
        <v>135000</v>
      </c>
      <c r="E133">
        <f>IF($O133&gt;0,0,90000)</f>
        <v>90000</v>
      </c>
      <c r="F133">
        <f>IF($O133&gt;0,0,50000)</f>
        <v>50000</v>
      </c>
      <c r="G133">
        <f>IF($O133&gt;0,0,14000)</f>
        <v>14000</v>
      </c>
      <c r="H133">
        <f>IF($O133&gt;0,0,55000)</f>
        <v>55000</v>
      </c>
      <c r="I133">
        <f>IF($O133&gt;0,0,28000)</f>
        <v>28000</v>
      </c>
      <c r="J133">
        <v>4000</v>
      </c>
      <c r="K133">
        <v>0.78</v>
      </c>
      <c r="L133" t="str">
        <v>2026-06-14</v>
      </c>
      <c r="M133" t="str">
        <f>IF($O133&gt;0,"JLR flat rate "&amp;TEXT($O133,"0.00")&amp;" per hr — build-up not supplied","UK fab shop benchmark Jun 2026. Trumpf TruLaser 5030, 10kW fiber, 3000×1500 bed. High-speed cutting of thick plate (25mm mild steel, 15mm SS). Dynamic beam shaping BrightLine.")</f>
        <v>UK fab shop benchmark Jun 2026. Trumpf TruLaser 5030, 10kW fiber, 3000×1500 bed. High-speed cutting of thick plate (25mm mild steel, 15mm SS). Dynamic beam shaping BrightLine.</v>
      </c>
      <c r="N133" t="str">
        <v>Medium</v>
      </c>
      <c r="O133">
        <f>IFERROR(IF(OR(INDEX(Mapping!$C:$C,MATCH($A133,Mapping!$A:$A,0))="",INDEX(JLRrates!$C:$C,MATCH(INDEX(Mapping!$C:$C,MATCH($A133,Mapping!$A:$A,0)),JLRrates!$B:$B,0))=""),0,INDEX(JLRrates!$C:$C,MATCH(INDEX(Mapping!$C:$C,MATCH($A133,Mapping!$A:$A,0)),JLRrates!$B:$B,0))),0)</f>
        <v>0</v>
      </c>
    </row>
    <row r="134">
      <c r="A134" t="str">
        <v>laser-amada-ensis-3015</v>
      </c>
      <c r="B134" t="str">
        <v>Amada ENSIS 3015 AJ (3kW Fiber)</v>
      </c>
      <c r="C134" t="str">
        <v>UK</v>
      </c>
      <c r="D134">
        <f>IF($O134&gt;0,$O134*4000*0.76,72000)</f>
        <v>72000</v>
      </c>
      <c r="E134">
        <f>IF($O134&gt;0,0,52000)</f>
        <v>52000</v>
      </c>
      <c r="F134">
        <f>IF($O134&gt;0,0,22000)</f>
        <v>22000</v>
      </c>
      <c r="G134">
        <f>IF($O134&gt;0,0,9000)</f>
        <v>9000</v>
      </c>
      <c r="H134">
        <f>IF($O134&gt;0,0,36000)</f>
        <v>36000</v>
      </c>
      <c r="I134">
        <f>IF($O134&gt;0,0,15000)</f>
        <v>15000</v>
      </c>
      <c r="J134">
        <v>4000</v>
      </c>
      <c r="K134">
        <v>0.76</v>
      </c>
      <c r="L134" t="str">
        <v>2026-06-14</v>
      </c>
      <c r="M134" t="str">
        <f>IF($O134&gt;0,"JLR flat rate "&amp;TEXT($O134,"0.00")&amp;" per hr — build-up not supplied","UK fab shop benchmark Jun 2026. Amada ENSIS 3015 AJ, 3kW variable-beam fiber, 3000×1500 bed. Intelligent beam control — cuts thin to thick sheet without mode change.")</f>
        <v>UK fab shop benchmark Jun 2026. Amada ENSIS 3015 AJ, 3kW variable-beam fiber, 3000×1500 bed. Intelligent beam control — cuts thin to thick sheet without mode change.</v>
      </c>
      <c r="N134" t="str">
        <v>Medium</v>
      </c>
      <c r="O134">
        <f>IFERROR(IF(OR(INDEX(Mapping!$C:$C,MATCH($A134,Mapping!$A:$A,0))="",INDEX(JLRrates!$C:$C,MATCH(INDEX(Mapping!$C:$C,MATCH($A134,Mapping!$A:$A,0)),JLRrates!$B:$B,0))=""),0,INDEX(JLRrates!$C:$C,MATCH(INDEX(Mapping!$C:$C,MATCH($A134,Mapping!$A:$A,0)),JLRrates!$B:$B,0))),0)</f>
        <v>0</v>
      </c>
    </row>
    <row r="135">
      <c r="A135" t="str">
        <v>plasma-hypertherm-xpr300</v>
      </c>
      <c r="B135" t="str">
        <v>Hypertherm XPR300 Plasma Table</v>
      </c>
      <c r="C135" t="str">
        <v>UK</v>
      </c>
      <c r="D135">
        <f>IF($O135&gt;0,$O135*4000*0.8,38000)</f>
        <v>38000</v>
      </c>
      <c r="E135">
        <f>IF($O135&gt;0,0,28000)</f>
        <v>28000</v>
      </c>
      <c r="F135">
        <f>IF($O135&gt;0,0,22000)</f>
        <v>22000</v>
      </c>
      <c r="G135">
        <f>IF($O135&gt;0,0,14000)</f>
        <v>14000</v>
      </c>
      <c r="H135">
        <f>IF($O135&gt;0,0,18000)</f>
        <v>18000</v>
      </c>
      <c r="I135">
        <f>IF($O135&gt;0,0,7500)</f>
        <v>7500</v>
      </c>
      <c r="J135">
        <v>4000</v>
      </c>
      <c r="K135">
        <v>0.8</v>
      </c>
      <c r="L135" t="str">
        <v>2026-06-14</v>
      </c>
      <c r="M135" t="str">
        <f>IF($O135&gt;0,"JLR flat rate "&amp;TEXT($O135,"0.00")&amp;" per hr — build-up not supplied","UK fab shop benchmark Jun 2026. Hypertherm XPR300 plasma — 300A, cuts up to 80mm mild steel. Plasma table for structural steel, heavy plate, general fabrication. Better edge quality than HiFocus for thick plate.")</f>
        <v>UK fab shop benchmark Jun 2026. Hypertherm XPR300 plasma — 300A, cuts up to 80mm mild steel. Plasma table for structural steel, heavy plate, general fabrication. Better edge quality than HiFocus for thick plate.</v>
      </c>
      <c r="N135" t="str">
        <v>Medium</v>
      </c>
      <c r="O135">
        <f>IFERROR(IF(OR(INDEX(Mapping!$C:$C,MATCH($A135,Mapping!$A:$A,0))="",INDEX(JLRrates!$C:$C,MATCH(INDEX(Mapping!$C:$C,MATCH($A135,Mapping!$A:$A,0)),JLRrates!$B:$B,0))=""),0,INDEX(JLRrates!$C:$C,MATCH(INDEX(Mapping!$C:$C,MATCH($A135,Mapping!$A:$A,0)),JLRrates!$B:$B,0))),0)</f>
        <v>0</v>
      </c>
    </row>
    <row r="136">
      <c r="A136" t="str">
        <v>plasma-kjellberg-hifocus280</v>
      </c>
      <c r="B136" t="str">
        <v>Kjellberg HiFocus 280i Plasma Table</v>
      </c>
      <c r="C136" t="str">
        <v>UK</v>
      </c>
      <c r="D136">
        <f>IF($O136&gt;0,$O136*4000*0.8,32000)</f>
        <v>32000</v>
      </c>
      <c r="E136">
        <f>IF($O136&gt;0,0,24000)</f>
        <v>24000</v>
      </c>
      <c r="F136">
        <f>IF($O136&gt;0,0,20000)</f>
        <v>20000</v>
      </c>
      <c r="G136">
        <f>IF($O136&gt;0,0,14000)</f>
        <v>14000</v>
      </c>
      <c r="H136">
        <f>IF($O136&gt;0,0,16000)</f>
        <v>16000</v>
      </c>
      <c r="I136">
        <f>IF($O136&gt;0,0,6500)</f>
        <v>6500</v>
      </c>
      <c r="J136">
        <v>4000</v>
      </c>
      <c r="K136">
        <v>0.8</v>
      </c>
      <c r="L136" t="str">
        <v>2026-06-14</v>
      </c>
      <c r="M136" t="str">
        <f>IF($O136&gt;0,"JLR flat rate "&amp;TEXT($O136,"0.00")&amp;" per hr — build-up not supplied","UK fab shop benchmark Jun 2026. Kjellberg HiFocus 280i — 280A HD plasma for precision cutting up to 50mm. Better edge perpendicularity than standard plasma.")</f>
        <v>UK fab shop benchmark Jun 2026. Kjellberg HiFocus 280i — 280A HD plasma for precision cutting up to 50mm. Better edge perpendicularity than standard plasma.</v>
      </c>
      <c r="N136" t="str">
        <v>Medium</v>
      </c>
      <c r="O136">
        <f>IFERROR(IF(OR(INDEX(Mapping!$C:$C,MATCH($A136,Mapping!$A:$A,0))="",INDEX(JLRrates!$C:$C,MATCH(INDEX(Mapping!$C:$C,MATCH($A136,Mapping!$A:$A,0)),JLRrates!$B:$B,0))=""),0,INDEX(JLRrates!$C:$C,MATCH(INDEX(Mapping!$C:$C,MATCH($A136,Mapping!$A:$A,0)),JLRrates!$B:$B,0))),0)</f>
        <v>0</v>
      </c>
    </row>
    <row r="137">
      <c r="A137" t="str">
        <v>waterjet-flow-mach500</v>
      </c>
      <c r="B137" t="str">
        <v>Flow Mach 500 Waterjet (60K psi)</v>
      </c>
      <c r="C137" t="str">
        <v>UK</v>
      </c>
      <c r="D137">
        <f>IF($O137&gt;0,$O137*4000*0.75,45000)</f>
        <v>45000</v>
      </c>
      <c r="E137">
        <f>IF($O137&gt;0,0,32000)</f>
        <v>32000</v>
      </c>
      <c r="F137">
        <f>IF($O137&gt;0,0,28000)</f>
        <v>28000</v>
      </c>
      <c r="G137">
        <f>IF($O137&gt;0,0,16000)</f>
        <v>16000</v>
      </c>
      <c r="H137">
        <f>IF($O137&gt;0,0,20000)</f>
        <v>20000</v>
      </c>
      <c r="I137">
        <f>IF($O137&gt;0,0,9000)</f>
        <v>9000</v>
      </c>
      <c r="J137">
        <v>4000</v>
      </c>
      <c r="K137">
        <v>0.75</v>
      </c>
      <c r="L137" t="str">
        <v>2026-06-14</v>
      </c>
      <c r="M137" t="str">
        <f>IF($O137&gt;0,"JLR flat rate "&amp;TEXT($O137,"0.00")&amp;" per hr — build-up not supplied","UK fab shop benchmark Jun 2026. Flow Mach 500, 4000×2000 bed, 60,000 psi. Cuts steel, Al, SS, titanium, glass, ceramic. No HAZ — ideal for hardened/heat-sensitive materials.")</f>
        <v>UK fab shop benchmark Jun 2026. Flow Mach 500, 4000×2000 bed, 60,000 psi. Cuts steel, Al, SS, titanium, glass, ceramic. No HAZ — ideal for hardened/heat-sensitive materials.</v>
      </c>
      <c r="N137" t="str">
        <v>Medium</v>
      </c>
      <c r="O137">
        <f>IFERROR(IF(OR(INDEX(Mapping!$C:$C,MATCH($A137,Mapping!$A:$A,0))="",INDEX(JLRrates!$C:$C,MATCH(INDEX(Mapping!$C:$C,MATCH($A137,Mapping!$A:$A,0)),JLRrates!$B:$B,0))=""),0,INDEX(JLRrates!$C:$C,MATCH(INDEX(Mapping!$C:$C,MATCH($A137,Mapping!$A:$A,0)),JLRrates!$B:$B,0))),0)</f>
        <v>0</v>
      </c>
    </row>
    <row r="138">
      <c r="A138" t="str">
        <v>waterjet-omax-80x</v>
      </c>
      <c r="B138" t="str">
        <v>Omax 80X Waterjet (60K psi)</v>
      </c>
      <c r="C138" t="str">
        <v>UK</v>
      </c>
      <c r="D138">
        <f>IF($O138&gt;0,$O138*4000*0.75,38000)</f>
        <v>38000</v>
      </c>
      <c r="E138">
        <f>IF($O138&gt;0,0,28000)</f>
        <v>28000</v>
      </c>
      <c r="F138">
        <f>IF($O138&gt;0,0,24000)</f>
        <v>24000</v>
      </c>
      <c r="G138">
        <f>IF($O138&gt;0,0,14000)</f>
        <v>14000</v>
      </c>
      <c r="H138">
        <f>IF($O138&gt;0,0,18000)</f>
        <v>18000</v>
      </c>
      <c r="I138">
        <f>IF($O138&gt;0,0,7500)</f>
        <v>7500</v>
      </c>
      <c r="J138">
        <v>4000</v>
      </c>
      <c r="K138">
        <v>0.75</v>
      </c>
      <c r="L138" t="str">
        <v>2026-06-14</v>
      </c>
      <c r="M138" t="str">
        <f>IF($O138&gt;0,"JLR flat rate "&amp;TEXT($O138,"0.00")&amp;" per hr — build-up not supplied","UK fab shop benchmark Jun 2026. Omax 80X, 2286×2286 bed, 60,000 psi. Versatile shop waterjet — metal, glass, stone, composites. Intelli-MAX software with optimised path generation.")</f>
        <v>UK fab shop benchmark Jun 2026. Omax 80X, 2286×2286 bed, 60,000 psi. Versatile shop waterjet — metal, glass, stone, composites. Intelli-MAX software with optimised path generation.</v>
      </c>
      <c r="N138" t="str">
        <v>Medium</v>
      </c>
      <c r="O138">
        <f>IFERROR(IF(OR(INDEX(Mapping!$C:$C,MATCH($A138,Mapping!$A:$A,0))="",INDEX(JLRrates!$C:$C,MATCH(INDEX(Mapping!$C:$C,MATCH($A138,Mapping!$A:$A,0)),JLRrates!$B:$B,0))=""),0,INDEX(JLRrates!$C:$C,MATCH(INDEX(Mapping!$C:$C,MATCH($A138,Mapping!$A:$A,0)),JLRrates!$B:$B,0))),0)</f>
        <v>0</v>
      </c>
    </row>
    <row r="139">
      <c r="A139" t="str">
        <v>shear-hydraulic-3m</v>
      </c>
      <c r="B139" t="str">
        <v>Hydraulic Guillotine Shear (3m × 6mm)</v>
      </c>
      <c r="C139" t="str">
        <v>UK</v>
      </c>
      <c r="D139">
        <f>IF($O139&gt;0,$O139*3500*0.8,14000)</f>
        <v>14000</v>
      </c>
      <c r="E139">
        <f>IF($O139&gt;0,0,8000)</f>
        <v>8000</v>
      </c>
      <c r="F139">
        <f>IF($O139&gt;0,0,5000)</f>
        <v>5000</v>
      </c>
      <c r="G139">
        <f>IF($O139&gt;0,0,6000)</f>
        <v>6000</v>
      </c>
      <c r="H139">
        <f>IF($O139&gt;0,0,5000)</f>
        <v>5000</v>
      </c>
      <c r="I139">
        <f>IF($O139&gt;0,0,2500)</f>
        <v>2500</v>
      </c>
      <c r="J139">
        <v>3500</v>
      </c>
      <c r="K139">
        <v>0.8</v>
      </c>
      <c r="L139" t="str">
        <v>2026-06-14</v>
      </c>
      <c r="M139" t="str">
        <f>IF($O139&gt;0,"JLR flat rate "&amp;TEXT($O139,"0.00")&amp;" per hr — build-up not supplied","UK fab shop benchmark Jun 2026. Hydraulic guillotine shear, 3000mm × 6mm mild steel capacity. Straight-line blanking. Very low cycle cost — ideal for simple rectangular blanks.")</f>
        <v>UK fab shop benchmark Jun 2026. Hydraulic guillotine shear, 3000mm × 6mm mild steel capacity. Straight-line blanking. Very low cycle cost — ideal for simple rectangular blanks.</v>
      </c>
      <c r="N139" t="str">
        <v>Medium</v>
      </c>
      <c r="O139">
        <f>IFERROR(IF(OR(INDEX(Mapping!$C:$C,MATCH($A139,Mapping!$A:$A,0))="",INDEX(JLRrates!$C:$C,MATCH(INDEX(Mapping!$C:$C,MATCH($A139,Mapping!$A:$A,0)),JLRrates!$B:$B,0))=""),0,INDEX(JLRrates!$C:$C,MATCH(INDEX(Mapping!$C:$C,MATCH($A139,Mapping!$A:$A,0)),JLRrates!$B:$B,0))),0)</f>
        <v>0</v>
      </c>
    </row>
    <row r="140">
      <c r="A140" t="str">
        <v>shear-guillotine-6mm</v>
      </c>
      <c r="B140" t="str">
        <v>Hydraulic Shear Heavy Duty (4m × 6mm)</v>
      </c>
      <c r="C140" t="str">
        <v>UK</v>
      </c>
      <c r="D140">
        <f>IF($O140&gt;0,$O140*3500*0.8,20000)</f>
        <v>20000</v>
      </c>
      <c r="E140">
        <f>IF($O140&gt;0,0,10000)</f>
        <v>10000</v>
      </c>
      <c r="F140">
        <f>IF($O140&gt;0,0,7000)</f>
        <v>7000</v>
      </c>
      <c r="G140">
        <f>IF($O140&gt;0,0,8000)</f>
        <v>8000</v>
      </c>
      <c r="H140">
        <f>IF($O140&gt;0,0,7000)</f>
        <v>7000</v>
      </c>
      <c r="I140">
        <f>IF($O140&gt;0,0,3500)</f>
        <v>3500</v>
      </c>
      <c r="J140">
        <v>3500</v>
      </c>
      <c r="K140">
        <v>0.8</v>
      </c>
      <c r="L140" t="str">
        <v>2026-06-14</v>
      </c>
      <c r="M140" t="str">
        <f>IF($O140&gt;0,"JLR flat rate "&amp;TEXT($O140,"0.00")&amp;" per hr — build-up not supplied","UK fab shop benchmark Jun 2026. Heavy-duty hydraulic shear, 4000mm × 6mm (12mm MS). For heavy plate blanking and structural steel service centres.")</f>
        <v>UK fab shop benchmark Jun 2026. Heavy-duty hydraulic shear, 4000mm × 6mm (12mm MS). For heavy plate blanking and structural steel service centres.</v>
      </c>
      <c r="N140" t="str">
        <v>Medium</v>
      </c>
      <c r="O140">
        <f>IFERROR(IF(OR(INDEX(Mapping!$C:$C,MATCH($A140,Mapping!$A:$A,0))="",INDEX(JLRrates!$C:$C,MATCH(INDEX(Mapping!$C:$C,MATCH($A140,Mapping!$A:$A,0)),JLRrates!$B:$B,0))=""),0,INDEX(JLRrates!$C:$C,MATCH(INDEX(Mapping!$C:$C,MATCH($A140,Mapping!$A:$A,0)),JLRrates!$B:$B,0))),0)</f>
        <v>0</v>
      </c>
    </row>
    <row r="141">
      <c r="A141" t="str">
        <v>brake-amada-hfe170</v>
      </c>
      <c r="B141" t="str">
        <v>Amada HFE3i 170T Press Brake (4m)</v>
      </c>
      <c r="C141" t="str">
        <v>UK</v>
      </c>
      <c r="D141">
        <f>IF($O141&gt;0,$O141*3500*0.75,60000)</f>
        <v>60000</v>
      </c>
      <c r="E141">
        <f>IF($O141&gt;0,0,46000)</f>
        <v>46000</v>
      </c>
      <c r="F141">
        <f>IF($O141&gt;0,0,18000)</f>
        <v>18000</v>
      </c>
      <c r="G141">
        <f>IF($O141&gt;0,0,11000)</f>
        <v>11000</v>
      </c>
      <c r="H141">
        <f>IF($O141&gt;0,0,28000)</f>
        <v>28000</v>
      </c>
      <c r="I141">
        <f>IF($O141&gt;0,0,17000)</f>
        <v>17000</v>
      </c>
      <c r="J141">
        <v>3500</v>
      </c>
      <c r="K141">
        <v>0.75</v>
      </c>
      <c r="L141" t="str">
        <v>2026-06-14</v>
      </c>
      <c r="M141" t="str">
        <f>IF($O141&gt;0,"JLR flat rate "&amp;TEXT($O141,"0.00")&amp;" per hr — build-up not supplied","UK fab shop benchmark Jun 2026. Amada HFE3i 170T, 4000mm. Larger brake for heavier plate forming and longer parts. ATC (Auto Tool Changer) option available.")</f>
        <v>UK fab shop benchmark Jun 2026. Amada HFE3i 170T, 4000mm. Larger brake for heavier plate forming and longer parts. ATC (Auto Tool Changer) option available.</v>
      </c>
      <c r="N141" t="str">
        <v>Medium</v>
      </c>
      <c r="O141">
        <f>IFERROR(IF(OR(INDEX(Mapping!$C:$C,MATCH($A141,Mapping!$A:$A,0))="",INDEX(JLRrates!$C:$C,MATCH(INDEX(Mapping!$C:$C,MATCH($A141,Mapping!$A:$A,0)),JLRrates!$B:$B,0))=""),0,INDEX(JLRrates!$C:$C,MATCH(INDEX(Mapping!$C:$C,MATCH($A141,Mapping!$A:$A,0)),JLRrates!$B:$B,0))),0)</f>
        <v>0</v>
      </c>
    </row>
    <row r="142">
      <c r="A142" t="str">
        <v>brake-trumpf-trubend3100</v>
      </c>
      <c r="B142" t="str">
        <v>Trumpf TruBend 3100 (100T)</v>
      </c>
      <c r="C142" t="str">
        <v>UK</v>
      </c>
      <c r="D142">
        <f>IF($O142&gt;0,$O142*3500*0.75,45000)</f>
        <v>45000</v>
      </c>
      <c r="E142">
        <f>IF($O142&gt;0,0,35000)</f>
        <v>35000</v>
      </c>
      <c r="F142">
        <f>IF($O142&gt;0,0,13000)</f>
        <v>13000</v>
      </c>
      <c r="G142">
        <f>IF($O142&gt;0,0,9000)</f>
        <v>9000</v>
      </c>
      <c r="H142">
        <f>IF($O142&gt;0,0,20000)</f>
        <v>20000</v>
      </c>
      <c r="I142">
        <f>IF($O142&gt;0,0,13000)</f>
        <v>13000</v>
      </c>
      <c r="J142">
        <v>3500</v>
      </c>
      <c r="K142">
        <v>0.75</v>
      </c>
      <c r="L142" t="str">
        <v>2026-06-14</v>
      </c>
      <c r="M142" t="str">
        <f>IF($O142&gt;0,"JLR flat rate "&amp;TEXT($O142,"0.00")&amp;" per hr — build-up not supplied","UK fab shop benchmark Jun 2026. Trumpf TruBend 3100, 100T, 3000mm. CNC press brake with BendGuard safety and TASC adaptive bending for high angle accuracy.")</f>
        <v>UK fab shop benchmark Jun 2026. Trumpf TruBend 3100, 100T, 3000mm. CNC press brake with BendGuard safety and TASC adaptive bending for high angle accuracy.</v>
      </c>
      <c r="N142" t="str">
        <v>Medium</v>
      </c>
      <c r="O142">
        <f>IFERROR(IF(OR(INDEX(Mapping!$C:$C,MATCH($A142,Mapping!$A:$A,0))="",INDEX(JLRrates!$C:$C,MATCH(INDEX(Mapping!$C:$C,MATCH($A142,Mapping!$A:$A,0)),JLRrates!$B:$B,0))=""),0,INDEX(JLRrates!$C:$C,MATCH(INDEX(Mapping!$C:$C,MATCH($A142,Mapping!$A:$A,0)),JLRrates!$B:$B,0))),0)</f>
        <v>0</v>
      </c>
    </row>
    <row r="143">
      <c r="A143" t="str">
        <v>brake-lvd-ppeb135</v>
      </c>
      <c r="B143" t="str">
        <v>LVD PPEB 135T/30 Press Brake</v>
      </c>
      <c r="C143" t="str">
        <v>UK</v>
      </c>
      <c r="D143">
        <f>IF($O143&gt;0,$O143*3500*0.75,52000)</f>
        <v>52000</v>
      </c>
      <c r="E143">
        <f>IF($O143&gt;0,0,40000)</f>
        <v>40000</v>
      </c>
      <c r="F143">
        <f>IF($O143&gt;0,0,15000)</f>
        <v>15000</v>
      </c>
      <c r="G143">
        <f>IF($O143&gt;0,0,10000)</f>
        <v>10000</v>
      </c>
      <c r="H143">
        <f>IF($O143&gt;0,0,24000)</f>
        <v>24000</v>
      </c>
      <c r="I143">
        <f>IF($O143&gt;0,0,15000)</f>
        <v>15000</v>
      </c>
      <c r="J143">
        <v>3500</v>
      </c>
      <c r="K143">
        <v>0.75</v>
      </c>
      <c r="L143" t="str">
        <v>2026-06-14</v>
      </c>
      <c r="M143" t="str">
        <f>IF($O143&gt;0,"JLR flat rate "&amp;TEXT($O143,"0.00")&amp;" per hr — build-up not supplied","UK fab shop benchmark Jun 2026. LVD PPEB 135T/30, 3000mm. Electro-hydraulic CNC brake with Touch-B offline programming and angle measurement system.")</f>
        <v>UK fab shop benchmark Jun 2026. LVD PPEB 135T/30, 3000mm. Electro-hydraulic CNC brake with Touch-B offline programming and angle measurement system.</v>
      </c>
      <c r="N143" t="str">
        <v>Medium</v>
      </c>
      <c r="O143">
        <f>IFERROR(IF(OR(INDEX(Mapping!$C:$C,MATCH($A143,Mapping!$A:$A,0))="",INDEX(JLRrates!$C:$C,MATCH(INDEX(Mapping!$C:$C,MATCH($A143,Mapping!$A:$A,0)),JLRrates!$B:$B,0))=""),0,INDEX(JLRrates!$C:$C,MATCH(INDEX(Mapping!$C:$C,MATCH($A143,Mapping!$A:$A,0)),JLRrates!$B:$B,0))),0)</f>
        <v>0</v>
      </c>
    </row>
    <row r="144">
      <c r="A144" t="str">
        <v>spotweld-gun-manual</v>
      </c>
      <c r="B144" t="str">
        <v>Pedestal Spot Welding Machine</v>
      </c>
      <c r="C144" t="str">
        <v>UK</v>
      </c>
      <c r="D144">
        <f>IF($O144&gt;0,$O144*4000*0.8,6000)</f>
        <v>6000</v>
      </c>
      <c r="E144">
        <f>IF($O144&gt;0,0,3000)</f>
        <v>3000</v>
      </c>
      <c r="F144">
        <f>IF($O144&gt;0,0,5000)</f>
        <v>5000</v>
      </c>
      <c r="G144">
        <f>IF($O144&gt;0,0,4000)</f>
        <v>4000</v>
      </c>
      <c r="H144">
        <f>IF($O144&gt;0,0,3000)</f>
        <v>3000</v>
      </c>
      <c r="I144">
        <f>IF($O144&gt;0,0,1000)</f>
        <v>1000</v>
      </c>
      <c r="J144">
        <v>4000</v>
      </c>
      <c r="K144">
        <v>0.8</v>
      </c>
      <c r="L144" t="str">
        <v>2026-06-14</v>
      </c>
      <c r="M144" t="str">
        <f>IF($O144&gt;0,"JLR flat rate "&amp;TEXT($O144,"0.00")&amp;" per hr — build-up not supplied","UK fab shop benchmark Jun 2026. Pedestal spot welder, 100kVA, programmable pressure/time/current. Manual C-gun also available. For body panel tack welding and structural joins.")</f>
        <v>UK fab shop benchmark Jun 2026. Pedestal spot welder, 100kVA, programmable pressure/time/current. Manual C-gun also available. For body panel tack welding and structural joins.</v>
      </c>
      <c r="N144" t="str">
        <v>Medium</v>
      </c>
      <c r="O144">
        <f>IFERROR(IF(OR(INDEX(Mapping!$C:$C,MATCH($A144,Mapping!$A:$A,0))="",INDEX(JLRrates!$C:$C,MATCH(INDEX(Mapping!$C:$C,MATCH($A144,Mapping!$A:$A,0)),JLRrates!$B:$B,0))=""),0,INDEX(JLRrates!$C:$C,MATCH(INDEX(Mapping!$C:$C,MATCH($A144,Mapping!$A:$A,0)),JLRrates!$B:$B,0))),0)</f>
        <v>0</v>
      </c>
    </row>
    <row r="145">
      <c r="A145" t="str">
        <v>robot-mig-cell</v>
      </c>
      <c r="B145" t="str">
        <v>Robotic MIG/MAG Welding Cell</v>
      </c>
      <c r="C145" t="str">
        <v>UK</v>
      </c>
      <c r="D145">
        <f>IF($O145&gt;0,$O145*4000*0.82,75000)</f>
        <v>75000</v>
      </c>
      <c r="E145">
        <f>IF($O145&gt;0,0,40000)</f>
        <v>40000</v>
      </c>
      <c r="F145">
        <f>IF($O145&gt;0,0,20000)</f>
        <v>20000</v>
      </c>
      <c r="G145">
        <f>IF($O145&gt;0,0,12000)</f>
        <v>12000</v>
      </c>
      <c r="H145">
        <f>IF($O145&gt;0,0,45000)</f>
        <v>45000</v>
      </c>
      <c r="I145">
        <f>IF($O145&gt;0,0,30000)</f>
        <v>30000</v>
      </c>
      <c r="J145">
        <v>4000</v>
      </c>
      <c r="K145">
        <v>0.82</v>
      </c>
      <c r="L145" t="str">
        <v>2026-06-14</v>
      </c>
      <c r="M145" t="str">
        <f>IF($O145&gt;0,"JLR flat rate "&amp;TEXT($O145,"0.00")&amp;" per hr — build-up not supplied","UK fab shop benchmark Jun 2026. 6-axis robot MIG cell (Fanuc/KUKA), dual-station fixture, arc-sensing seam tracking. Deposition speed 0.5–1.2 m/min. For high-volume structural welding.")</f>
        <v>UK fab shop benchmark Jun 2026. 6-axis robot MIG cell (Fanuc/KUKA), dual-station fixture, arc-sensing seam tracking. Deposition speed 0.5–1.2 m/min. For high-volume structural welding.</v>
      </c>
      <c r="N145" t="str">
        <v>Medium</v>
      </c>
      <c r="O145">
        <f>IFERROR(IF(OR(INDEX(Mapping!$C:$C,MATCH($A145,Mapping!$A:$A,0))="",INDEX(JLRrates!$C:$C,MATCH(INDEX(Mapping!$C:$C,MATCH($A145,Mapping!$A:$A,0)),JLRrates!$B:$B,0))=""),0,INDEX(JLRrates!$C:$C,MATCH(INDEX(Mapping!$C:$C,MATCH($A145,Mapping!$A:$A,0)),JLRrates!$B:$B,0))),0)</f>
        <v>0</v>
      </c>
    </row>
    <row r="146">
      <c r="A146" t="str">
        <v>compression-mould-std</v>
      </c>
      <c r="B146" t="str">
        <v>Compression Moulding Press 250T</v>
      </c>
      <c r="C146" t="str">
        <v>UK</v>
      </c>
      <c r="D146">
        <f>IF($O146&gt;0,$O146*3500*0.8,18000)</f>
        <v>18000</v>
      </c>
      <c r="E146">
        <f>IF($O146&gt;0,0,8000)</f>
        <v>8000</v>
      </c>
      <c r="F146">
        <f>IF($O146&gt;0,0,10000)</f>
        <v>10000</v>
      </c>
      <c r="G146">
        <f>IF($O146&gt;0,0,5000)</f>
        <v>5000</v>
      </c>
      <c r="H146">
        <f>IF($O146&gt;0,0,4000)</f>
        <v>4000</v>
      </c>
      <c r="I146">
        <f>IF($O146&gt;0,0,2250)</f>
        <v>2250</v>
      </c>
      <c r="J146">
        <v>3500</v>
      </c>
      <c r="K146">
        <v>0.8</v>
      </c>
      <c r="L146" t="str">
        <v>2026-06-14</v>
      </c>
      <c r="M146" t="str">
        <f>IF($O146&gt;0,"JLR flat rate "&amp;TEXT($O146,"0.00")&amp;" per hr — build-up not supplied","UK rubber moulding benchmark Jun 2026. 250T compression press — EPDM/NR/NBR gaskets, mounts.")</f>
        <v>UK rubber moulding benchmark Jun 2026. 250T compression press — EPDM/NR/NBR gaskets, mounts.</v>
      </c>
      <c r="N146" t="str">
        <v>Medium</v>
      </c>
      <c r="O146">
        <f>IFERROR(IF(OR(INDEX(Mapping!$C:$C,MATCH($A146,Mapping!$A:$A,0))="",INDEX(JLRrates!$C:$C,MATCH(INDEX(Mapping!$C:$C,MATCH($A146,Mapping!$A:$A,0)),JLRrates!$B:$B,0))=""),0,INDEX(JLRrates!$C:$C,MATCH(INDEX(Mapping!$C:$C,MATCH($A146,Mapping!$A:$A,0)),JLRrates!$B:$B,0))),0)</f>
        <v>0</v>
      </c>
    </row>
    <row r="147">
      <c r="A147" t="str">
        <v>transfer-mould-std</v>
      </c>
      <c r="B147" t="str">
        <v>Transfer Moulding Press 200T</v>
      </c>
      <c r="C147" t="str">
        <v>UK</v>
      </c>
      <c r="D147">
        <f>IF($O147&gt;0,$O147*3500*0.78,22000)</f>
        <v>22000</v>
      </c>
      <c r="E147">
        <f>IF($O147&gt;0,0,10000)</f>
        <v>10000</v>
      </c>
      <c r="F147">
        <f>IF($O147&gt;0,0,12000)</f>
        <v>12000</v>
      </c>
      <c r="G147">
        <f>IF($O147&gt;0,0,6000)</f>
        <v>6000</v>
      </c>
      <c r="H147">
        <f>IF($O147&gt;0,0,5000)</f>
        <v>5000</v>
      </c>
      <c r="I147">
        <f>IF($O147&gt;0,0,2750)</f>
        <v>2750</v>
      </c>
      <c r="J147">
        <v>3500</v>
      </c>
      <c r="K147">
        <v>0.78</v>
      </c>
      <c r="L147" t="str">
        <v>2026-06-14</v>
      </c>
      <c r="M147" t="str">
        <f>IF($O147&gt;0,"JLR flat rate "&amp;TEXT($O147,"0.00")&amp;" per hr — build-up not supplied","UK rubber moulding benchmark Jun 2026. 200T transfer press — bonded rubber-metal parts, complex geometry.")</f>
        <v>UK rubber moulding benchmark Jun 2026. 200T transfer press — bonded rubber-metal parts, complex geometry.</v>
      </c>
      <c r="N147" t="str">
        <v>Medium</v>
      </c>
      <c r="O147">
        <f>IFERROR(IF(OR(INDEX(Mapping!$C:$C,MATCH($A147,Mapping!$A:$A,0))="",INDEX(JLRrates!$C:$C,MATCH(INDEX(Mapping!$C:$C,MATCH($A147,Mapping!$A:$A,0)),JLRrates!$B:$B,0))=""),0,INDEX(JLRrates!$C:$C,MATCH(INDEX(Mapping!$C:$C,MATCH($A147,Mapping!$A:$A,0)),JLRrates!$B:$B,0))),0)</f>
        <v>0</v>
      </c>
    </row>
    <row r="148">
      <c r="A148" t="str">
        <v>lsr-injection-machine</v>
      </c>
      <c r="B148" t="str">
        <v>LSR Injection Moulding Machine</v>
      </c>
      <c r="C148" t="str">
        <v>UK</v>
      </c>
      <c r="D148">
        <f>IF($O148&gt;0,$O148*4000*0.8,35000)</f>
        <v>35000</v>
      </c>
      <c r="E148">
        <f>IF($O148&gt;0,0,14000)</f>
        <v>14000</v>
      </c>
      <c r="F148">
        <f>IF($O148&gt;0,0,20000)</f>
        <v>20000</v>
      </c>
      <c r="G148">
        <f>IF($O148&gt;0,0,7000)</f>
        <v>7000</v>
      </c>
      <c r="H148">
        <f>IF($O148&gt;0,0,7000)</f>
        <v>7000</v>
      </c>
      <c r="I148">
        <f>IF($O148&gt;0,0,4375)</f>
        <v>4375</v>
      </c>
      <c r="J148">
        <v>4000</v>
      </c>
      <c r="K148">
        <v>0.8</v>
      </c>
      <c r="L148" t="str">
        <v>2026-06-14</v>
      </c>
      <c r="M148" t="str">
        <f>IF($O148&gt;0,"JLR flat rate "&amp;TEXT($O148,"0.00")&amp;" per hr — build-up not supplied","UK silicone moulding benchmark Jun 2026. Liquid silicone rubber injection (Engel/Arburg/Sumitomo). Medical/auto seals.")</f>
        <v>UK silicone moulding benchmark Jun 2026. Liquid silicone rubber injection (Engel/Arburg/Sumitomo). Medical/auto seals.</v>
      </c>
      <c r="N148" t="str">
        <v>Medium</v>
      </c>
      <c r="O148">
        <f>IFERROR(IF(OR(INDEX(Mapping!$C:$C,MATCH($A148,Mapping!$A:$A,0))="",INDEX(JLRrates!$C:$C,MATCH(INDEX(Mapping!$C:$C,MATCH($A148,Mapping!$A:$A,0)),JLRrates!$B:$B,0))=""),0,INDEX(JLRrates!$C:$C,MATCH(INDEX(Mapping!$C:$C,MATCH($A148,Mapping!$A:$A,0)),JLRrates!$B:$B,0))),0)</f>
        <v>0</v>
      </c>
    </row>
    <row r="149">
      <c r="A149" t="str">
        <v>cure-oven-rubber</v>
      </c>
      <c r="B149" t="str">
        <v>Rubber Cure / Vulcanisation Oven</v>
      </c>
      <c r="C149" t="str">
        <v>UK</v>
      </c>
      <c r="D149">
        <f>IF($O149&gt;0,$O149*5000*0.82,10000)</f>
        <v>10000</v>
      </c>
      <c r="E149">
        <f>IF($O149&gt;0,0,4000)</f>
        <v>4000</v>
      </c>
      <c r="F149">
        <f>IF($O149&gt;0,0,25000)</f>
        <v>25000</v>
      </c>
      <c r="G149">
        <f>IF($O149&gt;0,0,6000)</f>
        <v>6000</v>
      </c>
      <c r="H149">
        <f>IF($O149&gt;0,0,3000)</f>
        <v>3000</v>
      </c>
      <c r="I149">
        <f>IF($O149&gt;0,0,1250)</f>
        <v>1250</v>
      </c>
      <c r="J149">
        <v>5000</v>
      </c>
      <c r="K149">
        <v>0.82</v>
      </c>
      <c r="L149" t="str">
        <v>2026-06-14</v>
      </c>
      <c r="M149" t="str">
        <f>IF($O149&gt;0,"JLR flat rate "&amp;TEXT($O149,"0.00")&amp;" per hr — build-up not supplied","UK rubber benchmark Jun 2026. Salt-bath or hot-air oven for EPDM/NBR extrusion vulcanisation.")</f>
        <v>UK rubber benchmark Jun 2026. Salt-bath or hot-air oven for EPDM/NBR extrusion vulcanisation.</v>
      </c>
      <c r="N149" t="str">
        <v>Medium</v>
      </c>
      <c r="O149">
        <f>IFERROR(IF(OR(INDEX(Mapping!$C:$C,MATCH($A149,Mapping!$A:$A,0))="",INDEX(JLRrates!$C:$C,MATCH(INDEX(Mapping!$C:$C,MATCH($A149,Mapping!$A:$A,0)),JLRrates!$B:$B,0))=""),0,INDEX(JLRrates!$C:$C,MATCH(INDEX(Mapping!$C:$C,MATCH($A149,Mapping!$A:$A,0)),JLRrates!$B:$B,0))),0)</f>
        <v>0</v>
      </c>
    </row>
    <row r="150">
      <c r="A150" t="str">
        <v>extruder-rubber-60mm</v>
      </c>
      <c r="B150" t="str">
        <v>Rubber Extruder 60mm (Cold-feed)</v>
      </c>
      <c r="C150" t="str">
        <v>UK</v>
      </c>
      <c r="D150">
        <f>IF($O150&gt;0,$O150*5000*0.8,15000)</f>
        <v>15000</v>
      </c>
      <c r="E150">
        <f>IF($O150&gt;0,0,6000)</f>
        <v>6000</v>
      </c>
      <c r="F150">
        <f>IF($O150&gt;0,0,18000)</f>
        <v>18000</v>
      </c>
      <c r="G150">
        <f>IF($O150&gt;0,0,4000)</f>
        <v>4000</v>
      </c>
      <c r="H150">
        <f>IF($O150&gt;0,0,3500)</f>
        <v>3500</v>
      </c>
      <c r="I150">
        <f>IF($O150&gt;0,0,1875)</f>
        <v>1875</v>
      </c>
      <c r="J150">
        <v>5000</v>
      </c>
      <c r="K150">
        <v>0.8</v>
      </c>
      <c r="L150" t="str">
        <v>2026-06-14</v>
      </c>
      <c r="M150" t="str">
        <f>IF($O150&gt;0,"JLR flat rate "&amp;TEXT($O150,"0.00")&amp;" per hr — build-up not supplied","UK rubber benchmark Jun 2026. 60mm cold-feed rubber extruder — EPDM seals, hose profiles.")</f>
        <v>UK rubber benchmark Jun 2026. 60mm cold-feed rubber extruder — EPDM seals, hose profiles.</v>
      </c>
      <c r="N150" t="str">
        <v>Medium</v>
      </c>
      <c r="O150">
        <f>IFERROR(IF(OR(INDEX(Mapping!$C:$C,MATCH($A150,Mapping!$A:$A,0))="",INDEX(JLRrates!$C:$C,MATCH(INDEX(Mapping!$C:$C,MATCH($A150,Mapping!$A:$A,0)),JLRrates!$B:$B,0))=""),0,INDEX(JLRrates!$C:$C,MATCH(INDEX(Mapping!$C:$C,MATCH($A150,Mapping!$A:$A,0)),JLRrates!$B:$B,0))),0)</f>
        <v>0</v>
      </c>
    </row>
    <row r="151">
      <c r="A151" t="str">
        <v>die-cut-press-rubber</v>
      </c>
      <c r="B151" t="str">
        <v>Hydraulic Die-Cutting Press 20T</v>
      </c>
      <c r="C151" t="str">
        <v>UK</v>
      </c>
      <c r="D151">
        <f>IF($O151&gt;0,$O151*4000*0.85,8000)</f>
        <v>8000</v>
      </c>
      <c r="E151">
        <f>IF($O151&gt;0,0,3500)</f>
        <v>3500</v>
      </c>
      <c r="F151">
        <f>IF($O151&gt;0,0,5000)</f>
        <v>5000</v>
      </c>
      <c r="G151">
        <f>IF($O151&gt;0,0,3000)</f>
        <v>3000</v>
      </c>
      <c r="H151">
        <f>IF($O151&gt;0,0,2000)</f>
        <v>2000</v>
      </c>
      <c r="I151">
        <f>IF($O151&gt;0,0,1000)</f>
        <v>1000</v>
      </c>
      <c r="J151">
        <v>4000</v>
      </c>
      <c r="K151">
        <v>0.85</v>
      </c>
      <c r="L151" t="str">
        <v>2026-06-14</v>
      </c>
      <c r="M151" t="str">
        <f>IF($O151&gt;0,"JLR flat rate "&amp;TEXT($O151,"0.00")&amp;" per hr — build-up not supplied","UK rubber benchmark Jun 2026. 20T hydraulic die-cutting press — flat gaskets, seals, strips. Blanks pre-vulcanised EPDM/SBR/NBR/CR sheet at high throughput.")</f>
        <v>UK rubber benchmark Jun 2026. 20T hydraulic die-cutting press — flat gaskets, seals, strips. Blanks pre-vulcanised EPDM/SBR/NBR/CR sheet at high throughput.</v>
      </c>
      <c r="N151" t="str">
        <v>Medium</v>
      </c>
      <c r="O151">
        <f>IFERROR(IF(OR(INDEX(Mapping!$C:$C,MATCH($A151,Mapping!$A:$A,0))="",INDEX(JLRrates!$C:$C,MATCH(INDEX(Mapping!$C:$C,MATCH($A151,Mapping!$A:$A,0)),JLRrates!$B:$B,0))=""),0,INDEX(JLRrates!$C:$C,MATCH(INDEX(Mapping!$C:$C,MATCH($A151,Mapping!$A:$A,0)),JLRrates!$B:$B,0))),0)</f>
        <v>0</v>
      </c>
    </row>
    <row r="152">
      <c r="A152" t="str">
        <v>autoclave-1200mm</v>
      </c>
      <c r="B152" t="str">
        <v>Production Autoclave 1200mm dia</v>
      </c>
      <c r="C152" t="str">
        <v>UK</v>
      </c>
      <c r="D152">
        <f>IF($O152&gt;0,$O152*4000*0.7,60000)</f>
        <v>60000</v>
      </c>
      <c r="E152">
        <f>IF($O152&gt;0,0,25000)</f>
        <v>25000</v>
      </c>
      <c r="F152">
        <f>IF($O152&gt;0,0,50000)</f>
        <v>50000</v>
      </c>
      <c r="G152">
        <f>IF($O152&gt;0,0,20000)</f>
        <v>20000</v>
      </c>
      <c r="H152">
        <f>IF($O152&gt;0,0,15000)</f>
        <v>15000</v>
      </c>
      <c r="I152">
        <f>IF($O152&gt;0,0,7500)</f>
        <v>7500</v>
      </c>
      <c r="J152">
        <v>4000</v>
      </c>
      <c r="K152">
        <v>0.7</v>
      </c>
      <c r="L152" t="str">
        <v>2026-06-14</v>
      </c>
      <c r="M152" t="str">
        <f>IF($O152&gt;0,"JLR flat rate "&amp;TEXT($O152,"0.00")&amp;" per hr — build-up not supplied","UK composites benchmark Jun 2026. 1200mm × 3000mm production autoclave. CFRP aerospace/auto structures.")</f>
        <v>UK composites benchmark Jun 2026. 1200mm × 3000mm production autoclave. CFRP aerospace/auto structures.</v>
      </c>
      <c r="N152" t="str">
        <v>Medium</v>
      </c>
      <c r="O152">
        <f>IFERROR(IF(OR(INDEX(Mapping!$C:$C,MATCH($A152,Mapping!$A:$A,0))="",INDEX(JLRrates!$C:$C,MATCH(INDEX(Mapping!$C:$C,MATCH($A152,Mapping!$A:$A,0)),JLRrates!$B:$B,0))=""),0,INDEX(JLRrates!$C:$C,MATCH(INDEX(Mapping!$C:$C,MATCH($A152,Mapping!$A:$A,0)),JLRrates!$B:$B,0))),0)</f>
        <v>0</v>
      </c>
    </row>
    <row r="153">
      <c r="A153" t="str">
        <v>oven-composite-cure</v>
      </c>
      <c r="B153" t="str">
        <v>Composite Cure Oven (Fan-Assisted)</v>
      </c>
      <c r="C153" t="str">
        <v>UK</v>
      </c>
      <c r="D153">
        <f>IF($O153&gt;0,$O153*5000*0.75,18000)</f>
        <v>18000</v>
      </c>
      <c r="E153">
        <f>IF($O153&gt;0,0,6000)</f>
        <v>6000</v>
      </c>
      <c r="F153">
        <f>IF($O153&gt;0,0,30000)</f>
        <v>30000</v>
      </c>
      <c r="G153">
        <f>IF($O153&gt;0,0,12000)</f>
        <v>12000</v>
      </c>
      <c r="H153">
        <f>IF($O153&gt;0,0,5000)</f>
        <v>5000</v>
      </c>
      <c r="I153">
        <f>IF($O153&gt;0,0,2250)</f>
        <v>2250</v>
      </c>
      <c r="J153">
        <v>5000</v>
      </c>
      <c r="K153">
        <v>0.75</v>
      </c>
      <c r="L153" t="str">
        <v>2026-06-14</v>
      </c>
      <c r="M153" t="str">
        <f>IF($O153&gt;0,"JLR flat rate "&amp;TEXT($O153,"0.00")&amp;" per hr — build-up not supplied","UK composites benchmark Jun 2026. Fan-assisted oven cure — prepreg (no autoclave pressure), wet layup post-cure.")</f>
        <v>UK composites benchmark Jun 2026. Fan-assisted oven cure — prepreg (no autoclave pressure), wet layup post-cure.</v>
      </c>
      <c r="N153" t="str">
        <v>Medium</v>
      </c>
      <c r="O153">
        <f>IFERROR(IF(OR(INDEX(Mapping!$C:$C,MATCH($A153,Mapping!$A:$A,0))="",INDEX(JLRrates!$C:$C,MATCH(INDEX(Mapping!$C:$C,MATCH($A153,Mapping!$A:$A,0)),JLRrates!$B:$B,0))=""),0,INDEX(JLRrates!$C:$C,MATCH(INDEX(Mapping!$C:$C,MATCH($A153,Mapping!$A:$A,0)),JLRrates!$B:$B,0))),0)</f>
        <v>0</v>
      </c>
    </row>
    <row r="154">
      <c r="A154" t="str">
        <v>rtm-press-std</v>
      </c>
      <c r="B154" t="str">
        <v>RTM / VARTM Injection Press</v>
      </c>
      <c r="C154" t="str">
        <v>UK</v>
      </c>
      <c r="D154">
        <f>IF($O154&gt;0,$O154*3500*0.78,22000)</f>
        <v>22000</v>
      </c>
      <c r="E154">
        <f>IF($O154&gt;0,0,9000)</f>
        <v>9000</v>
      </c>
      <c r="F154">
        <f>IF($O154&gt;0,0,12000)</f>
        <v>12000</v>
      </c>
      <c r="G154">
        <f>IF($O154&gt;0,0,8000)</f>
        <v>8000</v>
      </c>
      <c r="H154">
        <f>IF($O154&gt;0,0,6000)</f>
        <v>6000</v>
      </c>
      <c r="I154">
        <f>IF($O154&gt;0,0,2750)</f>
        <v>2750</v>
      </c>
      <c r="J154">
        <v>3500</v>
      </c>
      <c r="K154">
        <v>0.78</v>
      </c>
      <c r="L154" t="str">
        <v>2026-06-14</v>
      </c>
      <c r="M154" t="str">
        <f>IF($O154&gt;0,"JLR flat rate "&amp;TEXT($O154,"0.00")&amp;" per hr — build-up not supplied","UK composites benchmark Jun 2026. Resin Transfer Moulding injection press. Structural automotive CFRP/GFRP.")</f>
        <v>UK composites benchmark Jun 2026. Resin Transfer Moulding injection press. Structural automotive CFRP/GFRP.</v>
      </c>
      <c r="N154" t="str">
        <v>Medium</v>
      </c>
      <c r="O154">
        <f>IFERROR(IF(OR(INDEX(Mapping!$C:$C,MATCH($A154,Mapping!$A:$A,0))="",INDEX(JLRrates!$C:$C,MATCH(INDEX(Mapping!$C:$C,MATCH($A154,Mapping!$A:$A,0)),JLRrates!$B:$B,0))=""),0,INDEX(JLRrates!$C:$C,MATCH(INDEX(Mapping!$C:$C,MATCH($A154,Mapping!$A:$A,0)),JLRrates!$B:$B,0))),0)</f>
        <v>0</v>
      </c>
    </row>
    <row r="155">
      <c r="A155" t="str">
        <v>waterjet-5ax-composite</v>
      </c>
      <c r="B155" t="str">
        <v>5-Axis Waterjet Trim System</v>
      </c>
      <c r="C155" t="str">
        <v>UK</v>
      </c>
      <c r="D155">
        <f>IF($O155&gt;0,$O155*4000*0.75,35000)</f>
        <v>35000</v>
      </c>
      <c r="E155">
        <f>IF($O155&gt;0,0,14000)</f>
        <v>14000</v>
      </c>
      <c r="F155">
        <f>IF($O155&gt;0,0,20000)</f>
        <v>20000</v>
      </c>
      <c r="G155">
        <f>IF($O155&gt;0,0,12000)</f>
        <v>12000</v>
      </c>
      <c r="H155">
        <f>IF($O155&gt;0,0,10000)</f>
        <v>10000</v>
      </c>
      <c r="I155">
        <f>IF($O155&gt;0,0,4375)</f>
        <v>4375</v>
      </c>
      <c r="J155">
        <v>4000</v>
      </c>
      <c r="K155">
        <v>0.75</v>
      </c>
      <c r="L155" t="str">
        <v>2026-06-14</v>
      </c>
      <c r="M155" t="str">
        <f>IF($O155&gt;0,"JLR flat rate "&amp;TEXT($O155,"0.00")&amp;" per hr — build-up not supplied","UK composites benchmark Jun 2026. 5-axis waterjet trim/drill for CFRP panels. 380 MPa, 0.4mm orifice.")</f>
        <v>UK composites benchmark Jun 2026. 5-axis waterjet trim/drill for CFRP panels. 380 MPa, 0.4mm orifice.</v>
      </c>
      <c r="N155" t="str">
        <v>Medium</v>
      </c>
      <c r="O155">
        <f>IFERROR(IF(OR(INDEX(Mapping!$C:$C,MATCH($A155,Mapping!$A:$A,0))="",INDEX(JLRrates!$C:$C,MATCH(INDEX(Mapping!$C:$C,MATCH($A155,Mapping!$A:$A,0)),JLRrates!$B:$B,0))=""),0,INDEX(JLRrates!$C:$C,MATCH(INDEX(Mapping!$C:$C,MATCH($A155,Mapping!$A:$A,0)),JLRrates!$B:$B,0))),0)</f>
        <v>0</v>
      </c>
    </row>
    <row r="156">
      <c r="A156" t="str">
        <v>mach-afp-atl</v>
      </c>
      <c r="B156" t="str">
        <v>AFP/ATL Composite Cell</v>
      </c>
      <c r="C156" t="str">
        <v>UK</v>
      </c>
      <c r="D156">
        <f>IF($O156&gt;0,$O156*4000*0.7,420000)</f>
        <v>420000</v>
      </c>
      <c r="E156">
        <f>IF($O156&gt;0,0,160000)</f>
        <v>160000</v>
      </c>
      <c r="F156">
        <f>IF($O156&gt;0,0,80000)</f>
        <v>80000</v>
      </c>
      <c r="G156">
        <f>IF($O156&gt;0,0,40000)</f>
        <v>40000</v>
      </c>
      <c r="H156">
        <f>IF($O156&gt;0,0,60000)</f>
        <v>60000</v>
      </c>
      <c r="I156">
        <f>IF($O156&gt;0,0,24000)</f>
        <v>24000</v>
      </c>
      <c r="J156">
        <v>4000</v>
      </c>
      <c r="K156">
        <v>0.7</v>
      </c>
      <c r="L156" t="str">
        <v>2026-06-14</v>
      </c>
      <c r="M156" t="str">
        <f>IF($O156&gt;0,"JLR flat rate "&amp;TEXT($O156,"0.00")&amp;" per hr — build-up not supplied","Automated Fibre/Tape Placement cell. Rate includes robot, gantry, head, NC software, maintenance. Setup: 4.0 hr. UK composites benchmark Jun 2026.")</f>
        <v>Automated Fibre/Tape Placement cell. Rate includes robot, gantry, head, NC software, maintenance. Setup: 4.0 hr. UK composites benchmark Jun 2026.</v>
      </c>
      <c r="N156" t="str">
        <v>Medium</v>
      </c>
      <c r="O156">
        <f>IFERROR(IF(OR(INDEX(Mapping!$C:$C,MATCH($A156,Mapping!$A:$A,0))="",INDEX(JLRrates!$C:$C,MATCH(INDEX(Mapping!$C:$C,MATCH($A156,Mapping!$A:$A,0)),JLRrates!$B:$B,0))=""),0,INDEX(JLRrates!$C:$C,MATCH(INDEX(Mapping!$C:$C,MATCH($A156,Mapping!$A:$A,0)),JLRrates!$B:$B,0))),0)</f>
        <v>0</v>
      </c>
    </row>
    <row r="157">
      <c r="A157" t="str">
        <v>harness-test-sys</v>
      </c>
      <c r="B157" t="str">
        <v>Electrical Harness Test System (Continuity + HiPot)</v>
      </c>
      <c r="C157" t="str">
        <v>UK</v>
      </c>
      <c r="D157">
        <f>IF($O157&gt;0,$O157*4000*0.8,18000)</f>
        <v>18000</v>
      </c>
      <c r="E157">
        <f>IF($O157&gt;0,0,5000)</f>
        <v>5000</v>
      </c>
      <c r="F157">
        <f>IF($O157&gt;0,0,3000)</f>
        <v>3000</v>
      </c>
      <c r="G157">
        <f>IF($O157&gt;0,0,4000)</f>
        <v>4000</v>
      </c>
      <c r="H157">
        <f>IF($O157&gt;0,0,5000)</f>
        <v>5000</v>
      </c>
      <c r="I157">
        <f>IF($O157&gt;0,0,2250)</f>
        <v>2250</v>
      </c>
      <c r="J157">
        <v>4000</v>
      </c>
      <c r="K157">
        <v>0.8</v>
      </c>
      <c r="L157" t="str">
        <v>2026-06-14</v>
      </c>
      <c r="M157" t="str">
        <f>IF($O157&gt;0,"JLR flat rate "&amp;TEXT($O157,"0.00")&amp;" per hr — build-up not supplied","UK harness benchmark Jun 2026. Automated electrical test: continuity, insulation resistance, HiPot. IATF-compliant.")</f>
        <v>UK harness benchmark Jun 2026. Automated electrical test: continuity, insulation resistance, HiPot. IATF-compliant.</v>
      </c>
      <c r="N157" t="str">
        <v>Medium</v>
      </c>
      <c r="O157">
        <f>IFERROR(IF(OR(INDEX(Mapping!$C:$C,MATCH($A157,Mapping!$A:$A,0))="",INDEX(JLRrates!$C:$C,MATCH(INDEX(Mapping!$C:$C,MATCH($A157,Mapping!$A:$A,0)),JLRrates!$B:$B,0))=""),0,INDEX(JLRrates!$C:$C,MATCH(INDEX(Mapping!$C:$C,MATCH($A157,Mapping!$A:$A,0)),JLRrates!$B:$B,0))),0)</f>
        <v>0</v>
      </c>
    </row>
    <row r="158">
      <c r="A158" t="str">
        <v>mach-vmc3-cn</v>
      </c>
      <c r="B158" t="str">
        <v>VMC 3-axis CNC (China)</v>
      </c>
      <c r="C158" t="str">
        <v>CN</v>
      </c>
      <c r="D158">
        <f>IF($O158&gt;0,$O158*4000*0.85,22000)</f>
        <v>22000</v>
      </c>
      <c r="E158">
        <f>IF($O158&gt;0,0,2400)</f>
        <v>2400</v>
      </c>
      <c r="F158">
        <f>IF($O158&gt;0,0,1300)</f>
        <v>1300</v>
      </c>
      <c r="G158">
        <f>IF($O158&gt;0,0,525)</f>
        <v>525</v>
      </c>
      <c r="H158">
        <f>IF($O158&gt;0,0,2250)</f>
        <v>2250</v>
      </c>
      <c r="I158">
        <f>IF($O158&gt;0,0,5850)</f>
        <v>5850</v>
      </c>
      <c r="J158">
        <v>4000</v>
      </c>
      <c r="K158">
        <v>0.85</v>
      </c>
      <c r="L158" t="str">
        <v>2026-06-14</v>
      </c>
      <c r="M158" t="str">
        <f>IF($O158&gt;0,"JLR flat rate "&amp;TEXT($O158,"0.00")&amp;" per hr — build-up not supplied","China CNC machining benchmark. 3-axis VMC, Jiangsu/Guangdong region. Jun 2026")</f>
        <v>China CNC machining benchmark. 3-axis VMC, Jiangsu/Guangdong region. Jun 2026</v>
      </c>
      <c r="N158" t="str">
        <v>Medium</v>
      </c>
      <c r="O158">
        <f>IFERROR(IF(OR(INDEX(Mapping!$C:$C,MATCH($A158,Mapping!$A:$A,0))="",INDEX(JLRrates!$C:$C,MATCH(INDEX(Mapping!$C:$C,MATCH($A158,Mapping!$A:$A,0)),JLRrates!$B:$B,0))=""),0,INDEX(JLRrates!$C:$C,MATCH(INDEX(Mapping!$C:$C,MATCH($A158,Mapping!$A:$A,0)),JLRrates!$B:$B,0))),0)</f>
        <v>0</v>
      </c>
    </row>
    <row r="159">
      <c r="A159" t="str">
        <v>mach-vmc3-in</v>
      </c>
      <c r="B159" t="str">
        <v>VMC 3-axis CNC (India)</v>
      </c>
      <c r="C159" t="str">
        <v>IN</v>
      </c>
      <c r="D159">
        <f>IF($O159&gt;0,$O159*4000*0.85,22000)</f>
        <v>22000</v>
      </c>
      <c r="E159">
        <f>IF($O159&gt;0,0,2000)</f>
        <v>2000</v>
      </c>
      <c r="F159">
        <f>IF($O159&gt;0,0,1750)</f>
        <v>1750</v>
      </c>
      <c r="G159">
        <f>IF($O159&gt;0,0,350)</f>
        <v>350</v>
      </c>
      <c r="H159">
        <f>IF($O159&gt;0,0,1500)</f>
        <v>1500</v>
      </c>
      <c r="I159">
        <f>IF($O159&gt;0,0,5850)</f>
        <v>5850</v>
      </c>
      <c r="J159">
        <v>4000</v>
      </c>
      <c r="K159">
        <v>0.85</v>
      </c>
      <c r="L159" t="str">
        <v>2026-06-14</v>
      </c>
      <c r="M159" t="str">
        <f>IF($O159&gt;0,"JLR flat rate "&amp;TEXT($O159,"0.00")&amp;" per hr — build-up not supplied","India CNC machining benchmark. Pune/Chennai corridor. Jun 2026")</f>
        <v>India CNC machining benchmark. Pune/Chennai corridor. Jun 2026</v>
      </c>
      <c r="N159" t="str">
        <v>Medium</v>
      </c>
      <c r="O159">
        <f>IFERROR(IF(OR(INDEX(Mapping!$C:$C,MATCH($A159,Mapping!$A:$A,0))="",INDEX(JLRrates!$C:$C,MATCH(INDEX(Mapping!$C:$C,MATCH($A159,Mapping!$A:$A,0)),JLRrates!$B:$B,0))=""),0,INDEX(JLRrates!$C:$C,MATCH(INDEX(Mapping!$C:$C,MATCH($A159,Mapping!$A:$A,0)),JLRrates!$B:$B,0))),0)</f>
        <v>0</v>
      </c>
    </row>
    <row r="160">
      <c r="A160" t="str">
        <v>mach-vmc3-de</v>
      </c>
      <c r="B160" t="str">
        <v>VMC 3-axis CNC (Germany)</v>
      </c>
      <c r="C160" t="str">
        <v>DE</v>
      </c>
      <c r="D160">
        <f>IF($O160&gt;0,$O160*4000*0.87,22000)</f>
        <v>22000</v>
      </c>
      <c r="E160">
        <f>IF($O160&gt;0,0,11200)</f>
        <v>11200</v>
      </c>
      <c r="F160">
        <f>IF($O160&gt;0,0,4350)</f>
        <v>4350</v>
      </c>
      <c r="G160">
        <f>IF($O160&gt;0,0,2800)</f>
        <v>2800</v>
      </c>
      <c r="H160">
        <f>IF($O160&gt;0,0,10500)</f>
        <v>10500</v>
      </c>
      <c r="I160">
        <f>IF($O160&gt;0,0,5850)</f>
        <v>5850</v>
      </c>
      <c r="J160">
        <v>4000</v>
      </c>
      <c r="K160">
        <v>0.87</v>
      </c>
      <c r="L160" t="str">
        <v>2026-06-14</v>
      </c>
      <c r="M160" t="str">
        <f>IF($O160&gt;0,"JLR flat rate "&amp;TEXT($O160,"0.00")&amp;" per hr — build-up not supplied","Germany precision machining benchmark. Baden-Württemberg. Jun 2026")</f>
        <v>Germany precision machining benchmark. Baden-Württemberg. Jun 2026</v>
      </c>
      <c r="N160" t="str">
        <v>Medium</v>
      </c>
      <c r="O160">
        <f>IFERROR(IF(OR(INDEX(Mapping!$C:$C,MATCH($A160,Mapping!$A:$A,0))="",INDEX(JLRrates!$C:$C,MATCH(INDEX(Mapping!$C:$C,MATCH($A160,Mapping!$A:$A,0)),JLRrates!$B:$B,0))=""),0,INDEX(JLRrates!$C:$C,MATCH(INDEX(Mapping!$C:$C,MATCH($A160,Mapping!$A:$A,0)),JLRrates!$B:$B,0))),0)</f>
        <v>0</v>
      </c>
    </row>
    <row r="161">
      <c r="A161" t="str">
        <v>mach-vmc3-pl</v>
      </c>
      <c r="B161" t="str">
        <v>VMC 3-axis CNC (Poland)</v>
      </c>
      <c r="C161" t="str">
        <v>PL</v>
      </c>
      <c r="D161">
        <f>IF($O161&gt;0,$O161*4000*0.85,22000)</f>
        <v>22000</v>
      </c>
      <c r="E161">
        <f>IF($O161&gt;0,0,3600)</f>
        <v>3600</v>
      </c>
      <c r="F161">
        <f>IF($O161&gt;0,0,2600)</f>
        <v>2600</v>
      </c>
      <c r="G161">
        <f>IF($O161&gt;0,0,1225)</f>
        <v>1225</v>
      </c>
      <c r="H161">
        <f>IF($O161&gt;0,0,3375)</f>
        <v>3375</v>
      </c>
      <c r="I161">
        <f>IF($O161&gt;0,0,5850)</f>
        <v>5850</v>
      </c>
      <c r="J161">
        <v>4000</v>
      </c>
      <c r="K161">
        <v>0.85</v>
      </c>
      <c r="L161" t="str">
        <v>2026-06-14</v>
      </c>
      <c r="M161" t="str">
        <f>IF($O161&gt;0,"JLR flat rate "&amp;TEXT($O161,"0.00")&amp;" per hr — build-up not supplied","Poland CNC machining benchmark. Silesia/Lower Silesia. Jun 2026")</f>
        <v>Poland CNC machining benchmark. Silesia/Lower Silesia. Jun 2026</v>
      </c>
      <c r="N161" t="str">
        <v>Medium</v>
      </c>
      <c r="O161">
        <f>IFERROR(IF(OR(INDEX(Mapping!$C:$C,MATCH($A161,Mapping!$A:$A,0))="",INDEX(JLRrates!$C:$C,MATCH(INDEX(Mapping!$C:$C,MATCH($A161,Mapping!$A:$A,0)),JLRrates!$B:$B,0))=""),0,INDEX(JLRrates!$C:$C,MATCH(INDEX(Mapping!$C:$C,MATCH($A161,Mapping!$A:$A,0)),JLRrates!$B:$B,0))),0)</f>
        <v>0</v>
      </c>
    </row>
    <row r="162">
      <c r="A162" t="str">
        <v>mach-vmc3-mx</v>
      </c>
      <c r="B162" t="str">
        <v>VMC 3-axis CNC (Mexico)</v>
      </c>
      <c r="C162" t="str">
        <v>MX</v>
      </c>
      <c r="D162">
        <f>IF($O162&gt;0,$O162*4000*0.85,22000)</f>
        <v>22000</v>
      </c>
      <c r="E162">
        <f>IF($O162&gt;0,0,2400)</f>
        <v>2400</v>
      </c>
      <c r="F162">
        <f>IF($O162&gt;0,0,1950)</f>
        <v>1950</v>
      </c>
      <c r="G162">
        <f>IF($O162&gt;0,0,700)</f>
        <v>700</v>
      </c>
      <c r="H162">
        <f>IF($O162&gt;0,0,2250)</f>
        <v>2250</v>
      </c>
      <c r="I162">
        <f>IF($O162&gt;0,0,5850)</f>
        <v>5850</v>
      </c>
      <c r="J162">
        <v>4000</v>
      </c>
      <c r="K162">
        <v>0.85</v>
      </c>
      <c r="L162" t="str">
        <v>2026-06-14</v>
      </c>
      <c r="M162" t="str">
        <f>IF($O162&gt;0,"JLR flat rate "&amp;TEXT($O162,"0.00")&amp;" per hr — build-up not supplied","Mexico CNC machining benchmark. Monterrey/Guanajuato. Jun 2026")</f>
        <v>Mexico CNC machining benchmark. Monterrey/Guanajuato. Jun 2026</v>
      </c>
      <c r="N162" t="str">
        <v>Medium</v>
      </c>
      <c r="O162">
        <f>IFERROR(IF(OR(INDEX(Mapping!$C:$C,MATCH($A162,Mapping!$A:$A,0))="",INDEX(JLRrates!$C:$C,MATCH(INDEX(Mapping!$C:$C,MATCH($A162,Mapping!$A:$A,0)),JLRrates!$B:$B,0))=""),0,INDEX(JLRrates!$C:$C,MATCH(INDEX(Mapping!$C:$C,MATCH($A162,Mapping!$A:$A,0)),JLRrates!$B:$B,0))),0)</f>
        <v>0</v>
      </c>
    </row>
    <row r="163">
      <c r="A163" t="str">
        <v>imm-200t-cn</v>
      </c>
      <c r="B163" t="str">
        <v>Injection Moulding 200T (China)</v>
      </c>
      <c r="C163" t="str">
        <v>CN</v>
      </c>
      <c r="D163">
        <f>IF($O163&gt;0,$O163*5000*0.85,28000)</f>
        <v>28000</v>
      </c>
      <c r="E163">
        <f>IF($O163&gt;0,0,3000)</f>
        <v>3000</v>
      </c>
      <c r="F163">
        <f>IF($O163&gt;0,0,4200)</f>
        <v>4200</v>
      </c>
      <c r="G163">
        <f>IF($O163&gt;0,0,1200)</f>
        <v>1200</v>
      </c>
      <c r="H163">
        <f>IF($O163&gt;0,0,3000)</f>
        <v>3000</v>
      </c>
      <c r="I163">
        <f>IF($O163&gt;0,0,7000)</f>
        <v>7000</v>
      </c>
      <c r="J163">
        <v>5000</v>
      </c>
      <c r="K163">
        <v>0.85</v>
      </c>
      <c r="L163" t="str">
        <v>2026-06-14</v>
      </c>
      <c r="M163" t="str">
        <f>IF($O163&gt;0,"JLR flat rate "&amp;TEXT($O163,"0.00")&amp;" per hr — build-up not supplied","China injection moulding benchmark. Taizhou/Guangdong plastics belt. Jun 2026")</f>
        <v>China injection moulding benchmark. Taizhou/Guangdong plastics belt. Jun 2026</v>
      </c>
      <c r="N163" t="str">
        <v>Medium</v>
      </c>
      <c r="O163">
        <f>IFERROR(IF(OR(INDEX(Mapping!$C:$C,MATCH($A163,Mapping!$A:$A,0))="",INDEX(JLRrates!$C:$C,MATCH(INDEX(Mapping!$C:$C,MATCH($A163,Mapping!$A:$A,0)),JLRrates!$B:$B,0))=""),0,INDEX(JLRrates!$C:$C,MATCH(INDEX(Mapping!$C:$C,MATCH($A163,Mapping!$A:$A,0)),JLRrates!$B:$B,0))),0)</f>
        <v>0</v>
      </c>
    </row>
    <row r="164">
      <c r="A164" t="str">
        <v>imm-200t-in</v>
      </c>
      <c r="B164" t="str">
        <v>Injection Moulding 200T (India)</v>
      </c>
      <c r="C164" t="str">
        <v>IN</v>
      </c>
      <c r="D164">
        <f>IF($O164&gt;0,$O164*5000*0.83,28000)</f>
        <v>28000</v>
      </c>
      <c r="E164">
        <f>IF($O164&gt;0,0,2500)</f>
        <v>2500</v>
      </c>
      <c r="F164">
        <f>IF($O164&gt;0,0,5600)</f>
        <v>5600</v>
      </c>
      <c r="G164">
        <f>IF($O164&gt;0,0,800)</f>
        <v>800</v>
      </c>
      <c r="H164">
        <f>IF($O164&gt;0,0,2200)</f>
        <v>2200</v>
      </c>
      <c r="I164">
        <f>IF($O164&gt;0,0,7000)</f>
        <v>7000</v>
      </c>
      <c r="J164">
        <v>5000</v>
      </c>
      <c r="K164">
        <v>0.83</v>
      </c>
      <c r="L164" t="str">
        <v>2026-06-14</v>
      </c>
      <c r="M164" t="str">
        <f>IF($O164&gt;0,"JLR flat rate "&amp;TEXT($O164,"0.00")&amp;" per hr — build-up not supplied","India injection moulding benchmark. Pune/Rajkot plastics cluster. Jun 2026")</f>
        <v>India injection moulding benchmark. Pune/Rajkot plastics cluster. Jun 2026</v>
      </c>
      <c r="N164" t="str">
        <v>Medium</v>
      </c>
      <c r="O164">
        <f>IFERROR(IF(OR(INDEX(Mapping!$C:$C,MATCH($A164,Mapping!$A:$A,0))="",INDEX(JLRrates!$C:$C,MATCH(INDEX(Mapping!$C:$C,MATCH($A164,Mapping!$A:$A,0)),JLRrates!$B:$B,0))=""),0,INDEX(JLRrates!$C:$C,MATCH(INDEX(Mapping!$C:$C,MATCH($A164,Mapping!$A:$A,0)),JLRrates!$B:$B,0))),0)</f>
        <v>0</v>
      </c>
    </row>
    <row r="165">
      <c r="A165" t="str">
        <v>imm-200t-de</v>
      </c>
      <c r="B165" t="str">
        <v>Injection Moulding 200T (Germany)</v>
      </c>
      <c r="C165" t="str">
        <v>DE</v>
      </c>
      <c r="D165">
        <f>IF($O165&gt;0,$O165*5000*0.87,28000)</f>
        <v>28000</v>
      </c>
      <c r="E165">
        <f>IF($O165&gt;0,0,14000)</f>
        <v>14000</v>
      </c>
      <c r="F165">
        <f>IF($O165&gt;0,0,13920)</f>
        <v>13920</v>
      </c>
      <c r="G165">
        <f>IF($O165&gt;0,0,6400)</f>
        <v>6400</v>
      </c>
      <c r="H165">
        <f>IF($O165&gt;0,0,22400)</f>
        <v>22400</v>
      </c>
      <c r="I165">
        <f>IF($O165&gt;0,0,7000)</f>
        <v>7000</v>
      </c>
      <c r="J165">
        <v>5000</v>
      </c>
      <c r="K165">
        <v>0.87</v>
      </c>
      <c r="L165" t="str">
        <v>2026-06-14</v>
      </c>
      <c r="M165" t="str">
        <f>IF($O165&gt;0,"JLR flat rate "&amp;TEXT($O165,"0.00")&amp;" per hr — build-up not supplied","Germany injection moulding benchmark. Jun 2026")</f>
        <v>Germany injection moulding benchmark. Jun 2026</v>
      </c>
      <c r="N165" t="str">
        <v>Medium</v>
      </c>
      <c r="O165">
        <f>IFERROR(IF(OR(INDEX(Mapping!$C:$C,MATCH($A165,Mapping!$A:$A,0))="",INDEX(JLRrates!$C:$C,MATCH(INDEX(Mapping!$C:$C,MATCH($A165,Mapping!$A:$A,0)),JLRrates!$B:$B,0))=""),0,INDEX(JLRrates!$C:$C,MATCH(INDEX(Mapping!$C:$C,MATCH($A165,Mapping!$A:$A,0)),JLRrates!$B:$B,0))),0)</f>
        <v>0</v>
      </c>
    </row>
    <row r="166">
      <c r="A166" t="str">
        <v>imm-200t-pl</v>
      </c>
      <c r="B166" t="str">
        <v>Injection Moulding 200T (Poland)</v>
      </c>
      <c r="C166" t="str">
        <v>PL</v>
      </c>
      <c r="D166">
        <f>IF($O166&gt;0,$O166*5000*0.85,28000)</f>
        <v>28000</v>
      </c>
      <c r="E166">
        <f>IF($O166&gt;0,0,4500)</f>
        <v>4500</v>
      </c>
      <c r="F166">
        <f>IF($O166&gt;0,0,8320)</f>
        <v>8320</v>
      </c>
      <c r="G166">
        <f>IF($O166&gt;0,0,2800)</f>
        <v>2800</v>
      </c>
      <c r="H166">
        <f>IF($O166&gt;0,0,7200)</f>
        <v>7200</v>
      </c>
      <c r="I166">
        <f>IF($O166&gt;0,0,7000)</f>
        <v>7000</v>
      </c>
      <c r="J166">
        <v>5000</v>
      </c>
      <c r="K166">
        <v>0.85</v>
      </c>
      <c r="L166" t="str">
        <v>2026-06-14</v>
      </c>
      <c r="M166" t="str">
        <f>IF($O166&gt;0,"JLR flat rate "&amp;TEXT($O166,"0.00")&amp;" per hr — build-up not supplied","Poland injection moulding benchmark. Jun 2026")</f>
        <v>Poland injection moulding benchmark. Jun 2026</v>
      </c>
      <c r="N166" t="str">
        <v>Medium</v>
      </c>
      <c r="O166">
        <f>IFERROR(IF(OR(INDEX(Mapping!$C:$C,MATCH($A166,Mapping!$A:$A,0))="",INDEX(JLRrates!$C:$C,MATCH(INDEX(Mapping!$C:$C,MATCH($A166,Mapping!$A:$A,0)),JLRrates!$B:$B,0))=""),0,INDEX(JLRrates!$C:$C,MATCH(INDEX(Mapping!$C:$C,MATCH($A166,Mapping!$A:$A,0)),JLRrates!$B:$B,0))),0)</f>
        <v>0</v>
      </c>
    </row>
    <row r="167">
      <c r="A167" t="str">
        <v>imm-200t-mx</v>
      </c>
      <c r="B167" t="str">
        <v>Injection Moulding 200T (Mexico)</v>
      </c>
      <c r="C167" t="str">
        <v>MX</v>
      </c>
      <c r="D167">
        <f>IF($O167&gt;0,$O167*5000*0.84,28000)</f>
        <v>28000</v>
      </c>
      <c r="E167">
        <f>IF($O167&gt;0,0,3000)</f>
        <v>3000</v>
      </c>
      <c r="F167">
        <f>IF($O167&gt;0,0,6240)</f>
        <v>6240</v>
      </c>
      <c r="G167">
        <f>IF($O167&gt;0,0,1600)</f>
        <v>1600</v>
      </c>
      <c r="H167">
        <f>IF($O167&gt;0,0,3000)</f>
        <v>3000</v>
      </c>
      <c r="I167">
        <f>IF($O167&gt;0,0,7000)</f>
        <v>7000</v>
      </c>
      <c r="J167">
        <v>5000</v>
      </c>
      <c r="K167">
        <v>0.84</v>
      </c>
      <c r="L167" t="str">
        <v>2026-06-14</v>
      </c>
      <c r="M167" t="str">
        <f>IF($O167&gt;0,"JLR flat rate "&amp;TEXT($O167,"0.00")&amp;" per hr — build-up not supplied","Mexico injection moulding benchmark. Monterrey/Saltillo. Jun 2026")</f>
        <v>Mexico injection moulding benchmark. Monterrey/Saltillo. Jun 2026</v>
      </c>
      <c r="N167" t="str">
        <v>Medium</v>
      </c>
      <c r="O167">
        <f>IFERROR(IF(OR(INDEX(Mapping!$C:$C,MATCH($A167,Mapping!$A:$A,0))="",INDEX(JLRrates!$C:$C,MATCH(INDEX(Mapping!$C:$C,MATCH($A167,Mapping!$A:$A,0)),JLRrates!$B:$B,0))=""),0,INDEX(JLRrates!$C:$C,MATCH(INDEX(Mapping!$C:$C,MATCH($A167,Mapping!$A:$A,0)),JLRrates!$B:$B,0))),0)</f>
        <v>0</v>
      </c>
    </row>
    <row r="168">
      <c r="A168" t="str">
        <v>hpdc-500t-cn</v>
      </c>
      <c r="B168" t="str">
        <v>HPDC 500T (China)</v>
      </c>
      <c r="C168" t="str">
        <v>CN</v>
      </c>
      <c r="D168">
        <f>IF($O168&gt;0,$O168*4000*0.8,55000)</f>
        <v>55000</v>
      </c>
      <c r="E168">
        <f>IF($O168&gt;0,0,6000)</f>
        <v>6000</v>
      </c>
      <c r="F168">
        <f>IF($O168&gt;0,0,7800)</f>
        <v>7800</v>
      </c>
      <c r="G168">
        <f>IF($O168&gt;0,0,2250)</f>
        <v>2250</v>
      </c>
      <c r="H168">
        <f>IF($O168&gt;0,0,7500)</f>
        <v>7500</v>
      </c>
      <c r="I168">
        <f>IF($O168&gt;0,0,13750)</f>
        <v>13750</v>
      </c>
      <c r="J168">
        <v>4000</v>
      </c>
      <c r="K168">
        <v>0.8</v>
      </c>
      <c r="L168" t="str">
        <v>2026-06-14</v>
      </c>
      <c r="M168" t="str">
        <f>IF($O168&gt;0,"JLR flat rate "&amp;TEXT($O168,"0.00")&amp;" per hr — build-up not supplied","China HPDC foundry benchmark. ADC12 Al alloy. Guangdong/Jiangsu. Jun 2026")</f>
        <v>China HPDC foundry benchmark. ADC12 Al alloy. Guangdong/Jiangsu. Jun 2026</v>
      </c>
      <c r="N168" t="str">
        <v>Medium</v>
      </c>
      <c r="O168">
        <f>IFERROR(IF(OR(INDEX(Mapping!$C:$C,MATCH($A168,Mapping!$A:$A,0))="",INDEX(JLRrates!$C:$C,MATCH(INDEX(Mapping!$C:$C,MATCH($A168,Mapping!$A:$A,0)),JLRrates!$B:$B,0))=""),0,INDEX(JLRrates!$C:$C,MATCH(INDEX(Mapping!$C:$C,MATCH($A168,Mapping!$A:$A,0)),JLRrates!$B:$B,0))),0)</f>
        <v>0</v>
      </c>
    </row>
    <row r="169">
      <c r="A169" t="str">
        <v>hpdc-500t-in</v>
      </c>
      <c r="B169" t="str">
        <v>HPDC 500T (India)</v>
      </c>
      <c r="C169" t="str">
        <v>IN</v>
      </c>
      <c r="D169">
        <f>IF($O169&gt;0,$O169*4000*0.78,55000)</f>
        <v>55000</v>
      </c>
      <c r="E169">
        <f>IF($O169&gt;0,0,5000)</f>
        <v>5000</v>
      </c>
      <c r="F169">
        <f>IF($O169&gt;0,0,10500)</f>
        <v>10500</v>
      </c>
      <c r="G169">
        <f>IF($O169&gt;0,0,1500)</f>
        <v>1500</v>
      </c>
      <c r="H169">
        <f>IF($O169&gt;0,0,5500)</f>
        <v>5500</v>
      </c>
      <c r="I169">
        <f>IF($O169&gt;0,0,13750)</f>
        <v>13750</v>
      </c>
      <c r="J169">
        <v>4000</v>
      </c>
      <c r="K169">
        <v>0.78</v>
      </c>
      <c r="L169" t="str">
        <v>2026-06-14</v>
      </c>
      <c r="M169" t="str">
        <f>IF($O169&gt;0,"JLR flat rate "&amp;TEXT($O169,"0.00")&amp;" per hr — build-up not supplied","India HPDC foundry benchmark. Rajkot/Pune auto cluster. Jun 2026")</f>
        <v>India HPDC foundry benchmark. Rajkot/Pune auto cluster. Jun 2026</v>
      </c>
      <c r="N169" t="str">
        <v>Medium</v>
      </c>
      <c r="O169">
        <f>IFERROR(IF(OR(INDEX(Mapping!$C:$C,MATCH($A169,Mapping!$A:$A,0))="",INDEX(JLRrates!$C:$C,MATCH(INDEX(Mapping!$C:$C,MATCH($A169,Mapping!$A:$A,0)),JLRrates!$B:$B,0))=""),0,INDEX(JLRrates!$C:$C,MATCH(INDEX(Mapping!$C:$C,MATCH($A169,Mapping!$A:$A,0)),JLRrates!$B:$B,0))),0)</f>
        <v>0</v>
      </c>
    </row>
    <row r="170">
      <c r="A170" t="str">
        <v>hpdc-500t-mx</v>
      </c>
      <c r="B170" t="str">
        <v>HPDC 500T (Mexico)</v>
      </c>
      <c r="C170" t="str">
        <v>MX</v>
      </c>
      <c r="D170">
        <f>IF($O170&gt;0,$O170*4000*0.8,55000)</f>
        <v>55000</v>
      </c>
      <c r="E170">
        <f>IF($O170&gt;0,0,6000)</f>
        <v>6000</v>
      </c>
      <c r="F170">
        <f>IF($O170&gt;0,0,11700)</f>
        <v>11700</v>
      </c>
      <c r="G170">
        <f>IF($O170&gt;0,0,3000)</f>
        <v>3000</v>
      </c>
      <c r="H170">
        <f>IF($O170&gt;0,0,7500)</f>
        <v>7500</v>
      </c>
      <c r="I170">
        <f>IF($O170&gt;0,0,13750)</f>
        <v>13750</v>
      </c>
      <c r="J170">
        <v>4000</v>
      </c>
      <c r="K170">
        <v>0.8</v>
      </c>
      <c r="L170" t="str">
        <v>2026-06-14</v>
      </c>
      <c r="M170" t="str">
        <f>IF($O170&gt;0,"JLR flat rate "&amp;TEXT($O170,"0.00")&amp;" per hr — build-up not supplied","Mexico HPDC benchmark. Monterrey auto zone. Jun 2026")</f>
        <v>Mexico HPDC benchmark. Monterrey auto zone. Jun 2026</v>
      </c>
      <c r="N170" t="str">
        <v>Medium</v>
      </c>
      <c r="O170">
        <f>IFERROR(IF(OR(INDEX(Mapping!$C:$C,MATCH($A170,Mapping!$A:$A,0))="",INDEX(JLRrates!$C:$C,MATCH(INDEX(Mapping!$C:$C,MATCH($A170,Mapping!$A:$A,0)),JLRrates!$B:$B,0))=""),0,INDEX(JLRrates!$C:$C,MATCH(INDEX(Mapping!$C:$C,MATCH($A170,Mapping!$A:$A,0)),JLRrates!$B:$B,0))),0)</f>
        <v>0</v>
      </c>
    </row>
    <row r="171">
      <c r="A171" t="str">
        <v>press-400t-cn</v>
      </c>
      <c r="B171" t="str">
        <v>Stamping Press 400T (China)</v>
      </c>
      <c r="C171" t="str">
        <v>CN</v>
      </c>
      <c r="D171">
        <f>IF($O171&gt;0,$O171*4000*0.82,38000)</f>
        <v>38000</v>
      </c>
      <c r="E171">
        <f>IF($O171&gt;0,0,3600)</f>
        <v>3600</v>
      </c>
      <c r="F171">
        <f>IF($O171&gt;0,0,5200)</f>
        <v>5200</v>
      </c>
      <c r="G171">
        <f>IF($O171&gt;0,0,3000)</f>
        <v>3000</v>
      </c>
      <c r="H171">
        <f>IF($O171&gt;0,0,4500)</f>
        <v>4500</v>
      </c>
      <c r="I171">
        <f>IF($O171&gt;0,0,9500)</f>
        <v>9500</v>
      </c>
      <c r="J171">
        <v>4000</v>
      </c>
      <c r="K171">
        <v>0.82</v>
      </c>
      <c r="L171" t="str">
        <v>2026-06-14</v>
      </c>
      <c r="M171" t="str">
        <f>IF($O171&gt;0,"JLR flat rate "&amp;TEXT($O171,"0.00")&amp;" per hr — build-up not supplied","China press shop benchmark. Wuhan/Shanghai auto stamping. Jun 2026")</f>
        <v>China press shop benchmark. Wuhan/Shanghai auto stamping. Jun 2026</v>
      </c>
      <c r="N171" t="str">
        <v>Medium</v>
      </c>
      <c r="O171">
        <f>IFERROR(IF(OR(INDEX(Mapping!$C:$C,MATCH($A171,Mapping!$A:$A,0))="",INDEX(JLRrates!$C:$C,MATCH(INDEX(Mapping!$C:$C,MATCH($A171,Mapping!$A:$A,0)),JLRrates!$B:$B,0))=""),0,INDEX(JLRrates!$C:$C,MATCH(INDEX(Mapping!$C:$C,MATCH($A171,Mapping!$A:$A,0)),JLRrates!$B:$B,0))),0)</f>
        <v>0</v>
      </c>
    </row>
    <row r="172">
      <c r="A172" t="str">
        <v>press-400t-in</v>
      </c>
      <c r="B172" t="str">
        <v>Stamping Press 400T (India)</v>
      </c>
      <c r="C172" t="str">
        <v>IN</v>
      </c>
      <c r="D172">
        <f>IF($O172&gt;0,$O172*4000*0.8,38000)</f>
        <v>38000</v>
      </c>
      <c r="E172">
        <f>IF($O172&gt;0,0,3000)</f>
        <v>3000</v>
      </c>
      <c r="F172">
        <f>IF($O172&gt;0,0,7000)</f>
        <v>7000</v>
      </c>
      <c r="G172">
        <f>IF($O172&gt;0,0,2000)</f>
        <v>2000</v>
      </c>
      <c r="H172">
        <f>IF($O172&gt;0,0,3300)</f>
        <v>3300</v>
      </c>
      <c r="I172">
        <f>IF($O172&gt;0,0,9500)</f>
        <v>9500</v>
      </c>
      <c r="J172">
        <v>4000</v>
      </c>
      <c r="K172">
        <v>0.8</v>
      </c>
      <c r="L172" t="str">
        <v>2026-06-14</v>
      </c>
      <c r="M172" t="str">
        <f>IF($O172&gt;0,"JLR flat rate "&amp;TEXT($O172,"0.00")&amp;" per hr — build-up not supplied","India press shop benchmark. Pune/NCR auto cluster. Jun 2026")</f>
        <v>India press shop benchmark. Pune/NCR auto cluster. Jun 2026</v>
      </c>
      <c r="N172" t="str">
        <v>Medium</v>
      </c>
      <c r="O172">
        <f>IFERROR(IF(OR(INDEX(Mapping!$C:$C,MATCH($A172,Mapping!$A:$A,0))="",INDEX(JLRrates!$C:$C,MATCH(INDEX(Mapping!$C:$C,MATCH($A172,Mapping!$A:$A,0)),JLRrates!$B:$B,0))=""),0,INDEX(JLRrates!$C:$C,MATCH(INDEX(Mapping!$C:$C,MATCH($A172,Mapping!$A:$A,0)),JLRrates!$B:$B,0))),0)</f>
        <v>0</v>
      </c>
    </row>
    <row r="173">
      <c r="A173" t="str">
        <v>press-400t-pl</v>
      </c>
      <c r="B173" t="str">
        <v>Stamping Press 400T (Poland)</v>
      </c>
      <c r="C173" t="str">
        <v>PL</v>
      </c>
      <c r="D173">
        <f>IF($O173&gt;0,$O173*4000*0.82,38000)</f>
        <v>38000</v>
      </c>
      <c r="E173">
        <f>IF($O173&gt;0,0,5400)</f>
        <v>5400</v>
      </c>
      <c r="F173">
        <f>IF($O173&gt;0,0,10400)</f>
        <v>10400</v>
      </c>
      <c r="G173">
        <f>IF($O173&gt;0,0,5250)</f>
        <v>5250</v>
      </c>
      <c r="H173">
        <f>IF($O173&gt;0,0,6750)</f>
        <v>6750</v>
      </c>
      <c r="I173">
        <f>IF($O173&gt;0,0,9500)</f>
        <v>9500</v>
      </c>
      <c r="J173">
        <v>4000</v>
      </c>
      <c r="K173">
        <v>0.82</v>
      </c>
      <c r="L173" t="str">
        <v>2026-06-14</v>
      </c>
      <c r="M173" t="str">
        <f>IF($O173&gt;0,"JLR flat rate "&amp;TEXT($O173,"0.00")&amp;" per hr — build-up not supplied","Poland stamping press benchmark. Silesia auto suppliers. Jun 2026")</f>
        <v>Poland stamping press benchmark. Silesia auto suppliers. Jun 2026</v>
      </c>
      <c r="N173" t="str">
        <v>Medium</v>
      </c>
      <c r="O173">
        <f>IFERROR(IF(OR(INDEX(Mapping!$C:$C,MATCH($A173,Mapping!$A:$A,0))="",INDEX(JLRrates!$C:$C,MATCH(INDEX(Mapping!$C:$C,MATCH($A173,Mapping!$A:$A,0)),JLRrates!$B:$B,0))=""),0,INDEX(JLRrates!$C:$C,MATCH(INDEX(Mapping!$C:$C,MATCH($A173,Mapping!$A:$A,0)),JLRrates!$B:$B,0))),0)</f>
        <v>0</v>
      </c>
    </row>
    <row r="174">
      <c r="A174" t="str">
        <v>press-400t-mx</v>
      </c>
      <c r="B174" t="str">
        <v>Stamping Press 400T (Mexico)</v>
      </c>
      <c r="C174" t="str">
        <v>MX</v>
      </c>
      <c r="D174">
        <f>IF($O174&gt;0,$O174*4000*0.82,38000)</f>
        <v>38000</v>
      </c>
      <c r="E174">
        <f>IF($O174&gt;0,0,3600)</f>
        <v>3600</v>
      </c>
      <c r="F174">
        <f>IF($O174&gt;0,0,7800)</f>
        <v>7800</v>
      </c>
      <c r="G174">
        <f>IF($O174&gt;0,0,4000)</f>
        <v>4000</v>
      </c>
      <c r="H174">
        <f>IF($O174&gt;0,0,4500)</f>
        <v>4500</v>
      </c>
      <c r="I174">
        <f>IF($O174&gt;0,0,9500)</f>
        <v>9500</v>
      </c>
      <c r="J174">
        <v>4000</v>
      </c>
      <c r="K174">
        <v>0.82</v>
      </c>
      <c r="L174" t="str">
        <v>2026-06-14</v>
      </c>
      <c r="M174" t="str">
        <f>IF($O174&gt;0,"JLR flat rate "&amp;TEXT($O174,"0.00")&amp;" per hr — build-up not supplied","Mexico stamping benchmark. Saltillo auto corridor. Jun 2026")</f>
        <v>Mexico stamping benchmark. Saltillo auto corridor. Jun 2026</v>
      </c>
      <c r="N174" t="str">
        <v>Medium</v>
      </c>
      <c r="O174">
        <f>IFERROR(IF(OR(INDEX(Mapping!$C:$C,MATCH($A174,Mapping!$A:$A,0))="",INDEX(JLRrates!$C:$C,MATCH(INDEX(Mapping!$C:$C,MATCH($A174,Mapping!$A:$A,0)),JLRrates!$B:$B,0))=""),0,INDEX(JLRrates!$C:$C,MATCH(INDEX(Mapping!$C:$C,MATCH($A174,Mapping!$A:$A,0)),JLRrates!$B:$B,0))),0)</f>
        <v>0</v>
      </c>
    </row>
    <row r="175">
      <c r="A175" t="str">
        <v>bench-assembly-cn</v>
      </c>
      <c r="B175" t="str">
        <v>Manual Assembly Bench (China)</v>
      </c>
      <c r="C175" t="str">
        <v>CN</v>
      </c>
      <c r="D175">
        <f>IF($O175&gt;0,$O175*4500*0.9,3000)</f>
        <v>3000</v>
      </c>
      <c r="E175">
        <f>IF($O175&gt;0,0,300)</f>
        <v>300</v>
      </c>
      <c r="F175">
        <f>IF($O175&gt;0,0,260)</f>
        <v>260</v>
      </c>
      <c r="G175">
        <f>IF($O175&gt;0,0,600)</f>
        <v>600</v>
      </c>
      <c r="H175">
        <f>IF($O175&gt;0,0,1000)</f>
        <v>1000</v>
      </c>
      <c r="I175">
        <f>IF($O175&gt;0,0,750)</f>
        <v>750</v>
      </c>
      <c r="J175">
        <v>4500</v>
      </c>
      <c r="K175">
        <v>0.9</v>
      </c>
      <c r="L175" t="str">
        <v>2026-06-14</v>
      </c>
      <c r="M175" t="str">
        <f>IF($O175&gt;0,"JLR flat rate "&amp;TEXT($O175,"0.00")&amp;" per hr — build-up not supplied","China assembly benchmark. Shenzhen/Suzhou. Harness, PCBA, BIW subassembly. Jun 2026")</f>
        <v>China assembly benchmark. Shenzhen/Suzhou. Harness, PCBA, BIW subassembly. Jun 2026</v>
      </c>
      <c r="N175" t="str">
        <v>Medium</v>
      </c>
      <c r="O175">
        <f>IFERROR(IF(OR(INDEX(Mapping!$C:$C,MATCH($A175,Mapping!$A:$A,0))="",INDEX(JLRrates!$C:$C,MATCH(INDEX(Mapping!$C:$C,MATCH($A175,Mapping!$A:$A,0)),JLRrates!$B:$B,0))=""),0,INDEX(JLRrates!$C:$C,MATCH(INDEX(Mapping!$C:$C,MATCH($A175,Mapping!$A:$A,0)),JLRrates!$B:$B,0))),0)</f>
        <v>0</v>
      </c>
    </row>
    <row r="176">
      <c r="A176" t="str">
        <v>bench-assembly-in</v>
      </c>
      <c r="B176" t="str">
        <v>Manual Assembly Bench (India)</v>
      </c>
      <c r="C176" t="str">
        <v>IN</v>
      </c>
      <c r="D176">
        <f>IF($O176&gt;0,$O176*4500*0.9,3000)</f>
        <v>3000</v>
      </c>
      <c r="E176">
        <f>IF($O176&gt;0,0,250)</f>
        <v>250</v>
      </c>
      <c r="F176">
        <f>IF($O176&gt;0,0,350)</f>
        <v>350</v>
      </c>
      <c r="G176">
        <f>IF($O176&gt;0,0,400)</f>
        <v>400</v>
      </c>
      <c r="H176">
        <f>IF($O176&gt;0,0,750)</f>
        <v>750</v>
      </c>
      <c r="I176">
        <f>IF($O176&gt;0,0,750)</f>
        <v>750</v>
      </c>
      <c r="J176">
        <v>4500</v>
      </c>
      <c r="K176">
        <v>0.9</v>
      </c>
      <c r="L176" t="str">
        <v>2026-06-14</v>
      </c>
      <c r="M176" t="str">
        <f>IF($O176&gt;0,"JLR flat rate "&amp;TEXT($O176,"0.00")&amp;" per hr — build-up not supplied","India assembly benchmark. Pune/Nashik auto corridor. Jun 2026")</f>
        <v>India assembly benchmark. Pune/Nashik auto corridor. Jun 2026</v>
      </c>
      <c r="N176" t="str">
        <v>Medium</v>
      </c>
      <c r="O176">
        <f>IFERROR(IF(OR(INDEX(Mapping!$C:$C,MATCH($A176,Mapping!$A:$A,0))="",INDEX(JLRrates!$C:$C,MATCH(INDEX(Mapping!$C:$C,MATCH($A176,Mapping!$A:$A,0)),JLRrates!$B:$B,0))=""),0,INDEX(JLRrates!$C:$C,MATCH(INDEX(Mapping!$C:$C,MATCH($A176,Mapping!$A:$A,0)),JLRrates!$B:$B,0))),0)</f>
        <v>0</v>
      </c>
    </row>
    <row r="177">
      <c r="A177" t="str">
        <v>bench-assembly-mx</v>
      </c>
      <c r="B177" t="str">
        <v>Manual Assembly Bench (Mexico)</v>
      </c>
      <c r="C177" t="str">
        <v>MX</v>
      </c>
      <c r="D177">
        <f>IF($O177&gt;0,$O177*4500*0.9,3000)</f>
        <v>3000</v>
      </c>
      <c r="E177">
        <f>IF($O177&gt;0,0,300)</f>
        <v>300</v>
      </c>
      <c r="F177">
        <f>IF($O177&gt;0,0,390)</f>
        <v>390</v>
      </c>
      <c r="G177">
        <f>IF($O177&gt;0,0,800)</f>
        <v>800</v>
      </c>
      <c r="H177">
        <f>IF($O177&gt;0,0,1000)</f>
        <v>1000</v>
      </c>
      <c r="I177">
        <f>IF($O177&gt;0,0,750)</f>
        <v>750</v>
      </c>
      <c r="J177">
        <v>4500</v>
      </c>
      <c r="K177">
        <v>0.9</v>
      </c>
      <c r="L177" t="str">
        <v>2026-06-14</v>
      </c>
      <c r="M177" t="str">
        <f>IF($O177&gt;0,"JLR flat rate "&amp;TEXT($O177,"0.00")&amp;" per hr — build-up not supplied","Mexico assembly benchmark. Juárez/Monterrey maquiladora. Jun 2026")</f>
        <v>Mexico assembly benchmark. Juárez/Monterrey maquiladora. Jun 2026</v>
      </c>
      <c r="N177" t="str">
        <v>Medium</v>
      </c>
      <c r="O177">
        <f>IFERROR(IF(OR(INDEX(Mapping!$C:$C,MATCH($A177,Mapping!$A:$A,0))="",INDEX(JLRrates!$C:$C,MATCH(INDEX(Mapping!$C:$C,MATCH($A177,Mapping!$A:$A,0)),JLRrates!$B:$B,0))=""),0,INDEX(JLRrates!$C:$C,MATCH(INDEX(Mapping!$C:$C,MATCH($A177,Mapping!$A:$A,0)),JLRrates!$B:$B,0))),0)</f>
        <v>0</v>
      </c>
    </row>
    <row r="178">
      <c r="A178" t="str">
        <v>bench-assembly-vn</v>
      </c>
      <c r="B178" t="str">
        <v>Manual Assembly Bench (Vietnam)</v>
      </c>
      <c r="C178" t="str">
        <v>VN</v>
      </c>
      <c r="D178">
        <f>IF($O178&gt;0,$O178*4800*0.92,3000)</f>
        <v>3000</v>
      </c>
      <c r="E178">
        <f>IF($O178&gt;0,0,200)</f>
        <v>200</v>
      </c>
      <c r="F178">
        <f>IF($O178&gt;0,0,312)</f>
        <v>312</v>
      </c>
      <c r="G178">
        <f>IF($O178&gt;0,0,300)</f>
        <v>300</v>
      </c>
      <c r="H178">
        <f>IF($O178&gt;0,0,600)</f>
        <v>600</v>
      </c>
      <c r="I178">
        <f>IF($O178&gt;0,0,750)</f>
        <v>750</v>
      </c>
      <c r="J178">
        <v>4800</v>
      </c>
      <c r="K178">
        <v>0.92</v>
      </c>
      <c r="L178" t="str">
        <v>2026-06-14</v>
      </c>
      <c r="M178" t="str">
        <f>IF($O178&gt;0,"JLR flat rate "&amp;TEXT($O178,"0.00")&amp;" per hr — build-up not supplied","Vietnam assembly benchmark. Ho Chi Minh City / Hanoi. Wiring harness. Jun 2026")</f>
        <v>Vietnam assembly benchmark. Ho Chi Minh City / Hanoi. Wiring harness. Jun 2026</v>
      </c>
      <c r="N178" t="str">
        <v>Medium</v>
      </c>
      <c r="O178">
        <f>IFERROR(IF(OR(INDEX(Mapping!$C:$C,MATCH($A178,Mapping!$A:$A,0))="",INDEX(JLRrates!$C:$C,MATCH(INDEX(Mapping!$C:$C,MATCH($A178,Mapping!$A:$A,0)),JLRrates!$B:$B,0))=""),0,INDEX(JLRrates!$C:$C,MATCH(INDEX(Mapping!$C:$C,MATCH($A178,Mapping!$A:$A,0)),JLRrates!$B:$B,0))),0)</f>
        <v>0</v>
      </c>
    </row>
    <row r="179">
      <c r="A179" t="str">
        <v>bench-assembly-pl</v>
      </c>
      <c r="B179" t="str">
        <v>Manual Assembly Bench (Poland)</v>
      </c>
      <c r="C179" t="str">
        <v>PL</v>
      </c>
      <c r="D179">
        <f>IF($O179&gt;0,$O179*4500*0.9,3000)</f>
        <v>3000</v>
      </c>
      <c r="E179">
        <f>IF($O179&gt;0,0,450)</f>
        <v>450</v>
      </c>
      <c r="F179">
        <f>IF($O179&gt;0,0,624)</f>
        <v>624</v>
      </c>
      <c r="G179">
        <f>IF($O179&gt;0,0,1050)</f>
        <v>1050</v>
      </c>
      <c r="H179">
        <f>IF($O179&gt;0,0,1350)</f>
        <v>1350</v>
      </c>
      <c r="I179">
        <f>IF($O179&gt;0,0,750)</f>
        <v>750</v>
      </c>
      <c r="J179">
        <v>4500</v>
      </c>
      <c r="K179">
        <v>0.9</v>
      </c>
      <c r="L179" t="str">
        <v>2026-06-14</v>
      </c>
      <c r="M179" t="str">
        <f>IF($O179&gt;0,"JLR flat rate "&amp;TEXT($O179,"0.00")&amp;" per hr — build-up not supplied","Poland assembly benchmark. Łódź/Wrocław. Harness, electronics. Jun 2026")</f>
        <v>Poland assembly benchmark. Łódź/Wrocław. Harness, electronics. Jun 2026</v>
      </c>
      <c r="N179" t="str">
        <v>Medium</v>
      </c>
      <c r="O179">
        <f>IFERROR(IF(OR(INDEX(Mapping!$C:$C,MATCH($A179,Mapping!$A:$A,0))="",INDEX(JLRrates!$C:$C,MATCH(INDEX(Mapping!$C:$C,MATCH($A179,Mapping!$A:$A,0)),JLRrates!$B:$B,0))=""),0,INDEX(JLRrates!$C:$C,MATCH(INDEX(Mapping!$C:$C,MATCH($A179,Mapping!$A:$A,0)),JLRrates!$B:$B,0))),0)</f>
        <v>0</v>
      </c>
    </row>
  </sheetData>
  <ignoredErrors>
    <ignoredError numberStoredAsText="1" sqref="A1:O179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H43"/>
  <sheetViews>
    <sheetView workbookViewId="0"/>
  </sheetViews>
  <cols>
    <col min="1" max="1" width="22.83203125" customWidth="1"/>
    <col min="2" max="2" width="12.83203125" customWidth="1"/>
    <col min="3" max="3" width="26.83203125" customWidth="1"/>
    <col min="4" max="4" width="20.83203125" customWidth="1"/>
    <col min="5" max="5" width="14.83203125" customWidth="1"/>
    <col min="6" max="6" width="36.83203125" customWidth="1"/>
    <col min="7" max="7" width="12.83203125" customWidth="1"/>
    <col min="8" max="8" width="16.83203125" customWidth="1"/>
  </cols>
  <sheetData>
    <row r="1">
      <c r="A1" t="str">
        <v>id</v>
      </c>
      <c r="B1" t="str">
        <v>region</v>
      </c>
      <c r="C1" t="str">
        <v>skillLevel</v>
      </c>
      <c r="D1" t="str">
        <v>fullyLoadedRatePerHr</v>
      </c>
      <c r="E1" t="str">
        <v>effectiveDate</v>
      </c>
      <c r="F1" t="str">
        <v>sourceNote</v>
      </c>
      <c r="G1" t="str">
        <v>confidence</v>
      </c>
      <c r="H1" t="str">
        <v>JLR £/hr found</v>
      </c>
    </row>
    <row r="2">
      <c r="A2" t="str">
        <v>lab-uk-skilled</v>
      </c>
      <c r="B2" t="str">
        <v>UK</v>
      </c>
      <c r="C2" t="str">
        <v>Skilled Machinist</v>
      </c>
      <c r="D2">
        <f>IF($H2&gt;0,$H2,26)</f>
        <v>26</v>
      </c>
      <c r="E2" t="str">
        <v>2026-06-14</v>
      </c>
      <c r="F2" t="str">
        <v>UK AMT wage survey Jun 2026, incl. NI + benefits</v>
      </c>
      <c r="G2" t="str">
        <v>High</v>
      </c>
      <c r="H2">
        <f>IFERROR(IF(OR(INDEX(Mapping!$C:$C,MATCH($A2,Mapping!$A:$A,0))="",INDEX(JLRrates!$C:$C,MATCH(INDEX(Mapping!$C:$C,MATCH($A2,Mapping!$A:$A,0)),JLRrates!$B:$B,0))=""),0,INDEX(JLRrates!$C:$C,MATCH(INDEX(Mapping!$C:$C,MATCH($A2,Mapping!$A:$A,0)),JLRrates!$B:$B,0))),0)</f>
        <v>0</v>
      </c>
    </row>
    <row r="3">
      <c r="A3" t="str">
        <v>lab-uk-semiskilled</v>
      </c>
      <c r="B3" t="str">
        <v>UK</v>
      </c>
      <c r="C3" t="str">
        <v>Semi-skilled Operator</v>
      </c>
      <c r="D3">
        <f>IF($H3&gt;0,$H3,19.8)</f>
        <v>19.8</v>
      </c>
      <c r="E3" t="str">
        <v>2026-06-14</v>
      </c>
      <c r="F3" t="str">
        <v>UK AMT wage survey Jun 2026, incl. NI + benefits</v>
      </c>
      <c r="G3" t="str">
        <v>High</v>
      </c>
      <c r="H3">
        <f>IFERROR(IF(OR(INDEX(Mapping!$C:$C,MATCH($A3,Mapping!$A:$A,0))="",INDEX(JLRrates!$C:$C,MATCH(INDEX(Mapping!$C:$C,MATCH($A3,Mapping!$A:$A,0)),JLRrates!$B:$B,0))=""),0,INDEX(JLRrates!$C:$C,MATCH(INDEX(Mapping!$C:$C,MATCH($A3,Mapping!$A:$A,0)),JLRrates!$B:$B,0))),0)</f>
        <v>0</v>
      </c>
    </row>
    <row r="4">
      <c r="A4" t="str">
        <v>lab-uk-engineer</v>
      </c>
      <c r="B4" t="str">
        <v>UK</v>
      </c>
      <c r="C4" t="str">
        <v>Process Engineer</v>
      </c>
      <c r="D4">
        <f>IF($H4&gt;0,$H4,42.5)</f>
        <v>42.5</v>
      </c>
      <c r="E4" t="str">
        <v>2026-06-14</v>
      </c>
      <c r="F4" t="str">
        <v>UK engineering salary benchmark Jun 2026</v>
      </c>
      <c r="G4" t="str">
        <v>Medium</v>
      </c>
      <c r="H4">
        <f>IFERROR(IF(OR(INDEX(Mapping!$C:$C,MATCH($A4,Mapping!$A:$A,0))="",INDEX(JLRrates!$C:$C,MATCH(INDEX(Mapping!$C:$C,MATCH($A4,Mapping!$A:$A,0)),JLRrates!$B:$B,0))=""),0,INDEX(JLRrates!$C:$C,MATCH(INDEX(Mapping!$C:$C,MATCH($A4,Mapping!$A:$A,0)),JLRrates!$B:$B,0))),0)</f>
        <v>0</v>
      </c>
    </row>
    <row r="5">
      <c r="A5" t="str">
        <v>lab-in-skilled</v>
      </c>
      <c r="B5" t="str">
        <v>India</v>
      </c>
      <c r="C5" t="str">
        <v>Skilled Machinist</v>
      </c>
      <c r="D5">
        <f>IF($H5&gt;0,$H5,5.1)</f>
        <v>5.1</v>
      </c>
      <c r="E5" t="str">
        <v>2026-06-14</v>
      </c>
      <c r="F5" t="str">
        <v>India manufacturing wage benchmark Jun 2026</v>
      </c>
      <c r="G5" t="str">
        <v>Low</v>
      </c>
      <c r="H5">
        <f>IFERROR(IF(OR(INDEX(Mapping!$C:$C,MATCH($A5,Mapping!$A:$A,0))="",INDEX(JLRrates!$C:$C,MATCH(INDEX(Mapping!$C:$C,MATCH($A5,Mapping!$A:$A,0)),JLRrates!$B:$B,0))=""),0,INDEX(JLRrates!$C:$C,MATCH(INDEX(Mapping!$C:$C,MATCH($A5,Mapping!$A:$A,0)),JLRrates!$B:$B,0))),0)</f>
        <v>0</v>
      </c>
    </row>
    <row r="6">
      <c r="A6" t="str">
        <v>lab-cn-skilled</v>
      </c>
      <c r="B6" t="str">
        <v>China</v>
      </c>
      <c r="C6" t="str">
        <v>Skilled Machinist</v>
      </c>
      <c r="D6">
        <f>IF($H6&gt;0,$H6,7.9)</f>
        <v>7.9</v>
      </c>
      <c r="E6" t="str">
        <v>2026-06-14</v>
      </c>
      <c r="F6" t="str">
        <v>China manufacturing wage benchmark Jun 2026</v>
      </c>
      <c r="G6" t="str">
        <v>Low</v>
      </c>
      <c r="H6">
        <f>IFERROR(IF(OR(INDEX(Mapping!$C:$C,MATCH($A6,Mapping!$A:$A,0))="",INDEX(JLRrates!$C:$C,MATCH(INDEX(Mapping!$C:$C,MATCH($A6,Mapping!$A:$A,0)),JLRrates!$B:$B,0))=""),0,INDEX(JLRrates!$C:$C,MATCH(INDEX(Mapping!$C:$C,MATCH($A6,Mapping!$A:$A,0)),JLRrates!$B:$B,0))),0)</f>
        <v>0</v>
      </c>
    </row>
    <row r="7">
      <c r="A7" t="str">
        <v>lab-uk-foundry</v>
      </c>
      <c r="B7" t="str">
        <v>UK</v>
      </c>
      <c r="C7" t="str">
        <v>Foundry Operative</v>
      </c>
      <c r="D7">
        <f>IF($H7&gt;0,$H7,18.5)</f>
        <v>18.5</v>
      </c>
      <c r="E7" t="str">
        <v>2026-06-14</v>
      </c>
      <c r="F7" t="str">
        <v>UK foundry/casting operator wage survey Jun 2026, incl. NI + benefits</v>
      </c>
      <c r="G7" t="str">
        <v>Medium</v>
      </c>
      <c r="H7">
        <f>IFERROR(IF(OR(INDEX(Mapping!$C:$C,MATCH($A7,Mapping!$A:$A,0))="",INDEX(JLRrates!$C:$C,MATCH(INDEX(Mapping!$C:$C,MATCH($A7,Mapping!$A:$A,0)),JLRrates!$B:$B,0))=""),0,INDEX(JLRrates!$C:$C,MATCH(INDEX(Mapping!$C:$C,MATCH($A7,Mapping!$A:$A,0)),JLRrates!$B:$B,0))),0)</f>
        <v>0</v>
      </c>
    </row>
    <row r="8">
      <c r="A8" t="str">
        <v>lab-uk-inspector</v>
      </c>
      <c r="B8" t="str">
        <v>UK</v>
      </c>
      <c r="C8" t="str">
        <v>CMM / Quality Inspector</v>
      </c>
      <c r="D8">
        <f>IF($H8&gt;0,$H8,27.5)</f>
        <v>27.5</v>
      </c>
      <c r="E8" t="str">
        <v>2026-06-14</v>
      </c>
      <c r="F8" t="str">
        <v>UK quality/inspection wage benchmark Jun 2026, incl. NI + benefits</v>
      </c>
      <c r="G8" t="str">
        <v>Medium</v>
      </c>
      <c r="H8">
        <f>IFERROR(IF(OR(INDEX(Mapping!$C:$C,MATCH($A8,Mapping!$A:$A,0))="",INDEX(JLRrates!$C:$C,MATCH(INDEX(Mapping!$C:$C,MATCH($A8,Mapping!$A:$A,0)),JLRrates!$B:$B,0))=""),0,INDEX(JLRrates!$C:$C,MATCH(INDEX(Mapping!$C:$C,MATCH($A8,Mapping!$A:$A,0)),JLRrates!$B:$B,0))),0)</f>
        <v>0</v>
      </c>
    </row>
    <row r="9">
      <c r="A9" t="str">
        <v>lab-uk-technician</v>
      </c>
      <c r="B9" t="str">
        <v>UK</v>
      </c>
      <c r="C9" t="str">
        <v>Maintenance / Mould-Setter Technician</v>
      </c>
      <c r="D9">
        <f>IF($H9&gt;0,$H9,28.6)</f>
        <v>28.6</v>
      </c>
      <c r="E9" t="str">
        <v>2026-06-14</v>
      </c>
      <c r="F9" t="str">
        <v>UK process/maintenance technician benchmark Jun 2026, incl. NI + benefits</v>
      </c>
      <c r="G9" t="str">
        <v>Medium</v>
      </c>
      <c r="H9">
        <f>IFERROR(IF(OR(INDEX(Mapping!$C:$C,MATCH($A9,Mapping!$A:$A,0))="",INDEX(JLRrates!$C:$C,MATCH(INDEX(Mapping!$C:$C,MATCH($A9,Mapping!$A:$A,0)),JLRrates!$B:$B,0))=""),0,INDEX(JLRrates!$C:$C,MATCH(INDEX(Mapping!$C:$C,MATCH($A9,Mapping!$A:$A,0)),JLRrates!$B:$B,0))),0)</f>
        <v>0</v>
      </c>
    </row>
    <row r="10">
      <c r="A10" t="str">
        <v>lab-uk-supervisor</v>
      </c>
      <c r="B10" t="str">
        <v>UK</v>
      </c>
      <c r="C10" t="str">
        <v>Shift / Production Supervisor</v>
      </c>
      <c r="D10">
        <f>IF($H10&gt;0,$H10,35.1)</f>
        <v>35.1</v>
      </c>
      <c r="E10" t="str">
        <v>2026-06-14</v>
      </c>
      <c r="F10" t="str">
        <v>UK production supervisor benchmark Jun 2026, incl. NI + benefits</v>
      </c>
      <c r="G10" t="str">
        <v>Medium</v>
      </c>
      <c r="H10">
        <f>IFERROR(IF(OR(INDEX(Mapping!$C:$C,MATCH($A10,Mapping!$A:$A,0))="",INDEX(JLRrates!$C:$C,MATCH(INDEX(Mapping!$C:$C,MATCH($A10,Mapping!$A:$A,0)),JLRrates!$B:$B,0))=""),0,INDEX(JLRrates!$C:$C,MATCH(INDEX(Mapping!$C:$C,MATCH($A10,Mapping!$A:$A,0)),JLRrates!$B:$B,0))),0)</f>
        <v>0</v>
      </c>
    </row>
    <row r="11">
      <c r="A11" t="str">
        <v>lab-uk-forge</v>
      </c>
      <c r="B11" t="str">
        <v>UK</v>
      </c>
      <c r="C11" t="str">
        <v>Forge Operator / Hammer-man</v>
      </c>
      <c r="D11">
        <f>IF($H11&gt;0,$H11,24)</f>
        <v>24</v>
      </c>
      <c r="E11" t="str">
        <v>2026-06-14</v>
      </c>
      <c r="F11" t="str">
        <v>UK drop-forge operator wage benchmark Jun 2026, incl. NI + benefits + hot-work allowance</v>
      </c>
      <c r="G11" t="str">
        <v>Medium</v>
      </c>
      <c r="H11">
        <f>IFERROR(IF(OR(INDEX(Mapping!$C:$C,MATCH($A11,Mapping!$A:$A,0))="",INDEX(JLRrates!$C:$C,MATCH(INDEX(Mapping!$C:$C,MATCH($A11,Mapping!$A:$A,0)),JLRrates!$B:$B,0))=""),0,INDEX(JLRrates!$C:$C,MATCH(INDEX(Mapping!$C:$C,MATCH($A11,Mapping!$A:$A,0)),JLRrates!$B:$B,0))),0)</f>
        <v>0</v>
      </c>
    </row>
    <row r="12">
      <c r="A12" t="str">
        <v>lab-uk-furnace</v>
      </c>
      <c r="B12" t="str">
        <v>UK</v>
      </c>
      <c r="C12" t="str">
        <v>Furnace / Heat Operator</v>
      </c>
      <c r="D12">
        <f>IF($H12&gt;0,$H12,22)</f>
        <v>22</v>
      </c>
      <c r="E12" t="str">
        <v>2026-06-14</v>
      </c>
      <c r="F12" t="str">
        <v>UK furnace/induction heat operator wage benchmark Jun 2026, incl. NI + benefits</v>
      </c>
      <c r="G12" t="str">
        <v>Medium</v>
      </c>
      <c r="H12">
        <f>IFERROR(IF(OR(INDEX(Mapping!$C:$C,MATCH($A12,Mapping!$A:$A,0))="",INDEX(JLRrates!$C:$C,MATCH(INDEX(Mapping!$C:$C,MATCH($A12,Mapping!$A:$A,0)),JLRrates!$B:$B,0))=""),0,INDEX(JLRrates!$C:$C,MATCH(INDEX(Mapping!$C:$C,MATCH($A12,Mapping!$A:$A,0)),JLRrates!$B:$B,0))),0)</f>
        <v>0</v>
      </c>
    </row>
    <row r="13">
      <c r="A13" t="str">
        <v>lab-uk-blow</v>
      </c>
      <c r="B13" t="str">
        <v>UK</v>
      </c>
      <c r="C13" t="str">
        <v>Blow Moulding Operator</v>
      </c>
      <c r="D13">
        <f>IF($H13&gt;0,$H13,20.5)</f>
        <v>20.5</v>
      </c>
      <c r="E13" t="str">
        <v>2026-06-14</v>
      </c>
      <c r="F13" t="str">
        <v>UK blow-moulding machine operator wage benchmark Jun 2026, incl. NI + benefits</v>
      </c>
      <c r="G13" t="str">
        <v>Medium</v>
      </c>
      <c r="H13">
        <f>IFERROR(IF(OR(INDEX(Mapping!$C:$C,MATCH($A13,Mapping!$A:$A,0))="",INDEX(JLRrates!$C:$C,MATCH(INDEX(Mapping!$C:$C,MATCH($A13,Mapping!$A:$A,0)),JLRrates!$B:$B,0))=""),0,INDEX(JLRrates!$C:$C,MATCH(INDEX(Mapping!$C:$C,MATCH($A13,Mapping!$A:$A,0)),JLRrates!$B:$B,0))),0)</f>
        <v>0</v>
      </c>
    </row>
    <row r="14">
      <c r="A14" t="str">
        <v>lab-uk-roto</v>
      </c>
      <c r="B14" t="str">
        <v>UK</v>
      </c>
      <c r="C14" t="str">
        <v>Rotational Moulding Operator</v>
      </c>
      <c r="D14">
        <f>IF($H14&gt;0,$H14,20)</f>
        <v>20</v>
      </c>
      <c r="E14" t="str">
        <v>2026-06-14</v>
      </c>
      <c r="F14" t="str">
        <v>UK roto-moulding operator wage benchmark Jun 2026, incl. NI + benefits (hot demould/charge)</v>
      </c>
      <c r="G14" t="str">
        <v>Medium</v>
      </c>
      <c r="H14">
        <f>IFERROR(IF(OR(INDEX(Mapping!$C:$C,MATCH($A14,Mapping!$A:$A,0))="",INDEX(JLRrates!$C:$C,MATCH(INDEX(Mapping!$C:$C,MATCH($A14,Mapping!$A:$A,0)),JLRrates!$B:$B,0))=""),0,INDEX(JLRrates!$C:$C,MATCH(INDEX(Mapping!$C:$C,MATCH($A14,Mapping!$A:$A,0)),JLRrates!$B:$B,0))),0)</f>
        <v>0</v>
      </c>
    </row>
    <row r="15">
      <c r="A15" t="str">
        <v>lab-uk-thermoform</v>
      </c>
      <c r="B15" t="str">
        <v>UK</v>
      </c>
      <c r="C15" t="str">
        <v>Thermoforming Operator</v>
      </c>
      <c r="D15">
        <f>IF($H15&gt;0,$H15,19.5)</f>
        <v>19.5</v>
      </c>
      <c r="E15" t="str">
        <v>2026-06-14</v>
      </c>
      <c r="F15" t="str">
        <v>UK thermoforming machine operator wage benchmark Jun 2026, incl. NI + benefits (sheet load, form, unload)</v>
      </c>
      <c r="G15" t="str">
        <v>Medium</v>
      </c>
      <c r="H15">
        <f>IFERROR(IF(OR(INDEX(Mapping!$C:$C,MATCH($A15,Mapping!$A:$A,0))="",INDEX(JLRrates!$C:$C,MATCH(INDEX(Mapping!$C:$C,MATCH($A15,Mapping!$A:$A,0)),JLRrates!$B:$B,0))=""),0,INDEX(JLRrates!$C:$C,MATCH(INDEX(Mapping!$C:$C,MATCH($A15,Mapping!$A:$A,0)),JLRrates!$B:$B,0))),0)</f>
        <v>0</v>
      </c>
    </row>
    <row r="16">
      <c r="A16" t="str">
        <v>lab-uk-trim-router</v>
      </c>
      <c r="B16" t="str">
        <v>UK</v>
      </c>
      <c r="C16" t="str">
        <v>CNC Trim / Router Operator</v>
      </c>
      <c r="D16">
        <f>IF($H16&gt;0,$H16,22.5)</f>
        <v>22.5</v>
      </c>
      <c r="E16" t="str">
        <v>2026-06-14</v>
      </c>
      <c r="F16" t="str">
        <v>UK CNC router / trim-cell operator wage benchmark Jun 2026, incl. NI + benefits (programmes/jigs formed parts)</v>
      </c>
      <c r="G16" t="str">
        <v>Medium</v>
      </c>
      <c r="H16">
        <f>IFERROR(IF(OR(INDEX(Mapping!$C:$C,MATCH($A16,Mapping!$A:$A,0))="",INDEX(JLRrates!$C:$C,MATCH(INDEX(Mapping!$C:$C,MATCH($A16,Mapping!$A:$A,0)),JLRrates!$B:$B,0))=""),0,INDEX(JLRrates!$C:$C,MATCH(INDEX(Mapping!$C:$C,MATCH($A16,Mapping!$A:$A,0)),JLRrates!$B:$B,0))),0)</f>
        <v>0</v>
      </c>
    </row>
    <row r="17">
      <c r="A17" t="str">
        <v>lab-de-skilled</v>
      </c>
      <c r="B17" t="str">
        <v>Germany</v>
      </c>
      <c r="C17" t="str">
        <v>Skilled Machinist</v>
      </c>
      <c r="D17">
        <f>IF($H17&gt;0,$H17,40.5)</f>
        <v>40.5</v>
      </c>
      <c r="E17" t="str">
        <v>2026-06-14</v>
      </c>
      <c r="F17" t="str">
        <v>Germany IG Metall wage survey Jun 2026, incl. social costs</v>
      </c>
      <c r="G17" t="str">
        <v>Medium</v>
      </c>
      <c r="H17">
        <f>IFERROR(IF(OR(INDEX(Mapping!$C:$C,MATCH($A17,Mapping!$A:$A,0))="",INDEX(JLRrates!$C:$C,MATCH(INDEX(Mapping!$C:$C,MATCH($A17,Mapping!$A:$A,0)),JLRrates!$B:$B,0))=""),0,INDEX(JLRrates!$C:$C,MATCH(INDEX(Mapping!$C:$C,MATCH($A17,Mapping!$A:$A,0)),JLRrates!$B:$B,0))),0)</f>
        <v>0</v>
      </c>
    </row>
    <row r="18">
      <c r="A18" t="str">
        <v>lab-pl-skilled</v>
      </c>
      <c r="B18" t="str">
        <v>Poland</v>
      </c>
      <c r="C18" t="str">
        <v>Skilled Machinist</v>
      </c>
      <c r="D18">
        <f>IF($H18&gt;0,$H18,12)</f>
        <v>12</v>
      </c>
      <c r="E18" t="str">
        <v>2026-06-14</v>
      </c>
      <c r="F18" t="str">
        <v>Poland manufacturing wage benchmark Jun 2026, incl. social costs</v>
      </c>
      <c r="G18" t="str">
        <v>Low</v>
      </c>
      <c r="H18">
        <f>IFERROR(IF(OR(INDEX(Mapping!$C:$C,MATCH($A18,Mapping!$A:$A,0))="",INDEX(JLRrates!$C:$C,MATCH(INDEX(Mapping!$C:$C,MATCH($A18,Mapping!$A:$A,0)),JLRrates!$B:$B,0))=""),0,INDEX(JLRrates!$C:$C,MATCH(INDEX(Mapping!$C:$C,MATCH($A18,Mapping!$A:$A,0)),JLRrates!$B:$B,0))),0)</f>
        <v>0</v>
      </c>
    </row>
    <row r="19">
      <c r="A19" t="str">
        <v>lab-mx-skilled</v>
      </c>
      <c r="B19" t="str">
        <v>Mexico</v>
      </c>
      <c r="C19" t="str">
        <v>Skilled Machinist</v>
      </c>
      <c r="D19">
        <f>IF($H19&gt;0,$H19,7.5)</f>
        <v>7.5</v>
      </c>
      <c r="E19" t="str">
        <v>2026-06-14</v>
      </c>
      <c r="F19" t="str">
        <v>Mexico manufacturing wage benchmark Jun 2026 (IMSS included)</v>
      </c>
      <c r="G19" t="str">
        <v>Low</v>
      </c>
      <c r="H19">
        <f>IFERROR(IF(OR(INDEX(Mapping!$C:$C,MATCH($A19,Mapping!$A:$A,0))="",INDEX(JLRrates!$C:$C,MATCH(INDEX(Mapping!$C:$C,MATCH($A19,Mapping!$A:$A,0)),JLRrates!$B:$B,0))=""),0,INDEX(JLRrates!$C:$C,MATCH(INDEX(Mapping!$C:$C,MATCH($A19,Mapping!$A:$A,0)),JLRrates!$B:$B,0))),0)</f>
        <v>0</v>
      </c>
    </row>
    <row r="20">
      <c r="A20" t="str">
        <v>lab-uk-electronics</v>
      </c>
      <c r="B20" t="str">
        <v>UK</v>
      </c>
      <c r="C20" t="str">
        <v>SMT / Electronics Operator</v>
      </c>
      <c r="D20">
        <f>IF($H20&gt;0,$H20,17.5)</f>
        <v>17.5</v>
      </c>
      <c r="E20" t="str">
        <v>2026-06-14</v>
      </c>
      <c r="F20" t="str">
        <v>UK EMS operator wage benchmark Jun 2026, incl. NI + benefits</v>
      </c>
      <c r="G20" t="str">
        <v>Medium</v>
      </c>
      <c r="H20">
        <f>IFERROR(IF(OR(INDEX(Mapping!$C:$C,MATCH($A20,Mapping!$A:$A,0))="",INDEX(JLRrates!$C:$C,MATCH(INDEX(Mapping!$C:$C,MATCH($A20,Mapping!$A:$A,0)),JLRrates!$B:$B,0))=""),0,INDEX(JLRrates!$C:$C,MATCH(INDEX(Mapping!$C:$C,MATCH($A20,Mapping!$A:$A,0)),JLRrates!$B:$B,0))),0)</f>
        <v>0</v>
      </c>
    </row>
    <row r="21">
      <c r="A21" t="str">
        <v>lab-de-semiskilled</v>
      </c>
      <c r="B21" t="str">
        <v>Germany</v>
      </c>
      <c r="C21" t="str">
        <v>Semi-skilled Operator</v>
      </c>
      <c r="D21">
        <f>IF($H21&gt;0,$H21,32)</f>
        <v>32</v>
      </c>
      <c r="E21" t="str">
        <v>2026-06-14</v>
      </c>
      <c r="F21" t="str">
        <v>Germany IG Metall Lohngruppe 3 Jun 2026, incl. social costs</v>
      </c>
      <c r="G21" t="str">
        <v>Medium</v>
      </c>
      <c r="H21">
        <f>IFERROR(IF(OR(INDEX(Mapping!$C:$C,MATCH($A21,Mapping!$A:$A,0))="",INDEX(JLRrates!$C:$C,MATCH(INDEX(Mapping!$C:$C,MATCH($A21,Mapping!$A:$A,0)),JLRrates!$B:$B,0))=""),0,INDEX(JLRrates!$C:$C,MATCH(INDEX(Mapping!$C:$C,MATCH($A21,Mapping!$A:$A,0)),JLRrates!$B:$B,0))),0)</f>
        <v>0</v>
      </c>
    </row>
    <row r="22">
      <c r="A22" t="str">
        <v>lab-de-foundry</v>
      </c>
      <c r="B22" t="str">
        <v>Germany</v>
      </c>
      <c r="C22" t="str">
        <v>Foundry Operative</v>
      </c>
      <c r="D22">
        <f>IF($H22&gt;0,$H22,35)</f>
        <v>35</v>
      </c>
      <c r="E22" t="str">
        <v>2026-06-14</v>
      </c>
      <c r="F22" t="str">
        <v>Germany foundry Tarifvertrag Jun 2026, incl. social costs</v>
      </c>
      <c r="G22" t="str">
        <v>Medium</v>
      </c>
      <c r="H22">
        <f>IFERROR(IF(OR(INDEX(Mapping!$C:$C,MATCH($A22,Mapping!$A:$A,0))="",INDEX(JLRrates!$C:$C,MATCH(INDEX(Mapping!$C:$C,MATCH($A22,Mapping!$A:$A,0)),JLRrates!$B:$B,0))=""),0,INDEX(JLRrates!$C:$C,MATCH(INDEX(Mapping!$C:$C,MATCH($A22,Mapping!$A:$A,0)),JLRrates!$B:$B,0))),0)</f>
        <v>0</v>
      </c>
    </row>
    <row r="23">
      <c r="A23" t="str">
        <v>lab-de-electronics</v>
      </c>
      <c r="B23" t="str">
        <v>Germany</v>
      </c>
      <c r="C23" t="str">
        <v>SMT / Electronics Operator</v>
      </c>
      <c r="D23">
        <f>IF($H23&gt;0,$H23,30)</f>
        <v>30</v>
      </c>
      <c r="E23" t="str">
        <v>2026-06-14</v>
      </c>
      <c r="F23" t="str">
        <v>Germany EMS operator benchmark Jun 2026, incl. social costs</v>
      </c>
      <c r="G23" t="str">
        <v>Medium</v>
      </c>
      <c r="H23">
        <f>IFERROR(IF(OR(INDEX(Mapping!$C:$C,MATCH($A23,Mapping!$A:$A,0))="",INDEX(JLRrates!$C:$C,MATCH(INDEX(Mapping!$C:$C,MATCH($A23,Mapping!$A:$A,0)),JLRrates!$B:$B,0))=""),0,INDEX(JLRrates!$C:$C,MATCH(INDEX(Mapping!$C:$C,MATCH($A23,Mapping!$A:$A,0)),JLRrates!$B:$B,0))),0)</f>
        <v>0</v>
      </c>
    </row>
    <row r="24">
      <c r="A24" t="str">
        <v>lab-de-engineer</v>
      </c>
      <c r="B24" t="str">
        <v>Germany</v>
      </c>
      <c r="C24" t="str">
        <v>Process Engineer</v>
      </c>
      <c r="D24">
        <f>IF($H24&gt;0,$H24,65)</f>
        <v>65</v>
      </c>
      <c r="E24" t="str">
        <v>2026-06-14</v>
      </c>
      <c r="F24" t="str">
        <v>Germany engineering salary benchmark Jun 2026, incl. social costs</v>
      </c>
      <c r="G24" t="str">
        <v>Medium</v>
      </c>
      <c r="H24">
        <f>IFERROR(IF(OR(INDEX(Mapping!$C:$C,MATCH($A24,Mapping!$A:$A,0))="",INDEX(JLRrates!$C:$C,MATCH(INDEX(Mapping!$C:$C,MATCH($A24,Mapping!$A:$A,0)),JLRrates!$B:$B,0))=""),0,INDEX(JLRrates!$C:$C,MATCH(INDEX(Mapping!$C:$C,MATCH($A24,Mapping!$A:$A,0)),JLRrates!$B:$B,0))),0)</f>
        <v>0</v>
      </c>
    </row>
    <row r="25">
      <c r="A25" t="str">
        <v>lab-pl-semiskilled</v>
      </c>
      <c r="B25" t="str">
        <v>Poland</v>
      </c>
      <c r="C25" t="str">
        <v>Semi-skilled Operator</v>
      </c>
      <c r="D25">
        <f>IF($H25&gt;0,$H25,9)</f>
        <v>9</v>
      </c>
      <c r="E25" t="str">
        <v>2026-06-14</v>
      </c>
      <c r="F25" t="str">
        <v>Poland manufacturing wage benchmark Jun 2026, incl. social costs</v>
      </c>
      <c r="G25" t="str">
        <v>Low</v>
      </c>
      <c r="H25">
        <f>IFERROR(IF(OR(INDEX(Mapping!$C:$C,MATCH($A25,Mapping!$A:$A,0))="",INDEX(JLRrates!$C:$C,MATCH(INDEX(Mapping!$C:$C,MATCH($A25,Mapping!$A:$A,0)),JLRrates!$B:$B,0))=""),0,INDEX(JLRrates!$C:$C,MATCH(INDEX(Mapping!$C:$C,MATCH($A25,Mapping!$A:$A,0)),JLRrates!$B:$B,0))),0)</f>
        <v>0</v>
      </c>
    </row>
    <row r="26">
      <c r="A26" t="str">
        <v>lab-pl-electronics</v>
      </c>
      <c r="B26" t="str">
        <v>Poland</v>
      </c>
      <c r="C26" t="str">
        <v>SMT / Electronics Operator</v>
      </c>
      <c r="D26">
        <f>IF($H26&gt;0,$H26,10.5)</f>
        <v>10.5</v>
      </c>
      <c r="E26" t="str">
        <v>2026-06-14</v>
      </c>
      <c r="F26" t="str">
        <v>Poland EMS sector benchmark Jun 2026, incl. social costs</v>
      </c>
      <c r="G26" t="str">
        <v>Low</v>
      </c>
      <c r="H26">
        <f>IFERROR(IF(OR(INDEX(Mapping!$C:$C,MATCH($A26,Mapping!$A:$A,0))="",INDEX(JLRrates!$C:$C,MATCH(INDEX(Mapping!$C:$C,MATCH($A26,Mapping!$A:$A,0)),JLRrates!$B:$B,0))=""),0,INDEX(JLRrates!$C:$C,MATCH(INDEX(Mapping!$C:$C,MATCH($A26,Mapping!$A:$A,0)),JLRrates!$B:$B,0))),0)</f>
        <v>0</v>
      </c>
    </row>
    <row r="27">
      <c r="A27" t="str">
        <v>lab-pl-foundry</v>
      </c>
      <c r="B27" t="str">
        <v>Poland</v>
      </c>
      <c r="C27" t="str">
        <v>Foundry Operative</v>
      </c>
      <c r="D27">
        <f>IF($H27&gt;0,$H27,10)</f>
        <v>10</v>
      </c>
      <c r="E27" t="str">
        <v>2026-06-14</v>
      </c>
      <c r="F27" t="str">
        <v>Poland foundry wage benchmark Jun 2026, incl. social costs</v>
      </c>
      <c r="G27" t="str">
        <v>Low</v>
      </c>
      <c r="H27">
        <f>IFERROR(IF(OR(INDEX(Mapping!$C:$C,MATCH($A27,Mapping!$A:$A,0))="",INDEX(JLRrates!$C:$C,MATCH(INDEX(Mapping!$C:$C,MATCH($A27,Mapping!$A:$A,0)),JLRrates!$B:$B,0))=""),0,INDEX(JLRrates!$C:$C,MATCH(INDEX(Mapping!$C:$C,MATCH($A27,Mapping!$A:$A,0)),JLRrates!$B:$B,0))),0)</f>
        <v>0</v>
      </c>
    </row>
    <row r="28">
      <c r="A28" t="str">
        <v>lab-cn-semiskilled</v>
      </c>
      <c r="B28" t="str">
        <v>China</v>
      </c>
      <c r="C28" t="str">
        <v>Semi-skilled Operator</v>
      </c>
      <c r="D28">
        <f>IF($H28&gt;0,$H28,5.5)</f>
        <v>5.5</v>
      </c>
      <c r="E28" t="str">
        <v>2026-06-14</v>
      </c>
      <c r="F28" t="str">
        <v>China Pearl/Yangtze delta manufacturing wage benchmark Jun 2026</v>
      </c>
      <c r="G28" t="str">
        <v>Low</v>
      </c>
      <c r="H28">
        <f>IFERROR(IF(OR(INDEX(Mapping!$C:$C,MATCH($A28,Mapping!$A:$A,0))="",INDEX(JLRrates!$C:$C,MATCH(INDEX(Mapping!$C:$C,MATCH($A28,Mapping!$A:$A,0)),JLRrates!$B:$B,0))=""),0,INDEX(JLRrates!$C:$C,MATCH(INDEX(Mapping!$C:$C,MATCH($A28,Mapping!$A:$A,0)),JLRrates!$B:$B,0))),0)</f>
        <v>0</v>
      </c>
    </row>
    <row r="29">
      <c r="A29" t="str">
        <v>lab-cn-electronics</v>
      </c>
      <c r="B29" t="str">
        <v>China</v>
      </c>
      <c r="C29" t="str">
        <v>SMT / Electronics Operator</v>
      </c>
      <c r="D29">
        <f>IF($H29&gt;0,$H29,6.5)</f>
        <v>6.5</v>
      </c>
      <c r="E29" t="str">
        <v>2026-06-14</v>
      </c>
      <c r="F29" t="str">
        <v>China EMS operator benchmark Jun 2026 (Shenzhen/Suzhou)</v>
      </c>
      <c r="G29" t="str">
        <v>Low</v>
      </c>
      <c r="H29">
        <f>IFERROR(IF(OR(INDEX(Mapping!$C:$C,MATCH($A29,Mapping!$A:$A,0))="",INDEX(JLRrates!$C:$C,MATCH(INDEX(Mapping!$C:$C,MATCH($A29,Mapping!$A:$A,0)),JLRrates!$B:$B,0))=""),0,INDEX(JLRrates!$C:$C,MATCH(INDEX(Mapping!$C:$C,MATCH($A29,Mapping!$A:$A,0)),JLRrates!$B:$B,0))),0)</f>
        <v>0</v>
      </c>
    </row>
    <row r="30">
      <c r="A30" t="str">
        <v>lab-cn-engineer</v>
      </c>
      <c r="B30" t="str">
        <v>China</v>
      </c>
      <c r="C30" t="str">
        <v>Process Engineer</v>
      </c>
      <c r="D30">
        <f>IF($H30&gt;0,$H30,18)</f>
        <v>18</v>
      </c>
      <c r="E30" t="str">
        <v>2026-06-14</v>
      </c>
      <c r="F30" t="str">
        <v>China manufacturing engineer salary benchmark Jun 2026</v>
      </c>
      <c r="G30" t="str">
        <v>Low</v>
      </c>
      <c r="H30">
        <f>IFERROR(IF(OR(INDEX(Mapping!$C:$C,MATCH($A30,Mapping!$A:$A,0))="",INDEX(JLRrates!$C:$C,MATCH(INDEX(Mapping!$C:$C,MATCH($A30,Mapping!$A:$A,0)),JLRrates!$B:$B,0))=""),0,INDEX(JLRrates!$C:$C,MATCH(INDEX(Mapping!$C:$C,MATCH($A30,Mapping!$A:$A,0)),JLRrates!$B:$B,0))),0)</f>
        <v>0</v>
      </c>
    </row>
    <row r="31">
      <c r="A31" t="str">
        <v>lab-in-semiskilled</v>
      </c>
      <c r="B31" t="str">
        <v>India</v>
      </c>
      <c r="C31" t="str">
        <v>Semi-skilled Operator</v>
      </c>
      <c r="D31">
        <f>IF($H31&gt;0,$H31,3.5)</f>
        <v>3.5</v>
      </c>
      <c r="E31" t="str">
        <v>2026-06-14</v>
      </c>
      <c r="F31" t="str">
        <v>India manufacturing wage benchmark Jun 2026 (Pune/Chennai)</v>
      </c>
      <c r="G31" t="str">
        <v>Low</v>
      </c>
      <c r="H31">
        <f>IFERROR(IF(OR(INDEX(Mapping!$C:$C,MATCH($A31,Mapping!$A:$A,0))="",INDEX(JLRrates!$C:$C,MATCH(INDEX(Mapping!$C:$C,MATCH($A31,Mapping!$A:$A,0)),JLRrates!$B:$B,0))=""),0,INDEX(JLRrates!$C:$C,MATCH(INDEX(Mapping!$C:$C,MATCH($A31,Mapping!$A:$A,0)),JLRrates!$B:$B,0))),0)</f>
        <v>0</v>
      </c>
    </row>
    <row r="32">
      <c r="A32" t="str">
        <v>lab-in-electronics</v>
      </c>
      <c r="B32" t="str">
        <v>India</v>
      </c>
      <c r="C32" t="str">
        <v>SMT / Electronics Operator</v>
      </c>
      <c r="D32">
        <f>IF($H32&gt;0,$H32,4.5)</f>
        <v>4.5</v>
      </c>
      <c r="E32" t="str">
        <v>2026-06-14</v>
      </c>
      <c r="F32" t="str">
        <v>India EMS operator benchmark Jun 2026 (Bangalore/Chennai)</v>
      </c>
      <c r="G32" t="str">
        <v>Low</v>
      </c>
      <c r="H32">
        <f>IFERROR(IF(OR(INDEX(Mapping!$C:$C,MATCH($A32,Mapping!$A:$A,0))="",INDEX(JLRrates!$C:$C,MATCH(INDEX(Mapping!$C:$C,MATCH($A32,Mapping!$A:$A,0)),JLRrates!$B:$B,0))=""),0,INDEX(JLRrates!$C:$C,MATCH(INDEX(Mapping!$C:$C,MATCH($A32,Mapping!$A:$A,0)),JLRrates!$B:$B,0))),0)</f>
        <v>0</v>
      </c>
    </row>
    <row r="33">
      <c r="A33" t="str">
        <v>lab-in-engineer</v>
      </c>
      <c r="B33" t="str">
        <v>India</v>
      </c>
      <c r="C33" t="str">
        <v>Process Engineer</v>
      </c>
      <c r="D33">
        <f>IF($H33&gt;0,$H33,12)</f>
        <v>12</v>
      </c>
      <c r="E33" t="str">
        <v>2026-06-14</v>
      </c>
      <c r="F33" t="str">
        <v>India manufacturing engineer salary benchmark Jun 2026</v>
      </c>
      <c r="G33" t="str">
        <v>Low</v>
      </c>
      <c r="H33">
        <f>IFERROR(IF(OR(INDEX(Mapping!$C:$C,MATCH($A33,Mapping!$A:$A,0))="",INDEX(JLRrates!$C:$C,MATCH(INDEX(Mapping!$C:$C,MATCH($A33,Mapping!$A:$A,0)),JLRrates!$B:$B,0))=""),0,INDEX(JLRrates!$C:$C,MATCH(INDEX(Mapping!$C:$C,MATCH($A33,Mapping!$A:$A,0)),JLRrates!$B:$B,0))),0)</f>
        <v>0</v>
      </c>
    </row>
    <row r="34">
      <c r="A34" t="str">
        <v>lab-mx-semiskilled</v>
      </c>
      <c r="B34" t="str">
        <v>Mexico</v>
      </c>
      <c r="C34" t="str">
        <v>Semi-skilled Operator</v>
      </c>
      <c r="D34">
        <f>IF($H34&gt;0,$H34,5.8)</f>
        <v>5.8</v>
      </c>
      <c r="E34" t="str">
        <v>2026-06-14</v>
      </c>
      <c r="F34" t="str">
        <v>Mexico manufacturing wage benchmark Jun 2026 (Monterrey/Juárez, IMSS included)</v>
      </c>
      <c r="G34" t="str">
        <v>Low</v>
      </c>
      <c r="H34">
        <f>IFERROR(IF(OR(INDEX(Mapping!$C:$C,MATCH($A34,Mapping!$A:$A,0))="",INDEX(JLRrates!$C:$C,MATCH(INDEX(Mapping!$C:$C,MATCH($A34,Mapping!$A:$A,0)),JLRrates!$B:$B,0))=""),0,INDEX(JLRrates!$C:$C,MATCH(INDEX(Mapping!$C:$C,MATCH($A34,Mapping!$A:$A,0)),JLRrates!$B:$B,0))),0)</f>
        <v>0</v>
      </c>
    </row>
    <row r="35">
      <c r="A35" t="str">
        <v>lab-mx-electronics</v>
      </c>
      <c r="B35" t="str">
        <v>Mexico</v>
      </c>
      <c r="C35" t="str">
        <v>SMT / Electronics Operator</v>
      </c>
      <c r="D35">
        <f>IF($H35&gt;0,$H35,6.5)</f>
        <v>6.5</v>
      </c>
      <c r="E35" t="str">
        <v>2026-06-14</v>
      </c>
      <c r="F35" t="str">
        <v>Mexico EMS operator benchmark Jun 2026 (Juárez/Tijuana, IMSS included)</v>
      </c>
      <c r="G35" t="str">
        <v>Low</v>
      </c>
      <c r="H35">
        <f>IFERROR(IF(OR(INDEX(Mapping!$C:$C,MATCH($A35,Mapping!$A:$A,0))="",INDEX(JLRrates!$C:$C,MATCH(INDEX(Mapping!$C:$C,MATCH($A35,Mapping!$A:$A,0)),JLRrates!$B:$B,0))=""),0,INDEX(JLRrates!$C:$C,MATCH(INDEX(Mapping!$C:$C,MATCH($A35,Mapping!$A:$A,0)),JLRrates!$B:$B,0))),0)</f>
        <v>0</v>
      </c>
    </row>
    <row r="36">
      <c r="A36" t="str">
        <v>lab-tr-skilled</v>
      </c>
      <c r="B36" t="str">
        <v>Turkey</v>
      </c>
      <c r="C36" t="str">
        <v>Skilled Machinist</v>
      </c>
      <c r="D36">
        <f>IF($H36&gt;0,$H36,8.5)</f>
        <v>8.5</v>
      </c>
      <c r="E36" t="str">
        <v>2026-06-14</v>
      </c>
      <c r="F36" t="str">
        <v>Turkey manufacturing wage benchmark Jun 2026 (Bursa/İzmir, SGK included)</v>
      </c>
      <c r="G36" t="str">
        <v>Low</v>
      </c>
      <c r="H36">
        <f>IFERROR(IF(OR(INDEX(Mapping!$C:$C,MATCH($A36,Mapping!$A:$A,0))="",INDEX(JLRrates!$C:$C,MATCH(INDEX(Mapping!$C:$C,MATCH($A36,Mapping!$A:$A,0)),JLRrates!$B:$B,0))=""),0,INDEX(JLRrates!$C:$C,MATCH(INDEX(Mapping!$C:$C,MATCH($A36,Mapping!$A:$A,0)),JLRrates!$B:$B,0))),0)</f>
        <v>0</v>
      </c>
    </row>
    <row r="37">
      <c r="A37" t="str">
        <v>lab-tr-semiskilled</v>
      </c>
      <c r="B37" t="str">
        <v>Turkey</v>
      </c>
      <c r="C37" t="str">
        <v>Semi-skilled Operator</v>
      </c>
      <c r="D37">
        <f>IF($H37&gt;0,$H37,6)</f>
        <v>6</v>
      </c>
      <c r="E37" t="str">
        <v>2026-06-14</v>
      </c>
      <c r="F37" t="str">
        <v>Turkey manufacturing wage benchmark Jun 2026 (SGK included)</v>
      </c>
      <c r="G37" t="str">
        <v>Low</v>
      </c>
      <c r="H37">
        <f>IFERROR(IF(OR(INDEX(Mapping!$C:$C,MATCH($A37,Mapping!$A:$A,0))="",INDEX(JLRrates!$C:$C,MATCH(INDEX(Mapping!$C:$C,MATCH($A37,Mapping!$A:$A,0)),JLRrates!$B:$B,0))=""),0,INDEX(JLRrates!$C:$C,MATCH(INDEX(Mapping!$C:$C,MATCH($A37,Mapping!$A:$A,0)),JLRrates!$B:$B,0))),0)</f>
        <v>0</v>
      </c>
    </row>
    <row r="38">
      <c r="A38" t="str">
        <v>lab-vn-skilled</v>
      </c>
      <c r="B38" t="str">
        <v>Vietnam</v>
      </c>
      <c r="C38" t="str">
        <v>Skilled Machinist</v>
      </c>
      <c r="D38">
        <f>IF($H38&gt;0,$H38,4)</f>
        <v>4</v>
      </c>
      <c r="E38" t="str">
        <v>2026-06-14</v>
      </c>
      <c r="F38" t="str">
        <v>Vietnam manufacturing wage benchmark Jun 2026 (Ho Chi Minh / Hanoi)</v>
      </c>
      <c r="G38" t="str">
        <v>Low</v>
      </c>
      <c r="H38">
        <f>IFERROR(IF(OR(INDEX(Mapping!$C:$C,MATCH($A38,Mapping!$A:$A,0))="",INDEX(JLRrates!$C:$C,MATCH(INDEX(Mapping!$C:$C,MATCH($A38,Mapping!$A:$A,0)),JLRrates!$B:$B,0))=""),0,INDEX(JLRrates!$C:$C,MATCH(INDEX(Mapping!$C:$C,MATCH($A38,Mapping!$A:$A,0)),JLRrates!$B:$B,0))),0)</f>
        <v>0</v>
      </c>
    </row>
    <row r="39">
      <c r="A39" t="str">
        <v>lab-vn-semiskilled</v>
      </c>
      <c r="B39" t="str">
        <v>Vietnam</v>
      </c>
      <c r="C39" t="str">
        <v>Semi-skilled Operator</v>
      </c>
      <c r="D39">
        <f>IF($H39&gt;0,$H39,2.8)</f>
        <v>2.8</v>
      </c>
      <c r="E39" t="str">
        <v>2026-06-14</v>
      </c>
      <c r="F39" t="str">
        <v>Vietnam manufacturing wage benchmark Jun 2026</v>
      </c>
      <c r="G39" t="str">
        <v>Low</v>
      </c>
      <c r="H39">
        <f>IFERROR(IF(OR(INDEX(Mapping!$C:$C,MATCH($A39,Mapping!$A:$A,0))="",INDEX(JLRrates!$C:$C,MATCH(INDEX(Mapping!$C:$C,MATCH($A39,Mapping!$A:$A,0)),JLRrates!$B:$B,0))=""),0,INDEX(JLRrates!$C:$C,MATCH(INDEX(Mapping!$C:$C,MATCH($A39,Mapping!$A:$A,0)),JLRrates!$B:$B,0))),0)</f>
        <v>0</v>
      </c>
    </row>
    <row r="40">
      <c r="A40" t="str">
        <v>lab-kr-skilled</v>
      </c>
      <c r="B40" t="str">
        <v>South Korea</v>
      </c>
      <c r="C40" t="str">
        <v>Skilled Machinist</v>
      </c>
      <c r="D40">
        <f>IF($H40&gt;0,$H40,22)</f>
        <v>22</v>
      </c>
      <c r="E40" t="str">
        <v>2026-06-14</v>
      </c>
      <c r="F40" t="str">
        <v>Korea manufacturing wage benchmark Jun 2026 (Ulsan/Busan, incl. health + pension)</v>
      </c>
      <c r="G40" t="str">
        <v>Low</v>
      </c>
      <c r="H40">
        <f>IFERROR(IF(OR(INDEX(Mapping!$C:$C,MATCH($A40,Mapping!$A:$A,0))="",INDEX(JLRrates!$C:$C,MATCH(INDEX(Mapping!$C:$C,MATCH($A40,Mapping!$A:$A,0)),JLRrates!$B:$B,0))=""),0,INDEX(JLRrates!$C:$C,MATCH(INDEX(Mapping!$C:$C,MATCH($A40,Mapping!$A:$A,0)),JLRrates!$B:$B,0))),0)</f>
        <v>0</v>
      </c>
    </row>
    <row r="41">
      <c r="A41" t="str">
        <v>lab-kr-electronics</v>
      </c>
      <c r="B41" t="str">
        <v>South Korea</v>
      </c>
      <c r="C41" t="str">
        <v>SMT / Electronics Operator</v>
      </c>
      <c r="D41">
        <f>IF($H41&gt;0,$H41,18.5)</f>
        <v>18.5</v>
      </c>
      <c r="E41" t="str">
        <v>2026-06-14</v>
      </c>
      <c r="F41" t="str">
        <v>Korea EMS operator benchmark Jun 2026 (Suwon/Gumi)</v>
      </c>
      <c r="G41" t="str">
        <v>Low</v>
      </c>
      <c r="H41">
        <f>IFERROR(IF(OR(INDEX(Mapping!$C:$C,MATCH($A41,Mapping!$A:$A,0))="",INDEX(JLRrates!$C:$C,MATCH(INDEX(Mapping!$C:$C,MATCH($A41,Mapping!$A:$A,0)),JLRrates!$B:$B,0))=""),0,INDEX(JLRrates!$C:$C,MATCH(INDEX(Mapping!$C:$C,MATCH($A41,Mapping!$A:$A,0)),JLRrates!$B:$B,0))),0)</f>
        <v>0</v>
      </c>
    </row>
    <row r="42">
      <c r="A42" t="str">
        <v>lab-ro-skilled</v>
      </c>
      <c r="B42" t="str">
        <v>Romania</v>
      </c>
      <c r="C42" t="str">
        <v>Skilled Machinist</v>
      </c>
      <c r="D42">
        <f>IF($H42&gt;0,$H42,8)</f>
        <v>8</v>
      </c>
      <c r="E42" t="str">
        <v>2026-06-14</v>
      </c>
      <c r="F42" t="str">
        <v>Romania manufacturing wage benchmark Jun 2026 (Cluj/Timișoara, CAS included)</v>
      </c>
      <c r="G42" t="str">
        <v>Low</v>
      </c>
      <c r="H42">
        <f>IFERROR(IF(OR(INDEX(Mapping!$C:$C,MATCH($A42,Mapping!$A:$A,0))="",INDEX(JLRrates!$C:$C,MATCH(INDEX(Mapping!$C:$C,MATCH($A42,Mapping!$A:$A,0)),JLRrates!$B:$B,0))=""),0,INDEX(JLRrates!$C:$C,MATCH(INDEX(Mapping!$C:$C,MATCH($A42,Mapping!$A:$A,0)),JLRrates!$B:$B,0))),0)</f>
        <v>0</v>
      </c>
    </row>
    <row r="43">
      <c r="A43" t="str">
        <v>lab-ro-semiskilled</v>
      </c>
      <c r="B43" t="str">
        <v>Romania</v>
      </c>
      <c r="C43" t="str">
        <v>Semi-skilled Operator</v>
      </c>
      <c r="D43">
        <f>IF($H43&gt;0,$H43,6.5)</f>
        <v>6.5</v>
      </c>
      <c r="E43" t="str">
        <v>2026-06-14</v>
      </c>
      <c r="F43" t="str">
        <v>Romania manufacturing wage benchmark Jun 2026 (CAS included)</v>
      </c>
      <c r="G43" t="str">
        <v>Low</v>
      </c>
      <c r="H43">
        <f>IFERROR(IF(OR(INDEX(Mapping!$C:$C,MATCH($A43,Mapping!$A:$A,0))="",INDEX(JLRrates!$C:$C,MATCH(INDEX(Mapping!$C:$C,MATCH($A43,Mapping!$A:$A,0)),JLRrates!$B:$B,0))=""),0,INDEX(JLRrates!$C:$C,MATCH(INDEX(Mapping!$C:$C,MATCH($A43,Mapping!$A:$A,0)),JLRrates!$B:$B,0))),0)</f>
        <v>0</v>
      </c>
    </row>
  </sheetData>
  <ignoredErrors>
    <ignoredError numberStoredAsText="1" sqref="A1:H43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G12"/>
  <sheetViews>
    <sheetView workbookViewId="0"/>
  </sheetViews>
  <cols>
    <col min="1" max="1" width="22.83203125" customWidth="1"/>
    <col min="2" max="2" width="12.83203125" customWidth="1"/>
    <col min="3" max="3" width="18.83203125" customWidth="1"/>
    <col min="4" max="4" width="14.83203125" customWidth="1"/>
    <col min="5" max="5" width="14.83203125" customWidth="1"/>
    <col min="6" max="6" width="36.83203125" customWidth="1"/>
    <col min="7" max="7" width="12.83203125" customWidth="1"/>
  </cols>
  <sheetData>
    <row r="1">
      <c r="A1" t="str">
        <v>id</v>
      </c>
      <c r="B1" t="str">
        <v>region</v>
      </c>
      <c r="C1" t="str">
        <v>electricityPerKwh</v>
      </c>
      <c r="D1" t="str">
        <v>gasPerKwh</v>
      </c>
      <c r="E1" t="str">
        <v>effectiveDate</v>
      </c>
      <c r="F1" t="str">
        <v>sourceNote</v>
      </c>
      <c r="G1" t="str">
        <v>confidence</v>
      </c>
    </row>
    <row r="2">
      <c r="A2" t="str">
        <v>energy-uk</v>
      </c>
      <c r="B2" t="str">
        <v>UK</v>
      </c>
      <c r="C2">
        <v>0.23</v>
      </c>
      <c r="D2">
        <v>0.04</v>
      </c>
      <c r="E2" t="str">
        <v>2026-08-13</v>
      </c>
      <c r="F2" t="str">
        <v>Electricity: Ofgem industrial tariff Q1 2026. Gas CORRECTED 2026-08: DESNZ Quarterly Energy Prices puts manufacturing-sector gas at 3.5-3.7 p/kWh; the previous 6.5 p was a non-industrial figure and over-stated every gas-fired furnace.</v>
      </c>
      <c r="G2" t="str">
        <v>High</v>
      </c>
    </row>
    <row r="3">
      <c r="A3" t="str">
        <v>energy-eu</v>
      </c>
      <c r="B3" t="str">
        <v>EU</v>
      </c>
      <c r="C3">
        <v>0.185</v>
      </c>
      <c r="D3">
        <v>0.045</v>
      </c>
      <c r="E3" t="str">
        <v>2026-06-14</v>
      </c>
      <c r="F3" t="str">
        <v>Eurostat industrial energy Q1 2026</v>
      </c>
      <c r="G3" t="str">
        <v>Medium</v>
      </c>
    </row>
    <row r="4">
      <c r="A4" t="str">
        <v>energy-de</v>
      </c>
      <c r="B4" t="str">
        <v>Germany</v>
      </c>
      <c r="C4">
        <v>0.2</v>
      </c>
      <c r="D4">
        <v>0.047</v>
      </c>
      <c r="E4" t="str">
        <v>2026-06-14</v>
      </c>
      <c r="F4" t="str">
        <v>Bundesnetzagentur industrial tariff Q1 2026</v>
      </c>
      <c r="G4" t="str">
        <v>Medium</v>
      </c>
    </row>
    <row r="5">
      <c r="A5" t="str">
        <v>energy-pl</v>
      </c>
      <c r="B5" t="str">
        <v>Poland</v>
      </c>
      <c r="C5">
        <v>0.12</v>
      </c>
      <c r="D5">
        <v>0.04</v>
      </c>
      <c r="E5" t="str">
        <v>2026-06-14</v>
      </c>
      <c r="F5" t="str">
        <v>URE Poland industrial energy Q1 2026</v>
      </c>
      <c r="G5" t="str">
        <v>Low</v>
      </c>
    </row>
    <row r="6">
      <c r="A6" t="str">
        <v>energy-cn</v>
      </c>
      <c r="B6" t="str">
        <v>China</v>
      </c>
      <c r="C6">
        <v>0.06</v>
      </c>
      <c r="D6">
        <v>0.025</v>
      </c>
      <c r="E6" t="str">
        <v>2026-06-14</v>
      </c>
      <c r="F6" t="str">
        <v>NDRC China industrial electricity benchmark Jun 2026</v>
      </c>
      <c r="G6" t="str">
        <v>Low</v>
      </c>
    </row>
    <row r="7">
      <c r="A7" t="str">
        <v>energy-in</v>
      </c>
      <c r="B7" t="str">
        <v>India</v>
      </c>
      <c r="C7">
        <v>0.08</v>
      </c>
      <c r="D7">
        <v>0.02</v>
      </c>
      <c r="E7" t="str">
        <v>2026-06-14</v>
      </c>
      <c r="F7" t="str">
        <v>India industrial electricity benchmark Jun 2026 (MSEDCL/TNEB avg)</v>
      </c>
      <c r="G7" t="str">
        <v>Low</v>
      </c>
    </row>
    <row r="8">
      <c r="A8" t="str">
        <v>energy-mx</v>
      </c>
      <c r="B8" t="str">
        <v>Mexico</v>
      </c>
      <c r="C8">
        <v>0.09</v>
      </c>
      <c r="D8">
        <v>0.03</v>
      </c>
      <c r="E8" t="str">
        <v>2026-06-14</v>
      </c>
      <c r="F8" t="str">
        <v>CFE Mexico industrial tariff Jun 2026</v>
      </c>
      <c r="G8" t="str">
        <v>Low</v>
      </c>
    </row>
    <row r="9">
      <c r="A9" t="str">
        <v>energy-tr</v>
      </c>
      <c r="B9" t="str">
        <v>Turkey</v>
      </c>
      <c r="C9">
        <v>0.11</v>
      </c>
      <c r="D9">
        <v>0.038</v>
      </c>
      <c r="E9" t="str">
        <v>2026-06-14</v>
      </c>
      <c r="F9" t="str">
        <v>EPDK Turkey industrial tariff Jun 2026</v>
      </c>
      <c r="G9" t="str">
        <v>Low</v>
      </c>
    </row>
    <row r="10">
      <c r="A10" t="str">
        <v>energy-kr</v>
      </c>
      <c r="B10" t="str">
        <v>South Korea</v>
      </c>
      <c r="C10">
        <v>0.09</v>
      </c>
      <c r="D10">
        <v>0.032</v>
      </c>
      <c r="E10" t="str">
        <v>2026-06-14</v>
      </c>
      <c r="F10" t="str">
        <v>KEPCO Korea industrial tariff Jun 2026</v>
      </c>
      <c r="G10" t="str">
        <v>Low</v>
      </c>
    </row>
    <row r="11">
      <c r="A11" t="str">
        <v>energy-vn</v>
      </c>
      <c r="B11" t="str">
        <v>Vietnam</v>
      </c>
      <c r="C11">
        <v>0.07</v>
      </c>
      <c r="D11">
        <v>0.018</v>
      </c>
      <c r="E11" t="str">
        <v>2026-06-14</v>
      </c>
      <c r="F11" t="str">
        <v>EVN Vietnam industrial electricity benchmark Jun 2026</v>
      </c>
      <c r="G11" t="str">
        <v>Low</v>
      </c>
    </row>
    <row r="12">
      <c r="A12" t="str">
        <v>energy-ro</v>
      </c>
      <c r="B12" t="str">
        <v>Romania</v>
      </c>
      <c r="C12">
        <v>0.11</v>
      </c>
      <c r="D12">
        <v>0.042</v>
      </c>
      <c r="E12" t="str">
        <v>2026-06-14</v>
      </c>
      <c r="F12" t="str">
        <v>ANRE Romania industrial tariff Jun 2026</v>
      </c>
      <c r="G12" t="str">
        <v>Low</v>
      </c>
    </row>
  </sheetData>
  <ignoredErrors>
    <ignoredError numberStoredAsText="1" sqref="A1:G12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F10"/>
  <sheetViews>
    <sheetView workbookViewId="0"/>
  </sheetViews>
  <cols>
    <col min="1" max="1" width="16.83203125" customWidth="1"/>
    <col min="2" max="2" width="14.83203125" customWidth="1"/>
    <col min="3" max="3" width="12.83203125" customWidth="1"/>
    <col min="4" max="4" width="12.83203125" customWidth="1"/>
    <col min="5" max="5" width="14.83203125" customWidth="1"/>
    <col min="6" max="6" width="36.83203125" customWidth="1"/>
  </cols>
  <sheetData>
    <row r="1">
      <c r="A1" t="str">
        <v>id</v>
      </c>
      <c r="B1" t="str">
        <v>fromCurrency</v>
      </c>
      <c r="C1" t="str">
        <v>toCurrency</v>
      </c>
      <c r="D1" t="str">
        <v>rate</v>
      </c>
      <c r="E1" t="str">
        <v>effectiveDate</v>
      </c>
      <c r="F1" t="str">
        <v>sourceNote</v>
      </c>
    </row>
    <row r="2">
      <c r="A2" t="str">
        <v>fx-gbp-eur</v>
      </c>
      <c r="B2" t="str">
        <v>GBP</v>
      </c>
      <c r="C2" t="str">
        <v>EUR</v>
      </c>
      <c r="D2">
        <v>1.16</v>
      </c>
      <c r="E2" t="str">
        <v>2026-06-14</v>
      </c>
      <c r="F2" t="str">
        <v>BOE spot Jun 2026</v>
      </c>
    </row>
    <row r="3">
      <c r="A3" t="str">
        <v>fx-gbp-usd</v>
      </c>
      <c r="B3" t="str">
        <v>GBP</v>
      </c>
      <c r="C3" t="str">
        <v>USD</v>
      </c>
      <c r="D3">
        <v>1.27</v>
      </c>
      <c r="E3" t="str">
        <v>2026-06-14</v>
      </c>
      <c r="F3" t="str">
        <v>BOE spot Jun 2026</v>
      </c>
    </row>
    <row r="4">
      <c r="A4" t="str">
        <v>fx-gbp-inr</v>
      </c>
      <c r="B4" t="str">
        <v>GBP</v>
      </c>
      <c r="C4" t="str">
        <v>INR</v>
      </c>
      <c r="D4">
        <v>109.5</v>
      </c>
      <c r="E4" t="str">
        <v>2026-06-14</v>
      </c>
      <c r="F4" t="str">
        <v>BOE spot Jun 2026</v>
      </c>
    </row>
    <row r="5">
      <c r="A5" t="str">
        <v>fx-gbp-cny</v>
      </c>
      <c r="B5" t="str">
        <v>GBP</v>
      </c>
      <c r="C5" t="str">
        <v>CNY</v>
      </c>
      <c r="D5">
        <v>9.05</v>
      </c>
      <c r="E5" t="str">
        <v>2026-06-14</v>
      </c>
      <c r="F5" t="str">
        <v>BOE spot Jun 2026</v>
      </c>
    </row>
    <row r="6">
      <c r="A6" t="str">
        <v>fx-gbp-mxn</v>
      </c>
      <c r="B6" t="str">
        <v>GBP</v>
      </c>
      <c r="C6" t="str">
        <v>MXN</v>
      </c>
      <c r="D6">
        <v>25.5</v>
      </c>
      <c r="E6" t="str">
        <v>2026-06-14</v>
      </c>
      <c r="F6" t="str">
        <v>BOE spot Jun 2026</v>
      </c>
    </row>
    <row r="7">
      <c r="A7" t="str">
        <v>fx-gbp-thb</v>
      </c>
      <c r="B7" t="str">
        <v>GBP</v>
      </c>
      <c r="C7" t="str">
        <v>THB</v>
      </c>
      <c r="D7">
        <v>45.5</v>
      </c>
      <c r="E7" t="str">
        <v>2026-06-14</v>
      </c>
      <c r="F7" t="str">
        <v>BOE spot Jun 2026</v>
      </c>
    </row>
    <row r="8">
      <c r="A8" t="str">
        <v>fx-gbp-vnd</v>
      </c>
      <c r="B8" t="str">
        <v>GBP</v>
      </c>
      <c r="C8" t="str">
        <v>VND</v>
      </c>
      <c r="D8">
        <v>33800</v>
      </c>
      <c r="E8" t="str">
        <v>2026-06-14</v>
      </c>
      <c r="F8" t="str">
        <v>BOE spot Jun 2026</v>
      </c>
    </row>
    <row r="9">
      <c r="A9" t="str">
        <v>fx-gbp-brl</v>
      </c>
      <c r="B9" t="str">
        <v>GBP</v>
      </c>
      <c r="C9" t="str">
        <v>BRL</v>
      </c>
      <c r="D9">
        <v>6.85</v>
      </c>
      <c r="E9" t="str">
        <v>2026-06-14</v>
      </c>
      <c r="F9" t="str">
        <v>BOE spot Jun 2026</v>
      </c>
    </row>
    <row r="10">
      <c r="A10" t="str">
        <v>fx-gbp-krw</v>
      </c>
      <c r="B10" t="str">
        <v>GBP</v>
      </c>
      <c r="C10" t="str">
        <v>KRW</v>
      </c>
      <c r="D10">
        <v>1790</v>
      </c>
      <c r="E10" t="str">
        <v>2026-06-14</v>
      </c>
      <c r="F10" t="str">
        <v>BOE spot Jun 2026</v>
      </c>
    </row>
  </sheetData>
  <ignoredErrors>
    <ignoredError numberStoredAsText="1" sqref="A1:F10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F24"/>
  <sheetViews>
    <sheetView workbookViewId="0"/>
  </sheetViews>
  <cols>
    <col min="1" max="1" width="22.83203125" customWidth="1"/>
    <col min="2" max="2" width="20.83203125" customWidth="1"/>
    <col min="3" max="3" width="16.83203125" customWidth="1"/>
    <col min="4" max="4" width="12.83203125" customWidth="1"/>
    <col min="5" max="5" width="12.83203125" customWidth="1"/>
    <col min="6" max="6" width="36.83203125" customWidth="1"/>
  </cols>
  <sheetData>
    <row r="1">
      <c r="A1" t="str">
        <v>id</v>
      </c>
      <c r="B1" t="str">
        <v>commodityType</v>
      </c>
      <c r="C1" t="str">
        <v>supplierTier</v>
      </c>
      <c r="D1" t="str">
        <v>overheadPct</v>
      </c>
      <c r="E1" t="str">
        <v>marginPct</v>
      </c>
      <c r="F1" t="str">
        <v>sourceNote</v>
      </c>
    </row>
    <row r="2">
      <c r="A2" t="str">
        <v>oh-machining-t2</v>
      </c>
      <c r="B2" t="str">
        <v>machining</v>
      </c>
      <c r="C2" t="str">
        <v>Tier 2</v>
      </c>
      <c r="D2">
        <v>0.12</v>
      </c>
      <c r="E2">
        <v>0.08</v>
      </c>
      <c r="F2" t="str">
        <v>Industry benchmark</v>
      </c>
    </row>
    <row r="3">
      <c r="A3" t="str">
        <v>oh-machining-t1</v>
      </c>
      <c r="B3" t="str">
        <v>machining</v>
      </c>
      <c r="C3" t="str">
        <v>Tier 1</v>
      </c>
      <c r="D3">
        <v>0.15</v>
      </c>
      <c r="E3">
        <v>0.1</v>
      </c>
      <c r="F3" t="str">
        <v>Industry benchmark</v>
      </c>
    </row>
    <row r="4">
      <c r="A4" t="str">
        <v>oh-sheet-metal-t2</v>
      </c>
      <c r="B4" t="str">
        <v>sheet_metal</v>
      </c>
      <c r="C4" t="str">
        <v>Tier 2</v>
      </c>
      <c r="D4">
        <v>0.1</v>
      </c>
      <c r="E4">
        <v>0.07</v>
      </c>
      <c r="F4" t="str">
        <v>Industry benchmark</v>
      </c>
    </row>
    <row r="5">
      <c r="A5" t="str">
        <v>oh-injection-moulding-t2</v>
      </c>
      <c r="B5" t="str">
        <v>injection_moulding</v>
      </c>
      <c r="C5" t="str">
        <v>Tier 2</v>
      </c>
      <c r="D5">
        <v>0.11</v>
      </c>
      <c r="E5">
        <v>0.08</v>
      </c>
      <c r="F5" t="str">
        <v>Industry benchmark</v>
      </c>
    </row>
    <row r="6">
      <c r="A6" t="str">
        <v>oh-casting-t2</v>
      </c>
      <c r="B6" t="str">
        <v>casting</v>
      </c>
      <c r="C6" t="str">
        <v>Tier 2</v>
      </c>
      <c r="D6">
        <v>0.1</v>
      </c>
      <c r="E6">
        <v>0.08</v>
      </c>
      <c r="F6" t="str">
        <v>Industry benchmark</v>
      </c>
    </row>
    <row r="7">
      <c r="A7" t="str">
        <v>oh-forging-t2</v>
      </c>
      <c r="B7" t="str">
        <v>forging</v>
      </c>
      <c r="C7" t="str">
        <v>Tier 2</v>
      </c>
      <c r="D7">
        <v>0.12</v>
      </c>
      <c r="E7">
        <v>0.08</v>
      </c>
      <c r="F7" t="str">
        <v>Industry benchmark</v>
      </c>
    </row>
    <row r="8">
      <c r="A8" t="str">
        <v>oh-painting-t2</v>
      </c>
      <c r="B8" t="str">
        <v>painting</v>
      </c>
      <c r="C8" t="str">
        <v>Tier 2</v>
      </c>
      <c r="D8">
        <v>0.08</v>
      </c>
      <c r="E8">
        <v>0.06</v>
      </c>
      <c r="F8" t="str">
        <v>Industry benchmark</v>
      </c>
    </row>
    <row r="9">
      <c r="A9" t="str">
        <v>oh-biw-t2</v>
      </c>
      <c r="B9" t="str">
        <v>biw_assembly</v>
      </c>
      <c r="C9" t="str">
        <v>Tier 2</v>
      </c>
      <c r="D9">
        <v>0.1</v>
      </c>
      <c r="E9">
        <v>0.07</v>
      </c>
      <c r="F9" t="str">
        <v>Industry benchmark</v>
      </c>
    </row>
    <row r="10">
      <c r="A10" t="str">
        <v>oh-pcb-fab-t2</v>
      </c>
      <c r="B10" t="str">
        <v>pcb_fab</v>
      </c>
      <c r="C10" t="str">
        <v>Tier 2</v>
      </c>
      <c r="D10">
        <v>0.08</v>
      </c>
      <c r="E10">
        <v>0.1</v>
      </c>
      <c r="F10" t="str">
        <v>Industry benchmark</v>
      </c>
    </row>
    <row r="11">
      <c r="A11" t="str">
        <v>oh-pcba-t2</v>
      </c>
      <c r="B11" t="str">
        <v>pcba</v>
      </c>
      <c r="C11" t="str">
        <v>Tier 2</v>
      </c>
      <c r="D11">
        <v>0.08</v>
      </c>
      <c r="E11">
        <v>0.1</v>
      </c>
      <c r="F11" t="str">
        <v>Industry benchmark</v>
      </c>
    </row>
    <row r="12">
      <c r="A12" t="str">
        <v>oh-cast-and-machine-t2</v>
      </c>
      <c r="B12" t="str">
        <v>cast_and_machine</v>
      </c>
      <c r="C12" t="str">
        <v>Tier 2</v>
      </c>
      <c r="D12">
        <v>0.12</v>
      </c>
      <c r="E12">
        <v>0.09</v>
      </c>
      <c r="F12" t="str">
        <v>Industry benchmark</v>
      </c>
    </row>
    <row r="13">
      <c r="A13" t="str">
        <v>oh-blow-moulding-t2</v>
      </c>
      <c r="B13" t="str">
        <v>blow_moulding</v>
      </c>
      <c r="C13" t="str">
        <v>Tier 2</v>
      </c>
      <c r="D13">
        <v>0.1</v>
      </c>
      <c r="E13">
        <v>0.08</v>
      </c>
      <c r="F13" t="str">
        <v>Industry benchmark</v>
      </c>
    </row>
    <row r="14">
      <c r="A14" t="str">
        <v>oh-extrusion-t1</v>
      </c>
      <c r="B14" t="str">
        <v>extrusion</v>
      </c>
      <c r="C14" t="str">
        <v>Tier 1</v>
      </c>
      <c r="D14">
        <v>0.12</v>
      </c>
      <c r="E14">
        <v>0.1</v>
      </c>
      <c r="F14" t="str">
        <v>Industry benchmark — Tier-1/OEM in-house extrusion (higher overhead, full validation)</v>
      </c>
    </row>
    <row r="15">
      <c r="A15" t="str">
        <v>oh-extrusion-t2</v>
      </c>
      <c r="B15" t="str">
        <v>extrusion</v>
      </c>
      <c r="C15" t="str">
        <v>Tier 2</v>
      </c>
      <c r="D15">
        <v>0.09</v>
      </c>
      <c r="E15">
        <v>0.07</v>
      </c>
      <c r="F15" t="str">
        <v>Industry benchmark</v>
      </c>
    </row>
    <row r="16">
      <c r="A16" t="str">
        <v>oh-extrusion-t3</v>
      </c>
      <c r="B16" t="str">
        <v>extrusion</v>
      </c>
      <c r="C16" t="str">
        <v>Tier 3</v>
      </c>
      <c r="D16">
        <v>0.07</v>
      </c>
      <c r="E16">
        <v>0.05</v>
      </c>
      <c r="F16" t="str">
        <v>Industry benchmark — high-volume commodity extruder (lean overhead/margin)</v>
      </c>
    </row>
    <row r="17">
      <c r="A17" t="str">
        <v>oh-thermoforming-t1</v>
      </c>
      <c r="B17" t="str">
        <v>thermoforming</v>
      </c>
      <c r="C17" t="str">
        <v>Tier 1</v>
      </c>
      <c r="D17">
        <v>0.13</v>
      </c>
      <c r="E17">
        <v>0.1</v>
      </c>
      <c r="F17" t="str">
        <v>Industry benchmark — Tier-1/OEM thermoforming (automotive interior, full validation/PPAP; higher overhead)</v>
      </c>
    </row>
    <row r="18">
      <c r="A18" t="str">
        <v>oh-thermoforming-t2</v>
      </c>
      <c r="B18" t="str">
        <v>thermoforming</v>
      </c>
      <c r="C18" t="str">
        <v>Tier 2</v>
      </c>
      <c r="D18">
        <v>0.1</v>
      </c>
      <c r="E18">
        <v>0.08</v>
      </c>
      <c r="F18" t="str">
        <v>Industry benchmark</v>
      </c>
    </row>
    <row r="19">
      <c r="A19" t="str">
        <v>oh-thermoforming-t3</v>
      </c>
      <c r="B19" t="str">
        <v>thermoforming</v>
      </c>
      <c r="C19" t="str">
        <v>Tier 3</v>
      </c>
      <c r="D19">
        <v>0.07</v>
      </c>
      <c r="E19">
        <v>0.05</v>
      </c>
      <c r="F19" t="str">
        <v>Industry benchmark — high-volume packaging thermoformer (roll-fed, lean overhead/margin)</v>
      </c>
    </row>
    <row r="20">
      <c r="A20" t="str">
        <v>oh-rotomoulding-t2</v>
      </c>
      <c r="B20" t="str">
        <v>rotational_moulding</v>
      </c>
      <c r="C20" t="str">
        <v>Tier 2</v>
      </c>
      <c r="D20">
        <v>0.11</v>
      </c>
      <c r="E20">
        <v>0.09</v>
      </c>
      <c r="F20" t="str">
        <v>Industry benchmark</v>
      </c>
    </row>
    <row r="21">
      <c r="A21" t="str">
        <v>oh-sheet-metal-fab-t2</v>
      </c>
      <c r="B21" t="str">
        <v>sheet_metal_fab</v>
      </c>
      <c r="C21" t="str">
        <v>Tier 2</v>
      </c>
      <c r="D21">
        <v>0.1</v>
      </c>
      <c r="E21">
        <v>0.08</v>
      </c>
      <c r="F21" t="str">
        <v>Industry benchmark</v>
      </c>
    </row>
    <row r="22">
      <c r="A22" t="str">
        <v>oh-rubber-t2</v>
      </c>
      <c r="B22" t="str">
        <v>rubber</v>
      </c>
      <c r="C22" t="str">
        <v>Tier 2</v>
      </c>
      <c r="D22">
        <v>0.11</v>
      </c>
      <c r="E22">
        <v>0.09</v>
      </c>
      <c r="F22" t="str">
        <v>Industry benchmark</v>
      </c>
    </row>
    <row r="23">
      <c r="A23" t="str">
        <v>oh-composites-t2</v>
      </c>
      <c r="B23" t="str">
        <v>composites</v>
      </c>
      <c r="C23" t="str">
        <v>Tier 2</v>
      </c>
      <c r="D23">
        <v>0.14</v>
      </c>
      <c r="E23">
        <v>0.1</v>
      </c>
      <c r="F23" t="str">
        <v>Industry benchmark</v>
      </c>
    </row>
    <row r="24">
      <c r="A24" t="str">
        <v>oh-wiring-harness-t2</v>
      </c>
      <c r="B24" t="str">
        <v>wiring_harness</v>
      </c>
      <c r="C24" t="str">
        <v>Tier 2</v>
      </c>
      <c r="D24">
        <v>0.1</v>
      </c>
      <c r="E24">
        <v>0.08</v>
      </c>
      <c r="F24" t="str">
        <v>Industry benchmark</v>
      </c>
    </row>
  </sheetData>
  <ignoredErrors>
    <ignoredError numberStoredAsText="1" sqref="A1:F24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C14"/>
  <sheetViews>
    <sheetView workbookViewId="0"/>
  </sheetViews>
  <cols>
    <col min="1" max="1" width="46.83203125" customWidth="1"/>
    <col min="2" max="2" width="16.83203125" customWidth="1"/>
    <col min="3" max="3" width="30.83203125" customWidth="1"/>
  </cols>
  <sheetData>
    <row r="1">
      <c r="A1" t="str">
        <v>Check before you upload</v>
      </c>
    </row>
    <row r="3">
      <c r="A3" t="str">
        <v>What</v>
      </c>
      <c r="B3" t="str">
        <v>Count</v>
      </c>
      <c r="C3" t="str">
        <v>Should be</v>
      </c>
    </row>
    <row r="4">
      <c r="A4" t="str">
        <v>Labels you have filled in on Mapping</v>
      </c>
      <c r="B4">
        <f>COUNTIFS(Mapping!C2:C549,"&lt;&gt;")</f>
        <v>0</v>
      </c>
      <c r="C4" t="str">
        <v>however many you have</v>
      </c>
    </row>
    <row r="5">
      <c r="A5" t="str">
        <v>…of those, labels NOT found on the JLRrates tab</v>
      </c>
      <c r="B5">
        <f>SUMPRODUCT((Mapping!C2:C549&lt;&gt;"")*(COUNTIF(JLRrates!B:B,Mapping!C2:C549)=0))</f>
        <v>0</v>
      </c>
      <c r="C5" t="str">
        <v>0 — anything else is a typo</v>
      </c>
    </row>
    <row r="7">
      <c r="A7" t="str">
        <v>Materials taking a JLR price</v>
      </c>
      <c r="B7">
        <f>SUMPRODUCT((Materials!D2:D329&lt;&gt;Builtin!B2:B329)*1)</f>
        <v>0</v>
      </c>
      <c r="C7" t="str">
        <v/>
      </c>
    </row>
    <row r="8">
      <c r="A8" t="str">
        <v>Machines taking a JLR rate</v>
      </c>
      <c r="B8">
        <f>COUNTIF(Machines!M2:M179,"JLR flat rate*")</f>
        <v>0</v>
      </c>
      <c r="C8" t="str">
        <v/>
      </c>
    </row>
    <row r="9">
      <c r="A9" t="str">
        <v>Labour grades taking a JLR rate</v>
      </c>
      <c r="B9">
        <f>SUMPRODUCT((Labour!D2:D43&lt;&gt;Builtin!B508:B549)*1)</f>
        <v>0</v>
      </c>
      <c r="C9" t="str">
        <v/>
      </c>
    </row>
    <row r="11">
      <c r="A11" t="str">
        <v>If the second row is not zero, a label on Mapping does not match any row on</v>
      </c>
    </row>
    <row r="12">
      <c r="A12" t="str">
        <v>JLRrates — usually a stray space or a different spelling. Fix it and press F9.</v>
      </c>
    </row>
    <row r="14">
      <c r="A14" t="str">
        <v>Everything you did not map keeps the value the tool ships with. That is fine.</v>
      </c>
    </row>
  </sheetData>
  <ignoredErrors>
    <ignoredError numberStoredAsText="1" sqref="A1:C14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Read me</vt:lpstr>
      <vt:lpstr>JLRrates</vt:lpstr>
      <vt:lpstr>Mapping</vt:lpstr>
      <vt:lpstr>Builtin</vt:lpstr>
      <vt:lpstr>Materials</vt:lpstr>
      <vt:lpstr>Machines</vt:lpstr>
      <vt:lpstr>Labour</vt:lpstr>
      <vt:lpstr>Energy</vt:lpstr>
      <vt:lpstr>FX</vt:lpstr>
      <vt:lpstr>Overhead</vt:lpstr>
      <vt:lpstr>Check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