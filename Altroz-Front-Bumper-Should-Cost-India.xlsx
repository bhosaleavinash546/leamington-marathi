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Methodology &amp; Q&amp;A" sheetId="2" state="visible" r:id="rId4"/>
    <sheet name="Assumptions" sheetId="3" state="visible" r:id="rId5"/>
    <sheet name="Parts Costing" sheetId="4" state="visible" r:id="rId6"/>
    <sheet name="Bought-Out" sheetId="5" state="visible" r:id="rId7"/>
    <sheet name="Assembly &amp; Packing" sheetId="6" state="visible" r:id="rId8"/>
    <sheet name="Tool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<sst xmlns="http://schemas.openxmlformats.org/spreadsheetml/2006/main" count="386" uniqueCount="304">
  <si>
    <t xml:space="preserve">TATA ALTROZ — FRONT BUMPER ASSEMBLY  ·  SHOULD-COST SUMMARY (INDIA)</t>
  </si>
  <si>
    <t xml:space="preserve">CostVision AI Cost Intelligence  ·  July 2026  ·  Currency: INR, ex-works  ·  Bottom-up physics build-up with live formulas</t>
  </si>
  <si>
    <t xml:space="preserve">#</t>
  </si>
  <si>
    <t xml:space="preserve">Cost block</t>
  </si>
  <si>
    <t xml:space="preserve">Basis</t>
  </si>
  <si>
    <t xml:space="preserve">₹ / vehicle set</t>
  </si>
  <si>
    <t xml:space="preserve">% of total</t>
  </si>
  <si>
    <t xml:space="preserve">1</t>
  </si>
  <si>
    <t xml:space="preserve">Manufactured parts (18 line items)</t>
  </si>
  <si>
    <t xml:space="preserve">Bottom-up: material + process + labour + tooling amort + OH + margin</t>
  </si>
  <si>
    <t xml:space="preserve">2</t>
  </si>
  <si>
    <t xml:space="preserve">Bought-out parts &amp; hardware</t>
  </si>
  <si>
    <t xml:space="preserve">Market reference + handling</t>
  </si>
  <si>
    <t xml:space="preserve">3</t>
  </si>
  <si>
    <t xml:space="preserve">Assembly &amp; packing</t>
  </si>
  <si>
    <t xml:space="preserve">Station labour + fixtures + overhead + dunnage</t>
  </si>
  <si>
    <t xml:space="preserve">TOTAL SHOULD COST — FRONT BUMPER ASSEMBLY</t>
  </si>
  <si>
    <t xml:space="preserve">Mechanical module only (excl. electronics: sensors, radar, camera, harness)</t>
  </si>
  <si>
    <t xml:space="preserve">One-time tooling &amp; equipment investment (amortised in the prices above)</t>
  </si>
  <si>
    <t xml:space="preserve">Annual volume assumption</t>
  </si>
  <si>
    <t xml:space="preserve">Painted fascia only (compare against fascia-only quotes)</t>
  </si>
  <si>
    <t xml:space="preserve">KEY NOTES &amp; BASIS</t>
  </si>
  <si>
    <t xml:space="preserve">1.  Basis: ex-works tier-1 supplier, India, 2026 rates. Edit any yellow cell (Assumptions / Parts Costing) — every figure recalculates.</t>
  </si>
  <si>
    <t xml:space="preserve">2.  Masses &amp; cycle times are engineering estimates from typical B-segment bumper benchmarks — replace with actual CAD/part weights when available.</t>
  </si>
  <si>
    <t xml:space="preserve">3.  Electronics (radar, camera, sensors, harness) are customer-nominated buy items shown at market reference prices, not bottom-up should-costs.</t>
  </si>
  <si>
    <t xml:space="preserve">4.  Drawing notes PP for grilles while the part list says ABS — costed as PP (textured black, typical for this segment); switch material price ref on Parts Costing if ABS.</t>
  </si>
  <si>
    <t xml:space="preserve">5.  Parking sensor count set to 4 (base trim). Part list allows 4–8 — change one cell on Assumptions (B44) for higher trims.</t>
  </si>
  <si>
    <t xml:space="preserve">6.  Tooling amortised over volume × 5 years into piece price. For tooling paid separately by OEM, set tool costs to 0 on Parts Costing (column S).</t>
  </si>
  <si>
    <t xml:space="preserve">7.  Paint: fascia costed body-colour painted (material + robotic line). Delete row 5 on Parts Costing if supplied moulded-in-colour.</t>
  </si>
  <si>
    <t xml:space="preserve">8.  Logistics to OEM plant, warranty and ED/GST excluded (per should-cost convention).</t>
  </si>
  <si>
    <t xml:space="preserve">9.  COMPARING TO A QUOTE: match the scope first. A bumper supplier quote normally EXCLUDES radar/camera/sensors/harness (directed parts) and often the steel beam — compare it to the mechanical-module or painted-fascia lines above, not the headline total.</t>
  </si>
  <si>
    <t xml:space="preserve">How this should-cost was calculated — step by step</t>
  </si>
  <si>
    <t xml:space="preserve">Read top to bottom. The right-hand column shows LIVE numbers pulled by formula from the costing sheets (worked example: front bumper fascia).</t>
  </si>
  <si>
    <t xml:space="preserve">THE 8-STEP METHOD  (worked example on the right: Front Bumper Fascia — values are LIVE, they change if you edit inputs)</t>
  </si>
  <si>
    <t xml:space="preserve">Break the assembly into parts and decide make vs buy</t>
  </si>
  <si>
    <t xml:space="preserve"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</si>
  <si>
    <t xml:space="preserve">Manufactured line items</t>
  </si>
  <si>
    <t xml:space="preserve">Material cost per part</t>
  </si>
  <si>
    <t xml:space="preserve"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4.20 kg TPO at ₹142/kg with 4% runner scrap.</t>
  </si>
  <si>
    <t xml:space="preserve">Fascia material ₹</t>
  </si>
  <si>
    <t xml:space="preserve">Process (machine) cost</t>
  </si>
  <si>
    <t xml:space="preserve">Cycle time ÷ 3600 × machine hour rate ÷ cavities.  The machine rate (Assumptions sheet) is a full build-up: depreciation + energy @ ₹8.5/kWh + maintenance + floor space + supervision.  A 1500-tonne press at ₹2,100/hr running a 58 s cycle costs ₹33.83 of machine time per shot — big-ticket machines, small per-part cost, because the hour is shared across every part made in it.</t>
  </si>
  <si>
    <t xml:space="preserve">Fascia process ₹</t>
  </si>
  <si>
    <t xml:space="preserve">4</t>
  </si>
  <si>
    <t xml:space="preserve">Direct labour</t>
  </si>
  <si>
    <t xml:space="preserve"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</si>
  <si>
    <t xml:space="preserve">Fascia labour ₹</t>
  </si>
  <si>
    <t xml:space="preserve">5</t>
  </si>
  <si>
    <t xml:space="preserve">Tooling amortisation</t>
  </si>
  <si>
    <t xml:space="preserve">Tool cost ÷ (annual volume × amortisation years × parts per vehicle).  The ₹2.2 Cr fascia mould spread over 72,000 vehicles × 5 years = a per-part charge.  This is the number most sensitive to VOLUME — halve the volume and this line doubles.  If the OEM pays for tooling separately, set column S to zero on Parts Costing.</t>
  </si>
  <si>
    <t xml:space="preserve">Fascia tooling ₹/pc</t>
  </si>
  <si>
    <t xml:space="preserve">6</t>
  </si>
  <si>
    <t xml:space="preserve">Overheads and margin</t>
  </si>
  <si>
    <t xml:space="preserve"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</si>
  <si>
    <t xml:space="preserve">Fascia unit price ₹</t>
  </si>
  <si>
    <t xml:space="preserve">7</t>
  </si>
  <si>
    <t xml:space="preserve"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</si>
  <si>
    <t xml:space="preserve">Assembly &amp; packing ₹</t>
  </si>
  <si>
    <t xml:space="preserve">8</t>
  </si>
  <si>
    <t xml:space="preserve">Roll up the total</t>
  </si>
  <si>
    <t xml:space="preserve"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</si>
  <si>
    <t xml:space="preserve">TOTAL should cost ₹</t>
  </si>
  <si>
    <t xml:space="preserve">MANAGER Q&amp;A — the questions you will get, and the answers (live numbers in the right column)</t>
  </si>
  <si>
    <t xml:space="preserve">Q</t>
  </si>
  <si>
    <t xml:space="preserve">“Why should I trust these numbers?”</t>
  </si>
  <si>
    <t xml:space="preserve"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</si>
  <si>
    <t xml:space="preserve">“Where do the rates come from?”</t>
  </si>
  <si>
    <t xml:space="preserve"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</si>
  <si>
    <t xml:space="preserve">“₹13,000 for a bumper? The aftermarket part is ₹5,000!”</t>
  </si>
  <si>
    <t xml:space="preserve">Two different things. The ₹13.2k includes the ADAS electronics — radar, camera, 4 parking sensors, harness — which are ~79%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</si>
  <si>
    <t xml:space="preserve">Mechanical module ₹</t>
  </si>
  <si>
    <t xml:space="preserve">“What happens if the volume assumption is wrong?”</t>
  </si>
  <si>
    <t xml:space="preserve">One cell: Assumptions B4. Volume only touches amortisation (tooling, fixtures, equipment) — material, process and labour are per-piece and unaffected. At 72k/yr the fascia carries ₹61 of tooling; at 36k/yr it would carry ₹122. Test any scenario in seconds by editing the cell.</t>
  </si>
  <si>
    <t xml:space="preserve">Current volume</t>
  </si>
  <si>
    <t xml:space="preserve">“Why is tooling inside the piece price?”</t>
  </si>
  <si>
    <t xml:space="preserve"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</si>
  <si>
    <t xml:space="preserve">Tooling investment ₹</t>
  </si>
  <si>
    <t xml:space="preserve">“Are the part weights real?”</t>
  </si>
  <si>
    <t xml:space="preserve"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</si>
  <si>
    <t xml:space="preserve">“The part list says ABS for the grilles but you costed PP?”</t>
  </si>
  <si>
    <t xml:space="preserve"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</si>
  <si>
    <t xml:space="preserve">“What is included and what is not?”</t>
  </si>
  <si>
    <t xml:space="preserve"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</si>
  <si>
    <t xml:space="preserve">“Isn't 40% overhead too high (or too low)?”</t>
  </si>
  <si>
    <t xml:space="preserve">It is applied on conversion only (process + labour), NOT on material — so it is a much smaller ₹ than it sounds. 35–50% on conversion is the normal band for Indian tier-1 plastics/stamping plants. It is one editable cell (Assumptions B38) if our benchmark differs.</t>
  </si>
  <si>
    <t xml:space="preserve">“How much margin did we allow the supplier?”</t>
  </si>
  <si>
    <t xml:space="preserve">SG&amp;A 8% + profit 10%, both visible and editable. Together they are the negotiation band: a quote at our number ±5% is honest; a quote 25% above it needs a line-by-line conversation — and this workbook is exactly the agenda for that conversation.</t>
  </si>
  <si>
    <t xml:space="preserve">“Which parts carry the most cost?”</t>
  </si>
  <si>
    <t xml:space="preserve">Painted fascia (~₹1,276 = moulding + body-colour paint), then the steel reinforcement beam (~₹495), then the grilles. Everything else is small brackets and covers below ₹120. In bought-out: the radar alone is more than the entire painted fascia.</t>
  </si>
  <si>
    <t xml:space="preserve">Painted fascia ₹</t>
  </si>
  <si>
    <t xml:space="preserve">“Can we use this in a supplier negotiation?”</t>
  </si>
  <si>
    <t xml:space="preserve"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</si>
  <si>
    <t xml:space="preserve">“Why does paint cost ₹416 when the paint material is only ₹185?”</t>
  </si>
  <si>
    <t xml:space="preserve">Body-colour painting is a process cost, not a material cost: a robotic paint line at ₹2,800/hr with booth energy and ventilation, ~130 s per bumper, plus overhead and margin on that conversion. If the fascia is supplied moulded-in-colour, delete the paint row — the model drops it cleanly.</t>
  </si>
  <si>
    <t xml:space="preserve">Paint line item ₹</t>
  </si>
  <si>
    <t xml:space="preserve">“4 parking sensors or 8?”</t>
  </si>
  <si>
    <t xml:space="preserve">Base trim = 4 (assumed), top trim = 8. One cell — Assumptions B44 — drives the sensor count, the holder count and the bought-out total together.</t>
  </si>
  <si>
    <t xml:space="preserve">“How would we make this part cheaper?”</t>
  </si>
  <si>
    <t xml:space="preserve">The levers, in order of size: (1) delete/reduce paint (moulded-in-colour saves ~₹400), (2) resin contract price — every ₹10/kg on TPO is ~₹44 on the fascia, (3) volume pooling to spread tooling, (4) runner regrind reuse instead of selling scrap, (5) beam gauge/grade optimisation. The workbook quantifies each in seconds.</t>
  </si>
  <si>
    <t xml:space="preserve">CostVision — Should-Cost Assumptions &amp; Rate Card (India, 2026)</t>
  </si>
  <si>
    <t xml:space="preserve">Every figure below is an input — edit any cell and the whole workbook recalculates. Sources: India tier-1 benchmarks, July 2026.</t>
  </si>
  <si>
    <t xml:space="preserve">PROGRAMME</t>
  </si>
  <si>
    <t xml:space="preserve">Annual vehicle volume</t>
  </si>
  <si>
    <t xml:space="preserve">veh/yr</t>
  </si>
  <si>
    <t xml:space="preserve">Altroz-class volume assumption — EDIT to your programme volume; all amortisation recalculates.</t>
  </si>
  <si>
    <t xml:space="preserve">Tooling amortisation period</t>
  </si>
  <si>
    <t xml:space="preserve">years</t>
  </si>
  <si>
    <t xml:space="preserve">Tooling amortised into piece price over volume × years (standard should-cost practice).</t>
  </si>
  <si>
    <t xml:space="preserve">Currency</t>
  </si>
  <si>
    <t xml:space="preserve">INR</t>
  </si>
  <si>
    <t xml:space="preserve">All values in Indian Rupees, ex-works supplier (logistics to OEM excluded).</t>
  </si>
  <si>
    <t xml:space="preserve">FX reference</t>
  </si>
  <si>
    <t xml:space="preserve">INR/GBP</t>
  </si>
  <si>
    <t xml:space="preserve">Reference only — no conversion applied in this workbook.</t>
  </si>
  <si>
    <t xml:space="preserve">MATERIAL PRICES  (₹/kg, delivered India plant)</t>
  </si>
  <si>
    <t xml:space="preserve">PP (black, textured grade)</t>
  </si>
  <si>
    <t xml:space="preserve">₹/kg</t>
  </si>
  <si>
    <t xml:space="preserve">Polypropylene copolymer, bulk OEM contract.</t>
  </si>
  <si>
    <t xml:space="preserve">PP+EPDM (TPO bumper grade)</t>
  </si>
  <si>
    <t xml:space="preserve">Impact-modified bumper compound, paintable grade.</t>
  </si>
  <si>
    <t xml:space="preserve">ABS (plating/paint grade)</t>
  </si>
  <si>
    <t xml:space="preserve">For fog-lamp bezels / DRL housings.</t>
  </si>
  <si>
    <t xml:space="preserve">EPP beads (45 g/l)</t>
  </si>
  <si>
    <t xml:space="preserve">Expanded polypropylene for energy absorber.</t>
  </si>
  <si>
    <t xml:space="preserve">POM (clips)</t>
  </si>
  <si>
    <t xml:space="preserve">Reference for clip costing (bought-out set used instead).</t>
  </si>
  <si>
    <t xml:space="preserve">High-strength steel sheet (HR, 590+)</t>
  </si>
  <si>
    <t xml:space="preserve">For reinforcement beam &amp; steel brackets.</t>
  </si>
  <si>
    <t xml:space="preserve">Steel scrap credit</t>
  </si>
  <si>
    <t xml:space="preserve">Offal / engineered scrap sold back.</t>
  </si>
  <si>
    <t xml:space="preserve">Plastic regrind credit</t>
  </si>
  <si>
    <t xml:space="preserve">Runner/sprue regrind value (where not reused).</t>
  </si>
  <si>
    <t xml:space="preserve">Paint material per bumper (primer+base+clear)</t>
  </si>
  <si>
    <t xml:space="preserve">₹/unit</t>
  </si>
  <si>
    <t xml:space="preserve">Body-colour robotic paint, material only.</t>
  </si>
  <si>
    <t xml:space="preserve">MACHINE RATES  (₹/hr — includes depreciation, energy @ ₹8.5/kWh, maintenance, floor space, supervision)</t>
  </si>
  <si>
    <t xml:space="preserve">Injection moulding 1500T</t>
  </si>
  <si>
    <t xml:space="preserve">₹/hr</t>
  </si>
  <si>
    <t xml:space="preserve">For bumper fascia.</t>
  </si>
  <si>
    <t xml:space="preserve">Injection moulding 800T</t>
  </si>
  <si>
    <t xml:space="preserve">Spare class (unused by default).</t>
  </si>
  <si>
    <t xml:space="preserve">Injection moulding 450T</t>
  </si>
  <si>
    <t xml:space="preserve">Grilles, air deflector.</t>
  </si>
  <si>
    <t xml:space="preserve">Injection moulding 250T</t>
  </si>
  <si>
    <t xml:space="preserve">Bezels, wheel-arch retainers.</t>
  </si>
  <si>
    <t xml:space="preserve">Injection moulding 150T</t>
  </si>
  <si>
    <t xml:space="preserve">Small brackets, holders, covers.</t>
  </si>
  <si>
    <t xml:space="preserve">EPP shape-moulding machine</t>
  </si>
  <si>
    <t xml:space="preserve">Steam-chest moulding for energy absorber.</t>
  </si>
  <si>
    <t xml:space="preserve">Progressive press 250T (with feeder)</t>
  </si>
  <si>
    <t xml:space="preserve">Steel beam brackets.</t>
  </si>
  <si>
    <t xml:space="preserve">Rollform + pierce + sweep line</t>
  </si>
  <si>
    <t xml:space="preserve">Reinforcement beam forming.</t>
  </si>
  <si>
    <t xml:space="preserve">MIG/spot weld cell</t>
  </si>
  <si>
    <t xml:space="preserve">Beam bracket welding.</t>
  </si>
  <si>
    <t xml:space="preserve">Robotic paint line (bumper)</t>
  </si>
  <si>
    <t xml:space="preserve">Conveyorised, incl. booth energy &amp; ventilation.</t>
  </si>
  <si>
    <t xml:space="preserve">LABOUR RATES  (₹/hr, fully loaded — wages + statutory + benefits + supervision share)</t>
  </si>
  <si>
    <t xml:space="preserve">Operator (semi-skilled)</t>
  </si>
  <si>
    <t xml:space="preserve">Press/moulding/assembly operator.</t>
  </si>
  <si>
    <t xml:space="preserve">Skilled (setter / welder / painter)</t>
  </si>
  <si>
    <t xml:space="preserve">Quality inspector</t>
  </si>
  <si>
    <t xml:space="preserve">End-of-line checks.</t>
  </si>
  <si>
    <t xml:space="preserve">COMMERCIAL FACTORS</t>
  </si>
  <si>
    <t xml:space="preserve">Factory overhead (on conversion cost)</t>
  </si>
  <si>
    <t xml:space="preserve">%</t>
  </si>
  <si>
    <t xml:space="preserve">Indirect staff, utilities, quality system, maintenance overheads.</t>
  </si>
  <si>
    <t xml:space="preserve">SG&amp;A</t>
  </si>
  <si>
    <t xml:space="preserve">Sales, general &amp; administrative on manufacturing cost.</t>
  </si>
  <si>
    <t xml:space="preserve">Profit</t>
  </si>
  <si>
    <t xml:space="preserve">Supplier margin on manufacturing cost + SG&amp;A.</t>
  </si>
  <si>
    <t xml:space="preserve">Bought-out handling &amp; inbound</t>
  </si>
  <si>
    <t xml:space="preserve">Applied to bought-out (pass-through) items.</t>
  </si>
  <si>
    <t xml:space="preserve">Assembly overhead (on assembly conversion)</t>
  </si>
  <si>
    <t xml:space="preserve">Line management, MHE, utilities at assembly plant.</t>
  </si>
  <si>
    <t xml:space="preserve">Packaging per finished assembly</t>
  </si>
  <si>
    <t xml:space="preserve">Returnable dunnage trip cost, amortised.</t>
  </si>
  <si>
    <t xml:space="preserve">Parking sensors fitted</t>
  </si>
  <si>
    <t xml:space="preserve">pcs</t>
  </si>
  <si>
    <t xml:space="preserve">Part list says 4–8 — set 4 (base) to 8 (top trim); sensors, holders &amp; BOM recalc.</t>
  </si>
  <si>
    <t xml:space="preserve">Parts Costing — bottom-up build-up per manufactured part</t>
  </si>
  <si>
    <t xml:space="preserve">Yellow cells are inputs (masses/cycles are engineering estimates — replace with actuals when available). All ₹ columns are live formulas.</t>
  </si>
  <si>
    <t xml:space="preserve">Sr</t>
  </si>
  <si>
    <t xml:space="preserve">Part / Operation</t>
  </si>
  <si>
    <t xml:space="preserve">Process</t>
  </si>
  <si>
    <t xml:space="preserve">Material</t>
  </si>
  <si>
    <t xml:space="preserve">Qty/veh</t>
  </si>
  <si>
    <t xml:space="preserve">Net mass (kg)</t>
  </si>
  <si>
    <t xml:space="preserve">Scrap %</t>
  </si>
  <si>
    <t xml:space="preserve">Mat. price (₹/kg)</t>
  </si>
  <si>
    <t xml:space="preserve">Scrap credit (₹/kg)</t>
  </si>
  <si>
    <t xml:space="preserve">Material ₹</t>
  </si>
  <si>
    <t xml:space="preserve">Machine / Line</t>
  </si>
  <si>
    <t xml:space="preserve">Machine rate (₹/hr)</t>
  </si>
  <si>
    <t xml:space="preserve">Cycle (s)</t>
  </si>
  <si>
    <t xml:space="preserve">Cav.</t>
  </si>
  <si>
    <t xml:space="preserve">Process ₹</t>
  </si>
  <si>
    <t xml:space="preserve">Manning</t>
  </si>
  <si>
    <t xml:space="preserve">Labour rate (₹/hr)</t>
  </si>
  <si>
    <t xml:space="preserve">Labour ₹</t>
  </si>
  <si>
    <t xml:space="preserve">Tool cost ₹ (total)</t>
  </si>
  <si>
    <t xml:space="preserve">Tool amort ₹/pc</t>
  </si>
  <si>
    <t xml:space="preserve">Overhead ₹</t>
  </si>
  <si>
    <t xml:space="preserve">Mfg cost ₹</t>
  </si>
  <si>
    <t xml:space="preserve">SG&amp;A ₹</t>
  </si>
  <si>
    <t xml:space="preserve">Profit ₹</t>
  </si>
  <si>
    <t xml:space="preserve">Unit price ₹</t>
  </si>
  <si>
    <t xml:space="preserve">Extended ₹/veh</t>
  </si>
  <si>
    <t xml:space="preserve">Front bumper fascia</t>
  </si>
  <si>
    <t xml:space="preserve">Injection moulding</t>
  </si>
  <si>
    <t xml:space="preserve">PP+EPDM (TPO)</t>
  </si>
  <si>
    <t xml:space="preserve">IMM 1500T</t>
  </si>
  <si>
    <t xml:space="preserve">Painting — fascia, body colour</t>
  </si>
  <si>
    <t xml:space="preserve">Robotic paint (P+B+C)</t>
  </si>
  <si>
    <t xml:space="preserve">Paint system</t>
  </si>
  <si>
    <t xml:space="preserve">Paint line</t>
  </si>
  <si>
    <t xml:space="preserve">Upper grille</t>
  </si>
  <si>
    <t xml:space="preserve">PP (textured)</t>
  </si>
  <si>
    <t xml:space="preserve">IMM 450T</t>
  </si>
  <si>
    <t xml:space="preserve">Lower grille</t>
  </si>
  <si>
    <t xml:space="preserve">Side bracket LH+RH (fascia)</t>
  </si>
  <si>
    <t xml:space="preserve">PP</t>
  </si>
  <si>
    <t xml:space="preserve">IMM 150T</t>
  </si>
  <si>
    <t xml:space="preserve">Number / licence plate bracket</t>
  </si>
  <si>
    <t xml:space="preserve">Fog lamp bezel / DRL housing LH+RH</t>
  </si>
  <si>
    <t xml:space="preserve">ABS</t>
  </si>
  <si>
    <t xml:space="preserve">IMM 250T</t>
  </si>
  <si>
    <t xml:space="preserve">Energy absorber</t>
  </si>
  <si>
    <t xml:space="preserve">EPP shape moulding</t>
  </si>
  <si>
    <t xml:space="preserve">EPP foam 45 g/l</t>
  </si>
  <si>
    <t xml:space="preserve">EPP moulder</t>
  </si>
  <si>
    <t xml:space="preserve">Reinforcement beam — form &amp; pierce</t>
  </si>
  <si>
    <t xml:space="preserve">Rollform + sweep</t>
  </si>
  <si>
    <t xml:space="preserve">HSS 590 sheet</t>
  </si>
  <si>
    <t xml:space="preserve">Rollform line</t>
  </si>
  <si>
    <t xml:space="preserve">Reinforcement beam — bracket welding</t>
  </si>
  <si>
    <t xml:space="preserve">MIG weld op</t>
  </si>
  <si>
    <t xml:space="preserve">(consumables in rate)</t>
  </si>
  <si>
    <t xml:space="preserve">Weld cell</t>
  </si>
  <si>
    <t xml:space="preserve">Side beam bracket LH+RH (crash-box)</t>
  </si>
  <si>
    <t xml:space="preserve">Progressive stamping</t>
  </si>
  <si>
    <t xml:space="preserve">Press 250T prog</t>
  </si>
  <si>
    <t xml:space="preserve">Tow hook cover</t>
  </si>
  <si>
    <t xml:space="preserve">Parking sensor holder</t>
  </si>
  <si>
    <t xml:space="preserve">Radar sensor bracket</t>
  </si>
  <si>
    <t xml:space="preserve">Camera mount bracket</t>
  </si>
  <si>
    <t xml:space="preserve">Air deflector</t>
  </si>
  <si>
    <t xml:space="preserve">Wheel-arch retainer LH+RH</t>
  </si>
  <si>
    <t xml:space="preserve">Side support bracket LH+RH</t>
  </si>
  <si>
    <t xml:space="preserve">MANUFACTURED PARTS — TOTAL PER VEHICLE</t>
  </si>
  <si>
    <t xml:space="preserve">Bought-Out / Directed Parts — market reference prices (India OEM volumes)</t>
  </si>
  <si>
    <t xml:space="preserve">Electronics are typically customer-nominated buy items — prices are market references for completeness, not bottom-up should-costs.</t>
  </si>
  <si>
    <t xml:space="preserve">Item</t>
  </si>
  <si>
    <t xml:space="preserve">Category</t>
  </si>
  <si>
    <t xml:space="preserve">Handling ₹</t>
  </si>
  <si>
    <t xml:space="preserve">Landed ₹/veh</t>
  </si>
  <si>
    <t xml:space="preserve">Ultrasonic parking sensor</t>
  </si>
  <si>
    <t xml:space="preserve">Electronics</t>
  </si>
  <si>
    <t xml:space="preserve">Front radar sensor (77 GHz)</t>
  </si>
  <si>
    <t xml:space="preserve">Front camera module</t>
  </si>
  <si>
    <t xml:space="preserve">Bumper wiring harness</t>
  </si>
  <si>
    <t xml:space="preserve">Electrical</t>
  </si>
  <si>
    <t xml:space="preserve">Clips &amp; fasteners set (push clips, u-nuts, spring nuts)</t>
  </si>
  <si>
    <t xml:space="preserve">Hardware</t>
  </si>
  <si>
    <t xml:space="preserve">Bolts M8/M10 set</t>
  </si>
  <si>
    <t xml:space="preserve">Nuts &amp; washers set</t>
  </si>
  <si>
    <t xml:space="preserve">BOUGHT-OUT — TOTAL PER VEHICLE</t>
  </si>
  <si>
    <t xml:space="preserve">   of which electronics (sensors + radar + camera + harness)</t>
  </si>
  <si>
    <t xml:space="preserve">Assembly &amp; Packing — station-by-station conversion cost</t>
  </si>
  <si>
    <t xml:space="preserve">Manned time per station × fully-loaded labour rate + fixture/equipment amortisation + overhead + returnable packaging.</t>
  </si>
  <si>
    <t xml:space="preserve">St.</t>
  </si>
  <si>
    <t xml:space="preserve">Station / Operation</t>
  </si>
  <si>
    <t xml:space="preserve">Time (s)</t>
  </si>
  <si>
    <t xml:space="preserve">Operators</t>
  </si>
  <si>
    <t xml:space="preserve">Labour ₹/unit</t>
  </si>
  <si>
    <t xml:space="preserve">Notes</t>
  </si>
  <si>
    <t xml:space="preserve">Beam sub-assembly: energy absorber + crash brackets to beam</t>
  </si>
  <si>
    <t xml:space="preserve">Bolted, torque-monitored</t>
  </si>
  <si>
    <t xml:space="preserve">Fascia dress: grilles, bezels, number-plate bracket, tow cover</t>
  </si>
  <si>
    <t xml:space="preserve">Clip-fit + screw stations</t>
  </si>
  <si>
    <t xml:space="preserve">Harness routing, parking sensors, radar &amp; camera fit</t>
  </si>
  <si>
    <t xml:space="preserve">Connector click-checks</t>
  </si>
  <si>
    <t xml:space="preserve">Air deflector, wheel-arch retainers, side supports</t>
  </si>
  <si>
    <t xml:space="preserve">End-of-line inspection &amp; torque verification</t>
  </si>
  <si>
    <t xml:space="preserve">Poka-yoke checklist</t>
  </si>
  <si>
    <t xml:space="preserve">Pack into returnable dunnage</t>
  </si>
  <si>
    <t xml:space="preserve">Assembly labour subtotal</t>
  </si>
  <si>
    <t xml:space="preserve">Fixtures &amp; jigs amortisation (₹40 L over volume × years)</t>
  </si>
  <si>
    <t xml:space="preserve">Assembly fixtures, torque tools mounting</t>
  </si>
  <si>
    <t xml:space="preserve">Equipment amortisation (EOL tester, torque tools — ₹60 L)</t>
  </si>
  <si>
    <t xml:space="preserve">Consumables per unit</t>
  </si>
  <si>
    <t xml:space="preserve">Tapes, primers, gloves</t>
  </si>
  <si>
    <t xml:space="preserve">Assembly overhead</t>
  </si>
  <si>
    <t xml:space="preserve">On labour subtotal — rate from Assumptions</t>
  </si>
  <si>
    <t xml:space="preserve">Packaging (returnable dunnage trip cost)</t>
  </si>
  <si>
    <t xml:space="preserve">ASSEMBLY &amp; PACKING — TOTAL PER VEHICLE</t>
  </si>
  <si>
    <t xml:space="preserve">Tooling &amp; Investment Summary</t>
  </si>
  <si>
    <t xml:space="preserve">One-time investment; amortised into piece price over volume × years (see Assumptions). Change any tool cost on Parts Costing.</t>
  </si>
  <si>
    <t xml:space="preserve">Value</t>
  </si>
  <si>
    <t xml:space="preserve">Part tooling total (moulds, dies, fixtures)</t>
  </si>
  <si>
    <t xml:space="preserve">Assembly fixtures &amp; jigs</t>
  </si>
  <si>
    <t xml:space="preserve">Assembly equipment (EOL, torque)</t>
  </si>
  <si>
    <t xml:space="preserve">TOTAL ONE-TIME INVESTMENT</t>
  </si>
  <si>
    <t xml:space="preserve">In ₹ Crore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</si>
</sst>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₹ &quot;#,##0.00"/>
    <numFmt numFmtId="166" formatCode="0.0%"/>
    <numFmt numFmtId="167" formatCode="&quot;₹ &quot;#,##0"/>
    <numFmt numFmtId="168" formatCode="#,##0&quot; veh/yr&quot;"/>
    <numFmt numFmtId="169" formatCode="#,##0"/>
    <numFmt numFmtId="170" formatCode="0"/>
    <numFmt numFmtId="171" formatCode="0.000&quot; kg&quot;"/>
    <numFmt numFmtId="172" formatCode="0&quot; s&quot;"/>
    <numFmt numFmtId="173" formatCode="0.00&quot; Cr&quot;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.5"/>
      <color rgb="FF334155"/>
      <name val="Calibri"/>
      <family val="0"/>
      <charset val="1"/>
    </font>
    <font>
      <sz val="10.5"/>
      <color rgb="FF64748B"/>
      <name val="Calibri"/>
      <family val="0"/>
      <charset val="1"/>
    </font>
    <font>
      <b val="true"/>
      <sz val="11"/>
      <color rgb="FF4F46E5"/>
      <name val="Calibri"/>
      <family val="0"/>
      <charset val="1"/>
    </font>
    <font>
      <sz val="9.5"/>
      <color rgb="FF334155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FFFFFF"/>
      <name val="Calibri"/>
      <family val="0"/>
      <charset val="1"/>
    </font>
    <font>
      <b val="true"/>
      <sz val="14"/>
      <color rgb="FF4F46E5"/>
      <name val="Calibri"/>
      <family val="0"/>
      <charset val="1"/>
    </font>
    <font>
      <b val="true"/>
      <sz val="10.5"/>
      <color rgb="FF0F172A"/>
      <name val="Calibri"/>
      <family val="0"/>
      <charset val="1"/>
    </font>
    <font>
      <sz val="10"/>
      <color rgb="FF334155"/>
      <name val="Calibri"/>
      <family val="0"/>
      <charset val="1"/>
    </font>
    <font>
      <sz val="8.5"/>
      <color rgb="FF64748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2"/>
      <color rgb="FFD97706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9.5"/>
      <color rgb="FF0F172A"/>
      <name val="Calibri"/>
      <family val="0"/>
      <charset val="1"/>
    </font>
    <font>
      <i val="true"/>
      <sz val="9.5"/>
      <color rgb="FF64748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F46E5"/>
        <bgColor rgb="FF333399"/>
      </patternFill>
    </fill>
    <fill>
      <patternFill patternType="solid">
        <fgColor rgb="FFECFDF5"/>
        <bgColor rgb="FFEFF6FF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EF9C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9D9D9"/>
      <rgbColor rgb="FF878787"/>
      <rgbColor rgb="FF9999FF"/>
      <rgbColor rgb="FF993366"/>
      <rgbColor rgb="FFFEF9C3"/>
      <rgbColor rgb="FFECFDF5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1F5F9"/>
      <rgbColor rgb="FFFFFF99"/>
      <rgbColor rgb="FF99CCFF"/>
      <rgbColor rgb="FFFF99CC"/>
      <rgbColor rgb="FFCC99FF"/>
      <rgbColor rgb="FFFFCC99"/>
      <rgbColor rgb="FF4F46E5"/>
      <rgbColor rgb="FF33CCCC"/>
      <rgbColor rgb="FF99CC00"/>
      <rgbColor rgb="FFFFCC00"/>
      <rgbColor rgb="FFFF9900"/>
      <rgbColor rgb="FFD97706"/>
      <rgbColor rgb="FF64748B"/>
      <rgbColor rgb="FF969696"/>
      <rgbColor rgb="FF003366"/>
      <rgbColor rgb="FF4F81BD"/>
      <rgbColor rgb="FF0F172A"/>
      <rgbColor rgb="FF333300"/>
      <rgbColor rgb="FF993300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Should-cost breakdown (₹/vehicle set)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Summary!$B$5:$B$7</c:f>
              <c:strCache>
                <c:ptCount val="3"/>
                <c:pt idx="0">
                  <c:v>Manufactured parts (18 line items)</c:v>
                </c:pt>
                <c:pt idx="1">
                  <c:v>Bought-out parts &amp; hardware</c:v>
                </c:pt>
                <c:pt idx="2">
                  <c:v>Assembly &amp; packing</c:v>
                </c:pt>
              </c:strCache>
            </c:strRef>
          </c:cat>
          <c:val>
            <c:numRef>
              <c:f>Summary!$D$5:$D$7</c:f>
              <c:numCache>
                <c:formatCode>"₹ "#,##0.00</c:formatCode>
                <c:ptCount val="3"/>
                <c:pt idx="0">
                  <c:v>2276.1288891</c:v>
                </c:pt>
                <c:pt idx="1">
                  <c:v>6327.29</c:v>
                </c:pt>
                <c:pt idx="2">
                  <c:v>143.696527777778</c:v>
                </c:pt>
              </c:numCache>
            </c:numRef>
          </c:val>
        </c:ser>
        <c:gapWidth val="150"/>
        <c:overlap val="0"/>
        <c:axId val="48470666"/>
        <c:axId val="55442306"/>
      </c:barChart>
      <c:catAx>
        <c:axId val="484706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42306"/>
        <c:crosses val="autoZero"/>
        <c:auto val="1"/>
        <c:lblAlgn val="ctr"/>
        <c:lblOffset val="100"/>
        <c:noMultiLvlLbl val="0"/>
      </c:catAx>
      <c:valAx>
        <c:axId val="554423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per vehicle set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706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0</xdr:rowOff>
    </xdr:from>
    <xdr:to>
      <xdr:col>1</xdr:col>
      <xdr:colOff>5226120</xdr:colOff>
      <xdr:row>29</xdr:row>
      <xdr:rowOff>22320</xdr:rowOff>
    </xdr:to>
    <xdr:graphicFrame>
      <xdr:nvGraphicFramePr>
        <xdr:cNvPr id="0" name="Chart 1"/>
        <xdr:cNvGraphicFramePr/>
      </xdr:nvGraphicFramePr>
      <xdr:xfrm>
        <a:off x="0" y="34862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s">
        <v>7</v>
      </c>
      <c r="B5" s="5" t="s">
        <v>8</v>
      </c>
      <c r="C5" s="6" t="s">
        <v>9</v>
      </c>
      <c r="D5" s="7" t="n">
        <f aca="false">'Parts Costing'!$Z$22</f>
        <v>2276.1288891</v>
      </c>
      <c r="E5" s="8" t="n">
        <f aca="false">D5/$D$8</f>
        <v>0.26021480003661</v>
      </c>
    </row>
    <row r="6" customFormat="false" ht="25.5" hidden="false" customHeight="true" outlineLevel="0" collapsed="false">
      <c r="A6" s="4" t="s">
        <v>10</v>
      </c>
      <c r="B6" s="5" t="s">
        <v>11</v>
      </c>
      <c r="C6" s="6" t="s">
        <v>12</v>
      </c>
      <c r="D6" s="7" t="n">
        <f aca="false">'Bought-Out'!$G$11</f>
        <v>6327.29</v>
      </c>
      <c r="E6" s="8" t="n">
        <f aca="false">D6/$D$8</f>
        <v>0.723357323923191</v>
      </c>
    </row>
    <row r="7" customFormat="false" ht="25.5" hidden="false" customHeight="true" outlineLevel="0" collapsed="false">
      <c r="A7" s="4" t="s">
        <v>13</v>
      </c>
      <c r="B7" s="5" t="s">
        <v>14</v>
      </c>
      <c r="C7" s="6" t="s">
        <v>15</v>
      </c>
      <c r="D7" s="7" t="n">
        <f aca="false">'Assembly &amp; Packing'!$F$17</f>
        <v>143.696527777778</v>
      </c>
      <c r="E7" s="8" t="n">
        <f aca="false">D7/$D$8</f>
        <v>0.0164278760401985</v>
      </c>
    </row>
    <row r="8" customFormat="false" ht="30" hidden="false" customHeight="true" outlineLevel="0" collapsed="false">
      <c r="A8" s="9"/>
      <c r="B8" s="10" t="s">
        <v>16</v>
      </c>
      <c r="C8" s="9"/>
      <c r="D8" s="11" t="n">
        <f aca="false">SUM(D5:D7)</f>
        <v>8747.11541687778</v>
      </c>
      <c r="E8" s="12" t="n">
        <v>1</v>
      </c>
    </row>
    <row r="10" customFormat="false" ht="15" hidden="false" customHeight="false" outlineLevel="0" collapsed="false">
      <c r="B10" s="13" t="s">
        <v>17</v>
      </c>
      <c r="D10" s="14" t="n">
        <f aca="false">D8-'Bought-Out'!$G$12</f>
        <v>2567.11541687778</v>
      </c>
    </row>
    <row r="11" customFormat="false" ht="15" hidden="false" customHeight="false" outlineLevel="0" collapsed="false">
      <c r="B11" s="15" t="s">
        <v>18</v>
      </c>
      <c r="D11" s="16" t="n">
        <f aca="false">Tooling!B7</f>
        <v>72800000</v>
      </c>
    </row>
    <row r="12" customFormat="false" ht="15" hidden="false" customHeight="false" outlineLevel="0" collapsed="false">
      <c r="B12" s="15" t="s">
        <v>19</v>
      </c>
      <c r="D12" s="17" t="n">
        <f aca="false">Assumptions!$B$4</f>
        <v>72000</v>
      </c>
    </row>
    <row r="13" customFormat="false" ht="15" hidden="false" customHeight="false" outlineLevel="0" collapsed="false">
      <c r="B13" s="15" t="s">
        <v>20</v>
      </c>
      <c r="D13" s="18" t="n">
        <f aca="false">'Parts Costing'!Y4+'Parts Costing'!Y5</f>
        <v>1078.384494</v>
      </c>
    </row>
    <row r="32" customFormat="false" ht="15" hidden="false" customHeight="false" outlineLevel="0" collapsed="false">
      <c r="A32" s="19" t="s">
        <v>21</v>
      </c>
    </row>
    <row r="33" customFormat="false" ht="15" hidden="false" customHeight="false" outlineLevel="0" collapsed="false">
      <c r="A33" s="20" t="s">
        <v>22</v>
      </c>
    </row>
    <row r="34" customFormat="false" ht="15" hidden="false" customHeight="false" outlineLevel="0" collapsed="false">
      <c r="A34" s="20" t="s">
        <v>23</v>
      </c>
    </row>
    <row r="35" customFormat="false" ht="15" hidden="false" customHeight="false" outlineLevel="0" collapsed="false">
      <c r="A35" s="20" t="s">
        <v>24</v>
      </c>
    </row>
    <row r="36" customFormat="false" ht="15" hidden="false" customHeight="false" outlineLevel="0" collapsed="false">
      <c r="A36" s="20" t="s">
        <v>25</v>
      </c>
    </row>
    <row r="37" customFormat="false" ht="15" hidden="false" customHeight="false" outlineLevel="0" collapsed="false">
      <c r="A37" s="20" t="s">
        <v>26</v>
      </c>
    </row>
    <row r="38" customFormat="false" ht="15" hidden="false" customHeight="false" outlineLevel="0" collapsed="false">
      <c r="A38" s="20" t="s">
        <v>27</v>
      </c>
    </row>
    <row r="39" customFormat="false" ht="15" hidden="false" customHeight="false" outlineLevel="0" collapsed="false">
      <c r="A39" s="20" t="s">
        <v>28</v>
      </c>
    </row>
    <row r="40" customFormat="false" ht="15" hidden="false" customHeight="false" outlineLevel="0" collapsed="false">
      <c r="A40" s="20" t="s">
        <v>29</v>
      </c>
    </row>
    <row r="41" customFormat="false" ht="15" hidden="false" customHeight="false" outlineLevel="0" collapsed="false">
      <c r="A41" s="20" t="s">
        <v>30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31</v>
      </c>
      <c r="B1" s="1"/>
      <c r="C1" s="1"/>
      <c r="D1" s="1"/>
    </row>
    <row r="2" customFormat="false" ht="18" hidden="false" customHeight="true" outlineLevel="0" collapsed="false">
      <c r="A2" s="2" t="s">
        <v>32</v>
      </c>
      <c r="B2" s="2"/>
      <c r="C2" s="2"/>
      <c r="D2" s="2"/>
    </row>
    <row r="3" customFormat="false" ht="21.75" hidden="false" customHeight="true" outlineLevel="0" collapsed="false">
      <c r="A3" s="21" t="s">
        <v>33</v>
      </c>
      <c r="B3" s="21"/>
      <c r="C3" s="21"/>
      <c r="D3" s="21"/>
    </row>
    <row r="4" customFormat="false" ht="49.5" hidden="false" customHeight="true" outlineLevel="0" collapsed="false">
      <c r="A4" s="22" t="s">
        <v>7</v>
      </c>
      <c r="B4" s="23" t="s">
        <v>34</v>
      </c>
      <c r="C4" s="24" t="s">
        <v>35</v>
      </c>
      <c r="D4" s="25" t="s">
        <v>36</v>
      </c>
    </row>
    <row r="5" customFormat="false" ht="61.5" hidden="false" customHeight="true" outlineLevel="0" collapsed="false">
      <c r="A5" s="22" t="s">
        <v>10</v>
      </c>
      <c r="B5" s="23" t="s">
        <v>37</v>
      </c>
      <c r="C5" s="24" t="s">
        <v>38</v>
      </c>
      <c r="D5" s="25" t="s">
        <v>39</v>
      </c>
    </row>
    <row r="6" customFormat="false" ht="15" hidden="false" customHeight="false" outlineLevel="0" collapsed="false">
      <c r="D6" s="26" t="n">
        <f aca="false">'Parts Costing'!J4</f>
        <v>525.888</v>
      </c>
    </row>
    <row r="7" customFormat="false" ht="61.5" hidden="false" customHeight="true" outlineLevel="0" collapsed="false">
      <c r="A7" s="22" t="s">
        <v>13</v>
      </c>
      <c r="B7" s="23" t="s">
        <v>40</v>
      </c>
      <c r="C7" s="24" t="s">
        <v>41</v>
      </c>
      <c r="D7" s="25" t="s">
        <v>42</v>
      </c>
    </row>
    <row r="8" customFormat="false" ht="15" hidden="false" customHeight="false" outlineLevel="0" collapsed="false">
      <c r="D8" s="26" t="n">
        <f aca="false">'Parts Costing'!O4</f>
        <v>32.0833333333333</v>
      </c>
    </row>
    <row r="9" customFormat="false" ht="51.75" hidden="false" customHeight="true" outlineLevel="0" collapsed="false">
      <c r="A9" s="22" t="s">
        <v>43</v>
      </c>
      <c r="B9" s="23" t="s">
        <v>44</v>
      </c>
      <c r="C9" s="24" t="s">
        <v>45</v>
      </c>
      <c r="D9" s="25" t="s">
        <v>46</v>
      </c>
    </row>
    <row r="10" customFormat="false" ht="15" hidden="false" customHeight="false" outlineLevel="0" collapsed="false">
      <c r="D10" s="26" t="n">
        <f aca="false">'Parts Costing'!R4</f>
        <v>1.45138888888889</v>
      </c>
    </row>
    <row r="11" customFormat="false" ht="54.75" hidden="false" customHeight="true" outlineLevel="0" collapsed="false">
      <c r="A11" s="22" t="s">
        <v>47</v>
      </c>
      <c r="B11" s="23" t="s">
        <v>48</v>
      </c>
      <c r="C11" s="24" t="s">
        <v>49</v>
      </c>
      <c r="D11" s="25" t="s">
        <v>50</v>
      </c>
    </row>
    <row r="12" customFormat="false" ht="15" hidden="false" customHeight="false" outlineLevel="0" collapsed="false">
      <c r="D12" s="26" t="n">
        <f aca="false">'Parts Costing'!T4</f>
        <v>50</v>
      </c>
    </row>
    <row r="13" customFormat="false" ht="54.75" hidden="false" customHeight="true" outlineLevel="0" collapsed="false">
      <c r="A13" s="22" t="s">
        <v>51</v>
      </c>
      <c r="B13" s="23" t="s">
        <v>52</v>
      </c>
      <c r="C13" s="24" t="s">
        <v>53</v>
      </c>
      <c r="D13" s="25" t="s">
        <v>54</v>
      </c>
    </row>
    <row r="14" customFormat="false" ht="15" hidden="false" customHeight="false" outlineLevel="0" collapsed="false">
      <c r="D14" s="26" t="n">
        <f aca="false">'Parts Costing'!Y4</f>
        <v>739.929894</v>
      </c>
    </row>
    <row r="15" customFormat="false" ht="51.75" hidden="false" customHeight="true" outlineLevel="0" collapsed="false">
      <c r="A15" s="22" t="s">
        <v>55</v>
      </c>
      <c r="B15" s="23" t="s">
        <v>14</v>
      </c>
      <c r="C15" s="24" t="s">
        <v>56</v>
      </c>
      <c r="D15" s="25" t="s">
        <v>57</v>
      </c>
    </row>
    <row r="16" customFormat="false" ht="15" hidden="false" customHeight="false" outlineLevel="0" collapsed="false">
      <c r="D16" s="26" t="n">
        <f aca="false">'Assembly &amp; Packing'!$F$17</f>
        <v>143.696527777778</v>
      </c>
    </row>
    <row r="17" customFormat="false" ht="54.75" hidden="false" customHeight="true" outlineLevel="0" collapsed="false">
      <c r="A17" s="22" t="s">
        <v>58</v>
      </c>
      <c r="B17" s="23" t="s">
        <v>59</v>
      </c>
      <c r="C17" s="24" t="s">
        <v>60</v>
      </c>
      <c r="D17" s="25" t="s">
        <v>61</v>
      </c>
    </row>
    <row r="18" customFormat="false" ht="15" hidden="false" customHeight="false" outlineLevel="0" collapsed="false">
      <c r="D18" s="26" t="n">
        <f aca="false">Summary!D8</f>
        <v>8747.11541687778</v>
      </c>
    </row>
    <row r="20" customFormat="false" ht="21.75" hidden="false" customHeight="true" outlineLevel="0" collapsed="false">
      <c r="A20" s="21" t="s">
        <v>62</v>
      </c>
      <c r="B20" s="21"/>
      <c r="C20" s="21"/>
      <c r="D20" s="21"/>
    </row>
    <row r="21" customFormat="false" ht="66" hidden="false" customHeight="true" outlineLevel="0" collapsed="false">
      <c r="A21" s="27" t="s">
        <v>63</v>
      </c>
      <c r="B21" s="28" t="s">
        <v>64</v>
      </c>
      <c r="C21" s="29" t="s">
        <v>65</v>
      </c>
      <c r="D21" s="30"/>
    </row>
    <row r="22" customFormat="false" ht="66" hidden="false" customHeight="true" outlineLevel="0" collapsed="false">
      <c r="A22" s="31" t="s">
        <v>63</v>
      </c>
      <c r="B22" s="32" t="s">
        <v>66</v>
      </c>
      <c r="C22" s="33" t="s">
        <v>67</v>
      </c>
      <c r="D22" s="34"/>
    </row>
    <row r="23" customFormat="false" ht="66" hidden="false" customHeight="true" outlineLevel="0" collapsed="false">
      <c r="A23" s="27" t="s">
        <v>63</v>
      </c>
      <c r="B23" s="28" t="s">
        <v>68</v>
      </c>
      <c r="C23" s="29" t="s">
        <v>69</v>
      </c>
      <c r="D23" s="25" t="s">
        <v>70</v>
      </c>
    </row>
    <row r="24" customFormat="false" ht="15" hidden="false" customHeight="false" outlineLevel="0" collapsed="false">
      <c r="D24" s="26" t="n">
        <f aca="false">Summary!D10</f>
        <v>2567.11541687778</v>
      </c>
    </row>
    <row r="25" customFormat="false" ht="66" hidden="false" customHeight="true" outlineLevel="0" collapsed="false">
      <c r="A25" s="27" t="s">
        <v>63</v>
      </c>
      <c r="B25" s="28" t="s">
        <v>71</v>
      </c>
      <c r="C25" s="29" t="s">
        <v>72</v>
      </c>
      <c r="D25" s="25" t="s">
        <v>73</v>
      </c>
    </row>
    <row r="26" customFormat="false" ht="15" hidden="false" customHeight="false" outlineLevel="0" collapsed="false">
      <c r="D26" s="35" t="n">
        <f aca="false">Assumptions!$B$4</f>
        <v>72000</v>
      </c>
    </row>
    <row r="27" customFormat="false" ht="66" hidden="false" customHeight="true" outlineLevel="0" collapsed="false">
      <c r="A27" s="27" t="s">
        <v>63</v>
      </c>
      <c r="B27" s="28" t="s">
        <v>74</v>
      </c>
      <c r="C27" s="29" t="s">
        <v>75</v>
      </c>
      <c r="D27" s="25" t="s">
        <v>76</v>
      </c>
    </row>
    <row r="28" customFormat="false" ht="15" hidden="false" customHeight="false" outlineLevel="0" collapsed="false">
      <c r="D28" s="26" t="n">
        <f aca="false">Tooling!B7</f>
        <v>72800000</v>
      </c>
    </row>
    <row r="29" customFormat="false" ht="66" hidden="false" customHeight="true" outlineLevel="0" collapsed="false">
      <c r="A29" s="27" t="s">
        <v>63</v>
      </c>
      <c r="B29" s="28" t="s">
        <v>77</v>
      </c>
      <c r="C29" s="29" t="s">
        <v>78</v>
      </c>
      <c r="D29" s="30"/>
    </row>
    <row r="30" customFormat="false" ht="66" hidden="false" customHeight="true" outlineLevel="0" collapsed="false">
      <c r="A30" s="31" t="s">
        <v>63</v>
      </c>
      <c r="B30" s="32" t="s">
        <v>79</v>
      </c>
      <c r="C30" s="33" t="s">
        <v>80</v>
      </c>
      <c r="D30" s="34"/>
    </row>
    <row r="31" customFormat="false" ht="66" hidden="false" customHeight="true" outlineLevel="0" collapsed="false">
      <c r="A31" s="27" t="s">
        <v>63</v>
      </c>
      <c r="B31" s="28" t="s">
        <v>81</v>
      </c>
      <c r="C31" s="29" t="s">
        <v>82</v>
      </c>
      <c r="D31" s="30"/>
    </row>
    <row r="32" customFormat="false" ht="66" hidden="false" customHeight="true" outlineLevel="0" collapsed="false">
      <c r="A32" s="31" t="s">
        <v>63</v>
      </c>
      <c r="B32" s="32" t="s">
        <v>83</v>
      </c>
      <c r="C32" s="33" t="s">
        <v>84</v>
      </c>
      <c r="D32" s="34"/>
    </row>
    <row r="33" customFormat="false" ht="66" hidden="false" customHeight="true" outlineLevel="0" collapsed="false">
      <c r="A33" s="27" t="s">
        <v>63</v>
      </c>
      <c r="B33" s="28" t="s">
        <v>85</v>
      </c>
      <c r="C33" s="29" t="s">
        <v>86</v>
      </c>
      <c r="D33" s="30"/>
    </row>
    <row r="34" customFormat="false" ht="66" hidden="false" customHeight="true" outlineLevel="0" collapsed="false">
      <c r="A34" s="31" t="s">
        <v>63</v>
      </c>
      <c r="B34" s="32" t="s">
        <v>87</v>
      </c>
      <c r="C34" s="33" t="s">
        <v>88</v>
      </c>
      <c r="D34" s="36" t="s">
        <v>89</v>
      </c>
    </row>
    <row r="35" customFormat="false" ht="15" hidden="false" customHeight="false" outlineLevel="0" collapsed="false">
      <c r="D35" s="26" t="n">
        <f aca="false">'Parts Costing'!Y4+'Parts Costing'!Y5</f>
        <v>1078.384494</v>
      </c>
    </row>
    <row r="36" customFormat="false" ht="66" hidden="false" customHeight="true" outlineLevel="0" collapsed="false">
      <c r="A36" s="31" t="s">
        <v>63</v>
      </c>
      <c r="B36" s="32" t="s">
        <v>90</v>
      </c>
      <c r="C36" s="33" t="s">
        <v>91</v>
      </c>
      <c r="D36" s="34"/>
    </row>
    <row r="37" customFormat="false" ht="66" hidden="false" customHeight="true" outlineLevel="0" collapsed="false">
      <c r="A37" s="27" t="s">
        <v>63</v>
      </c>
      <c r="B37" s="28" t="s">
        <v>92</v>
      </c>
      <c r="C37" s="29" t="s">
        <v>93</v>
      </c>
      <c r="D37" s="25" t="s">
        <v>94</v>
      </c>
    </row>
    <row r="38" customFormat="false" ht="15" hidden="false" customHeight="false" outlineLevel="0" collapsed="false">
      <c r="D38" s="26" t="n">
        <f aca="false">'Parts Costing'!Y5</f>
        <v>338.4546</v>
      </c>
    </row>
    <row r="39" customFormat="false" ht="66" hidden="false" customHeight="true" outlineLevel="0" collapsed="false">
      <c r="A39" s="27" t="s">
        <v>63</v>
      </c>
      <c r="B39" s="28" t="s">
        <v>95</v>
      </c>
      <c r="C39" s="29" t="s">
        <v>96</v>
      </c>
      <c r="D39" s="30"/>
    </row>
    <row r="40" customFormat="false" ht="66" hidden="false" customHeight="true" outlineLevel="0" collapsed="false">
      <c r="A40" s="31" t="s">
        <v>63</v>
      </c>
      <c r="B40" s="32" t="s">
        <v>97</v>
      </c>
      <c r="C40" s="33" t="s">
        <v>98</v>
      </c>
      <c r="D40" s="34"/>
    </row>
  </sheetData>
  <mergeCells count="4">
    <mergeCell ref="A1:D1"/>
    <mergeCell ref="A2:D2"/>
    <mergeCell ref="A3:D3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8"/>
  </cols>
  <sheetData>
    <row r="1" customFormat="false" ht="30" hidden="false" customHeight="true" outlineLevel="0" collapsed="false">
      <c r="A1" s="1" t="s">
        <v>99</v>
      </c>
      <c r="B1" s="1"/>
      <c r="C1" s="1"/>
      <c r="D1" s="1"/>
    </row>
    <row r="2" customFormat="false" ht="18" hidden="false" customHeight="true" outlineLevel="0" collapsed="false">
      <c r="A2" s="2" t="s">
        <v>100</v>
      </c>
      <c r="B2" s="2"/>
      <c r="C2" s="2"/>
      <c r="D2" s="2"/>
    </row>
    <row r="3" customFormat="false" ht="15" hidden="false" customHeight="false" outlineLevel="0" collapsed="false">
      <c r="A3" s="37" t="s">
        <v>101</v>
      </c>
      <c r="B3" s="37"/>
      <c r="C3" s="37"/>
      <c r="D3" s="37"/>
    </row>
    <row r="4" customFormat="false" ht="15" hidden="false" customHeight="false" outlineLevel="0" collapsed="false">
      <c r="A4" s="38" t="s">
        <v>102</v>
      </c>
      <c r="B4" s="39" t="n">
        <v>72000</v>
      </c>
      <c r="C4" s="40" t="s">
        <v>103</v>
      </c>
      <c r="D4" s="40" t="s">
        <v>104</v>
      </c>
    </row>
    <row r="5" customFormat="false" ht="15" hidden="false" customHeight="false" outlineLevel="0" collapsed="false">
      <c r="A5" s="38" t="s">
        <v>105</v>
      </c>
      <c r="B5" s="41" t="n">
        <v>5</v>
      </c>
      <c r="C5" s="40" t="s">
        <v>106</v>
      </c>
      <c r="D5" s="40" t="s">
        <v>107</v>
      </c>
    </row>
    <row r="6" customFormat="false" ht="15" hidden="false" customHeight="false" outlineLevel="0" collapsed="false">
      <c r="A6" s="38" t="s">
        <v>108</v>
      </c>
      <c r="B6" s="41" t="s">
        <v>109</v>
      </c>
      <c r="C6" s="40"/>
      <c r="D6" s="40" t="s">
        <v>110</v>
      </c>
    </row>
    <row r="7" customFormat="false" ht="15" hidden="false" customHeight="false" outlineLevel="0" collapsed="false">
      <c r="A7" s="38" t="s">
        <v>111</v>
      </c>
      <c r="B7" s="39" t="n">
        <v>106</v>
      </c>
      <c r="C7" s="40" t="s">
        <v>112</v>
      </c>
      <c r="D7" s="40" t="s">
        <v>113</v>
      </c>
    </row>
    <row r="9" customFormat="false" ht="15" hidden="false" customHeight="false" outlineLevel="0" collapsed="false">
      <c r="A9" s="37" t="s">
        <v>114</v>
      </c>
      <c r="B9" s="37"/>
      <c r="C9" s="37"/>
      <c r="D9" s="37"/>
    </row>
    <row r="10" customFormat="false" ht="15" hidden="false" customHeight="false" outlineLevel="0" collapsed="false">
      <c r="A10" s="38" t="s">
        <v>115</v>
      </c>
      <c r="B10" s="42" t="n">
        <v>98</v>
      </c>
      <c r="C10" s="40" t="s">
        <v>116</v>
      </c>
      <c r="D10" s="40" t="s">
        <v>117</v>
      </c>
    </row>
    <row r="11" customFormat="false" ht="15" hidden="false" customHeight="false" outlineLevel="0" collapsed="false">
      <c r="A11" s="38" t="s">
        <v>118</v>
      </c>
      <c r="B11" s="42" t="n">
        <v>142</v>
      </c>
      <c r="C11" s="40" t="s">
        <v>116</v>
      </c>
      <c r="D11" s="40" t="s">
        <v>119</v>
      </c>
    </row>
    <row r="12" customFormat="false" ht="15" hidden="false" customHeight="false" outlineLevel="0" collapsed="false">
      <c r="A12" s="38" t="s">
        <v>120</v>
      </c>
      <c r="B12" s="42" t="n">
        <v>148</v>
      </c>
      <c r="C12" s="40" t="s">
        <v>116</v>
      </c>
      <c r="D12" s="40" t="s">
        <v>121</v>
      </c>
    </row>
    <row r="13" customFormat="false" ht="15" hidden="false" customHeight="false" outlineLevel="0" collapsed="false">
      <c r="A13" s="38" t="s">
        <v>122</v>
      </c>
      <c r="B13" s="42" t="n">
        <v>330</v>
      </c>
      <c r="C13" s="40" t="s">
        <v>116</v>
      </c>
      <c r="D13" s="40" t="s">
        <v>123</v>
      </c>
    </row>
    <row r="14" customFormat="false" ht="15" hidden="false" customHeight="false" outlineLevel="0" collapsed="false">
      <c r="A14" s="38" t="s">
        <v>124</v>
      </c>
      <c r="B14" s="42" t="n">
        <v>210</v>
      </c>
      <c r="C14" s="40" t="s">
        <v>116</v>
      </c>
      <c r="D14" s="40" t="s">
        <v>125</v>
      </c>
    </row>
    <row r="15" customFormat="false" ht="15" hidden="false" customHeight="false" outlineLevel="0" collapsed="false">
      <c r="A15" s="38" t="s">
        <v>126</v>
      </c>
      <c r="B15" s="42" t="n">
        <v>68</v>
      </c>
      <c r="C15" s="40" t="s">
        <v>116</v>
      </c>
      <c r="D15" s="40" t="s">
        <v>127</v>
      </c>
    </row>
    <row r="16" customFormat="false" ht="15" hidden="false" customHeight="false" outlineLevel="0" collapsed="false">
      <c r="A16" s="38" t="s">
        <v>128</v>
      </c>
      <c r="B16" s="42" t="n">
        <v>32</v>
      </c>
      <c r="C16" s="40" t="s">
        <v>116</v>
      </c>
      <c r="D16" s="40" t="s">
        <v>129</v>
      </c>
    </row>
    <row r="17" customFormat="false" ht="15" hidden="false" customHeight="false" outlineLevel="0" collapsed="false">
      <c r="A17" s="38" t="s">
        <v>130</v>
      </c>
      <c r="B17" s="42" t="n">
        <v>40</v>
      </c>
      <c r="C17" s="40" t="s">
        <v>116</v>
      </c>
      <c r="D17" s="40" t="s">
        <v>131</v>
      </c>
    </row>
    <row r="18" customFormat="false" ht="15" hidden="false" customHeight="false" outlineLevel="0" collapsed="false">
      <c r="A18" s="38" t="s">
        <v>132</v>
      </c>
      <c r="B18" s="42" t="n">
        <v>160</v>
      </c>
      <c r="C18" s="40" t="s">
        <v>133</v>
      </c>
      <c r="D18" s="40" t="s">
        <v>134</v>
      </c>
    </row>
    <row r="20" customFormat="false" ht="15" hidden="false" customHeight="false" outlineLevel="0" collapsed="false">
      <c r="A20" s="37" t="s">
        <v>135</v>
      </c>
      <c r="B20" s="37"/>
      <c r="C20" s="37"/>
      <c r="D20" s="37"/>
    </row>
    <row r="21" customFormat="false" ht="15" hidden="false" customHeight="false" outlineLevel="0" collapsed="false">
      <c r="A21" s="38" t="s">
        <v>136</v>
      </c>
      <c r="B21" s="43" t="n">
        <v>2100</v>
      </c>
      <c r="C21" s="40" t="s">
        <v>137</v>
      </c>
      <c r="D21" s="40" t="s">
        <v>138</v>
      </c>
    </row>
    <row r="22" customFormat="false" ht="15" hidden="false" customHeight="false" outlineLevel="0" collapsed="false">
      <c r="A22" s="38" t="s">
        <v>139</v>
      </c>
      <c r="B22" s="43" t="n">
        <v>1150</v>
      </c>
      <c r="C22" s="40" t="s">
        <v>137</v>
      </c>
      <c r="D22" s="40" t="s">
        <v>140</v>
      </c>
    </row>
    <row r="23" customFormat="false" ht="15" hidden="false" customHeight="false" outlineLevel="0" collapsed="false">
      <c r="A23" s="38" t="s">
        <v>141</v>
      </c>
      <c r="B23" s="43" t="n">
        <v>700</v>
      </c>
      <c r="C23" s="40" t="s">
        <v>137</v>
      </c>
      <c r="D23" s="40" t="s">
        <v>142</v>
      </c>
    </row>
    <row r="24" customFormat="false" ht="15" hidden="false" customHeight="false" outlineLevel="0" collapsed="false">
      <c r="A24" s="38" t="s">
        <v>143</v>
      </c>
      <c r="B24" s="43" t="n">
        <v>520</v>
      </c>
      <c r="C24" s="40" t="s">
        <v>137</v>
      </c>
      <c r="D24" s="40" t="s">
        <v>144</v>
      </c>
    </row>
    <row r="25" customFormat="false" ht="15" hidden="false" customHeight="false" outlineLevel="0" collapsed="false">
      <c r="A25" s="38" t="s">
        <v>145</v>
      </c>
      <c r="B25" s="43" t="n">
        <v>400</v>
      </c>
      <c r="C25" s="40" t="s">
        <v>137</v>
      </c>
      <c r="D25" s="40" t="s">
        <v>146</v>
      </c>
    </row>
    <row r="26" customFormat="false" ht="15" hidden="false" customHeight="false" outlineLevel="0" collapsed="false">
      <c r="A26" s="38" t="s">
        <v>147</v>
      </c>
      <c r="B26" s="43" t="n">
        <v>650</v>
      </c>
      <c r="C26" s="40" t="s">
        <v>137</v>
      </c>
      <c r="D26" s="40" t="s">
        <v>148</v>
      </c>
    </row>
    <row r="27" customFormat="false" ht="15" hidden="false" customHeight="false" outlineLevel="0" collapsed="false">
      <c r="A27" s="38" t="s">
        <v>149</v>
      </c>
      <c r="B27" s="43" t="n">
        <v>900</v>
      </c>
      <c r="C27" s="40" t="s">
        <v>137</v>
      </c>
      <c r="D27" s="40" t="s">
        <v>150</v>
      </c>
    </row>
    <row r="28" customFormat="false" ht="15" hidden="false" customHeight="false" outlineLevel="0" collapsed="false">
      <c r="A28" s="38" t="s">
        <v>151</v>
      </c>
      <c r="B28" s="43" t="n">
        <v>1600</v>
      </c>
      <c r="C28" s="40" t="s">
        <v>137</v>
      </c>
      <c r="D28" s="40" t="s">
        <v>152</v>
      </c>
    </row>
    <row r="29" customFormat="false" ht="15" hidden="false" customHeight="false" outlineLevel="0" collapsed="false">
      <c r="A29" s="38" t="s">
        <v>153</v>
      </c>
      <c r="B29" s="43" t="n">
        <v>800</v>
      </c>
      <c r="C29" s="40" t="s">
        <v>137</v>
      </c>
      <c r="D29" s="40" t="s">
        <v>154</v>
      </c>
    </row>
    <row r="30" customFormat="false" ht="15" hidden="false" customHeight="false" outlineLevel="0" collapsed="false">
      <c r="A30" s="38" t="s">
        <v>155</v>
      </c>
      <c r="B30" s="43" t="n">
        <v>2400</v>
      </c>
      <c r="C30" s="40" t="s">
        <v>137</v>
      </c>
      <c r="D30" s="40" t="s">
        <v>156</v>
      </c>
    </row>
    <row r="32" customFormat="false" ht="15" hidden="false" customHeight="false" outlineLevel="0" collapsed="false">
      <c r="A32" s="37" t="s">
        <v>157</v>
      </c>
      <c r="B32" s="37"/>
      <c r="C32" s="37"/>
      <c r="D32" s="37"/>
    </row>
    <row r="33" customFormat="false" ht="15" hidden="false" customHeight="false" outlineLevel="0" collapsed="false">
      <c r="A33" s="38" t="s">
        <v>158</v>
      </c>
      <c r="B33" s="43" t="n">
        <v>190</v>
      </c>
      <c r="C33" s="40" t="s">
        <v>137</v>
      </c>
      <c r="D33" s="40" t="s">
        <v>159</v>
      </c>
    </row>
    <row r="34" customFormat="false" ht="15" hidden="false" customHeight="false" outlineLevel="0" collapsed="false">
      <c r="A34" s="38" t="s">
        <v>160</v>
      </c>
      <c r="B34" s="43" t="n">
        <v>260</v>
      </c>
      <c r="C34" s="40" t="s">
        <v>137</v>
      </c>
      <c r="D34" s="40"/>
    </row>
    <row r="35" customFormat="false" ht="15" hidden="false" customHeight="false" outlineLevel="0" collapsed="false">
      <c r="A35" s="38" t="s">
        <v>161</v>
      </c>
      <c r="B35" s="43" t="n">
        <v>230</v>
      </c>
      <c r="C35" s="40" t="s">
        <v>137</v>
      </c>
      <c r="D35" s="40" t="s">
        <v>162</v>
      </c>
    </row>
    <row r="37" customFormat="false" ht="15" hidden="false" customHeight="false" outlineLevel="0" collapsed="false">
      <c r="A37" s="37" t="s">
        <v>163</v>
      </c>
      <c r="B37" s="37"/>
      <c r="C37" s="37"/>
      <c r="D37" s="37"/>
    </row>
    <row r="38" customFormat="false" ht="15" hidden="false" customHeight="false" outlineLevel="0" collapsed="false">
      <c r="A38" s="38" t="s">
        <v>164</v>
      </c>
      <c r="B38" s="44" t="n">
        <v>0.4</v>
      </c>
      <c r="C38" s="40" t="s">
        <v>165</v>
      </c>
      <c r="D38" s="40" t="s">
        <v>166</v>
      </c>
    </row>
    <row r="39" customFormat="false" ht="15" hidden="false" customHeight="false" outlineLevel="0" collapsed="false">
      <c r="A39" s="38" t="s">
        <v>167</v>
      </c>
      <c r="B39" s="44" t="n">
        <v>0.08</v>
      </c>
      <c r="C39" s="40" t="s">
        <v>165</v>
      </c>
      <c r="D39" s="40" t="s">
        <v>168</v>
      </c>
    </row>
    <row r="40" customFormat="false" ht="15" hidden="false" customHeight="false" outlineLevel="0" collapsed="false">
      <c r="A40" s="38" t="s">
        <v>169</v>
      </c>
      <c r="B40" s="44" t="n">
        <v>0.1</v>
      </c>
      <c r="C40" s="40" t="s">
        <v>165</v>
      </c>
      <c r="D40" s="40" t="s">
        <v>170</v>
      </c>
    </row>
    <row r="41" customFormat="false" ht="15" hidden="false" customHeight="false" outlineLevel="0" collapsed="false">
      <c r="A41" s="38" t="s">
        <v>171</v>
      </c>
      <c r="B41" s="44" t="n">
        <v>0.03</v>
      </c>
      <c r="C41" s="40" t="s">
        <v>165</v>
      </c>
      <c r="D41" s="40" t="s">
        <v>172</v>
      </c>
    </row>
    <row r="42" customFormat="false" ht="15" hidden="false" customHeight="false" outlineLevel="0" collapsed="false">
      <c r="A42" s="38" t="s">
        <v>173</v>
      </c>
      <c r="B42" s="44" t="n">
        <v>0.45</v>
      </c>
      <c r="C42" s="40" t="s">
        <v>165</v>
      </c>
      <c r="D42" s="40" t="s">
        <v>174</v>
      </c>
    </row>
    <row r="43" customFormat="false" ht="15" hidden="false" customHeight="false" outlineLevel="0" collapsed="false">
      <c r="A43" s="38" t="s">
        <v>175</v>
      </c>
      <c r="B43" s="42" t="n">
        <v>55</v>
      </c>
      <c r="C43" s="40" t="s">
        <v>133</v>
      </c>
      <c r="D43" s="40" t="s">
        <v>176</v>
      </c>
    </row>
    <row r="44" customFormat="false" ht="15" hidden="false" customHeight="false" outlineLevel="0" collapsed="false">
      <c r="A44" s="38" t="s">
        <v>177</v>
      </c>
      <c r="B44" s="45" t="n">
        <v>4</v>
      </c>
      <c r="C44" s="40" t="s">
        <v>178</v>
      </c>
      <c r="D44" s="40" t="s">
        <v>179</v>
      </c>
    </row>
  </sheetData>
  <mergeCells count="7">
    <mergeCell ref="A1:D1"/>
    <mergeCell ref="A2:D2"/>
    <mergeCell ref="A3:D3"/>
    <mergeCell ref="A9:D9"/>
    <mergeCell ref="A20:D20"/>
    <mergeCell ref="A32:D32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10" min="8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1" min="20" style="0" width="10"/>
    <col collapsed="false" customWidth="true" hidden="false" outlineLevel="0" max="22" min="22" style="0" width="11"/>
    <col collapsed="false" customWidth="true" hidden="false" outlineLevel="0" max="24" min="23" style="0" width="9"/>
    <col collapsed="false" customWidth="true" hidden="false" outlineLevel="0" max="26" min="25" style="0" width="12"/>
  </cols>
  <sheetData>
    <row r="1" customFormat="false" ht="30" hidden="false" customHeight="true" outlineLevel="0" collapsed="false">
      <c r="A1" s="1" t="s">
        <v>180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" t="s">
        <v>181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3" t="s">
        <v>182</v>
      </c>
      <c r="B3" s="3" t="s">
        <v>183</v>
      </c>
      <c r="C3" s="3" t="s">
        <v>184</v>
      </c>
      <c r="D3" s="3" t="s">
        <v>185</v>
      </c>
      <c r="E3" s="3" t="s">
        <v>186</v>
      </c>
      <c r="F3" s="3" t="s">
        <v>187</v>
      </c>
      <c r="G3" s="3" t="s">
        <v>188</v>
      </c>
      <c r="H3" s="3" t="s">
        <v>189</v>
      </c>
      <c r="I3" s="3" t="s">
        <v>190</v>
      </c>
      <c r="J3" s="3" t="s">
        <v>191</v>
      </c>
      <c r="K3" s="3" t="s">
        <v>192</v>
      </c>
      <c r="L3" s="3" t="s">
        <v>193</v>
      </c>
      <c r="M3" s="3" t="s">
        <v>194</v>
      </c>
      <c r="N3" s="3" t="s">
        <v>195</v>
      </c>
      <c r="O3" s="3" t="s">
        <v>196</v>
      </c>
      <c r="P3" s="3" t="s">
        <v>197</v>
      </c>
      <c r="Q3" s="3" t="s">
        <v>198</v>
      </c>
      <c r="R3" s="3" t="s">
        <v>199</v>
      </c>
      <c r="S3" s="3" t="s">
        <v>200</v>
      </c>
      <c r="T3" s="3" t="s">
        <v>201</v>
      </c>
      <c r="U3" s="3" t="s">
        <v>202</v>
      </c>
      <c r="V3" s="3" t="s">
        <v>203</v>
      </c>
      <c r="W3" s="3" t="s">
        <v>204</v>
      </c>
      <c r="X3" s="3" t="s">
        <v>205</v>
      </c>
      <c r="Y3" s="3" t="s">
        <v>206</v>
      </c>
      <c r="Z3" s="3" t="s">
        <v>207</v>
      </c>
    </row>
    <row r="4" customFormat="false" ht="24" hidden="false" customHeight="true" outlineLevel="0" collapsed="false">
      <c r="A4" s="46" t="n">
        <v>1</v>
      </c>
      <c r="B4" s="47" t="s">
        <v>208</v>
      </c>
      <c r="C4" s="48" t="s">
        <v>209</v>
      </c>
      <c r="D4" s="48" t="s">
        <v>210</v>
      </c>
      <c r="E4" s="46" t="n">
        <v>1</v>
      </c>
      <c r="F4" s="49" t="n">
        <v>3.6</v>
      </c>
      <c r="G4" s="50" t="n">
        <v>0.04</v>
      </c>
      <c r="H4" s="51" t="n">
        <f aca="false">Assumptions!$B$11</f>
        <v>142</v>
      </c>
      <c r="I4" s="51" t="n">
        <f aca="false">Assumptions!$B$17</f>
        <v>40</v>
      </c>
      <c r="J4" s="51" t="n">
        <f aca="false">F4*(1+G4)*H4-F4*G4*I4</f>
        <v>525.888</v>
      </c>
      <c r="K4" s="48" t="s">
        <v>211</v>
      </c>
      <c r="L4" s="52" t="n">
        <f aca="false">Assumptions!$B$21</f>
        <v>2100</v>
      </c>
      <c r="M4" s="53" t="n">
        <v>55</v>
      </c>
      <c r="N4" s="54" t="n">
        <v>1</v>
      </c>
      <c r="O4" s="51" t="n">
        <f aca="false">M4*L4/3600/N4</f>
        <v>32.0833333333333</v>
      </c>
      <c r="P4" s="54" t="n">
        <v>0.5</v>
      </c>
      <c r="Q4" s="52" t="n">
        <f aca="false">Assumptions!$B$33</f>
        <v>190</v>
      </c>
      <c r="R4" s="51" t="n">
        <f aca="false">M4*P4*Q4/3600/N4</f>
        <v>1.45138888888889</v>
      </c>
      <c r="S4" s="55" t="n">
        <v>18000000</v>
      </c>
      <c r="T4" s="51" t="n">
        <f aca="false">S4/(Assumptions!$B$4*Assumptions!$B$5*E4)</f>
        <v>50</v>
      </c>
      <c r="U4" s="51" t="n">
        <f aca="false">(O4+R4)*Assumptions!$B$38</f>
        <v>13.4138888888889</v>
      </c>
      <c r="V4" s="51" t="n">
        <f aca="false">J4+O4+R4+T4+U4</f>
        <v>622.836611111111</v>
      </c>
      <c r="W4" s="51" t="n">
        <f aca="false">V4*Assumptions!$B$39</f>
        <v>49.8269288888889</v>
      </c>
      <c r="X4" s="51" t="n">
        <f aca="false">(V4+W4)*Assumptions!$B$40</f>
        <v>67.266354</v>
      </c>
      <c r="Y4" s="56" t="n">
        <f aca="false">V4+W4+X4</f>
        <v>739.929894</v>
      </c>
      <c r="Z4" s="56" t="n">
        <f aca="false">Y4*E4</f>
        <v>739.929894</v>
      </c>
    </row>
    <row r="5" customFormat="false" ht="24" hidden="false" customHeight="true" outlineLevel="0" collapsed="false">
      <c r="A5" s="57" t="n">
        <v>2</v>
      </c>
      <c r="B5" s="58" t="s">
        <v>212</v>
      </c>
      <c r="C5" s="59" t="s">
        <v>213</v>
      </c>
      <c r="D5" s="59" t="s">
        <v>214</v>
      </c>
      <c r="E5" s="57" t="n">
        <v>1</v>
      </c>
      <c r="F5" s="57"/>
      <c r="G5" s="57"/>
      <c r="H5" s="57"/>
      <c r="I5" s="57"/>
      <c r="J5" s="60" t="n">
        <f aca="false">Assumptions!$B$18</f>
        <v>160</v>
      </c>
      <c r="K5" s="59" t="s">
        <v>215</v>
      </c>
      <c r="L5" s="61" t="n">
        <f aca="false">Assumptions!$B$30</f>
        <v>2400</v>
      </c>
      <c r="M5" s="53" t="n">
        <v>110</v>
      </c>
      <c r="N5" s="54" t="n">
        <v>1</v>
      </c>
      <c r="O5" s="60" t="n">
        <f aca="false">M5*L5/3600/N5</f>
        <v>73.3333333333333</v>
      </c>
      <c r="P5" s="54" t="n">
        <v>0.5</v>
      </c>
      <c r="Q5" s="61" t="n">
        <f aca="false">Assumptions!$B$34</f>
        <v>260</v>
      </c>
      <c r="R5" s="60" t="n">
        <f aca="false">M5*P5*Q5/3600/N5</f>
        <v>3.97222222222222</v>
      </c>
      <c r="S5" s="55" t="n">
        <v>6000000</v>
      </c>
      <c r="T5" s="60" t="n">
        <f aca="false">S5/(Assumptions!$B$4*Assumptions!$B$5*E5)</f>
        <v>16.6666666666667</v>
      </c>
      <c r="U5" s="60" t="n">
        <f aca="false">(O5+R5)*Assumptions!$B$38</f>
        <v>30.9222222222222</v>
      </c>
      <c r="V5" s="60" t="n">
        <f aca="false">J5+O5+R5+T5+U5</f>
        <v>284.894444444444</v>
      </c>
      <c r="W5" s="60" t="n">
        <f aca="false">V5*Assumptions!$B$39</f>
        <v>22.7915555555556</v>
      </c>
      <c r="X5" s="60" t="n">
        <f aca="false">(V5+W5)*Assumptions!$B$40</f>
        <v>30.7686</v>
      </c>
      <c r="Y5" s="62" t="n">
        <f aca="false">V5+W5+X5</f>
        <v>338.4546</v>
      </c>
      <c r="Z5" s="62" t="n">
        <f aca="false">Y5*E5</f>
        <v>338.4546</v>
      </c>
    </row>
    <row r="6" customFormat="false" ht="24" hidden="false" customHeight="true" outlineLevel="0" collapsed="false">
      <c r="A6" s="46" t="n">
        <v>3</v>
      </c>
      <c r="B6" s="47" t="s">
        <v>216</v>
      </c>
      <c r="C6" s="48" t="s">
        <v>209</v>
      </c>
      <c r="D6" s="48" t="s">
        <v>217</v>
      </c>
      <c r="E6" s="46" t="n">
        <v>1</v>
      </c>
      <c r="F6" s="49" t="n">
        <v>0.45</v>
      </c>
      <c r="G6" s="50" t="n">
        <v>0.05</v>
      </c>
      <c r="H6" s="51" t="n">
        <f aca="false">Assumptions!$B$10</f>
        <v>98</v>
      </c>
      <c r="I6" s="51" t="n">
        <f aca="false">Assumptions!$B$17</f>
        <v>40</v>
      </c>
      <c r="J6" s="51" t="n">
        <f aca="false">F6*(1+G6)*H6-F6*G6*I6</f>
        <v>45.405</v>
      </c>
      <c r="K6" s="48" t="s">
        <v>218</v>
      </c>
      <c r="L6" s="52" t="n">
        <f aca="false">Assumptions!$B$23</f>
        <v>700</v>
      </c>
      <c r="M6" s="53" t="n">
        <v>32</v>
      </c>
      <c r="N6" s="54" t="n">
        <v>1</v>
      </c>
      <c r="O6" s="51" t="n">
        <f aca="false">M6*L6/3600/N6</f>
        <v>6.22222222222222</v>
      </c>
      <c r="P6" s="54" t="n">
        <v>0.33</v>
      </c>
      <c r="Q6" s="52" t="n">
        <f aca="false">Assumptions!$B$33</f>
        <v>190</v>
      </c>
      <c r="R6" s="51" t="n">
        <f aca="false">M6*P6*Q6/3600/N6</f>
        <v>0.557333333333333</v>
      </c>
      <c r="S6" s="55" t="n">
        <v>5000000</v>
      </c>
      <c r="T6" s="51" t="n">
        <f aca="false">S6/(Assumptions!$B$4*Assumptions!$B$5*E6)</f>
        <v>13.8888888888889</v>
      </c>
      <c r="U6" s="51" t="n">
        <f aca="false">(O6+R6)*Assumptions!$B$38</f>
        <v>2.71182222222222</v>
      </c>
      <c r="V6" s="51" t="n">
        <f aca="false">J6+O6+R6+T6+U6</f>
        <v>68.7852666666667</v>
      </c>
      <c r="W6" s="51" t="n">
        <f aca="false">V6*Assumptions!$B$39</f>
        <v>5.50282133333333</v>
      </c>
      <c r="X6" s="51" t="n">
        <f aca="false">(V6+W6)*Assumptions!$B$40</f>
        <v>7.4288088</v>
      </c>
      <c r="Y6" s="56" t="n">
        <f aca="false">V6+W6+X6</f>
        <v>81.7168968</v>
      </c>
      <c r="Z6" s="56" t="n">
        <f aca="false">Y6*E6</f>
        <v>81.7168968</v>
      </c>
    </row>
    <row r="7" customFormat="false" ht="24" hidden="false" customHeight="true" outlineLevel="0" collapsed="false">
      <c r="A7" s="57" t="n">
        <v>4</v>
      </c>
      <c r="B7" s="58" t="s">
        <v>219</v>
      </c>
      <c r="C7" s="59" t="s">
        <v>209</v>
      </c>
      <c r="D7" s="59" t="s">
        <v>217</v>
      </c>
      <c r="E7" s="57" t="n">
        <v>1</v>
      </c>
      <c r="F7" s="49" t="n">
        <v>0.55</v>
      </c>
      <c r="G7" s="50" t="n">
        <v>0.05</v>
      </c>
      <c r="H7" s="60" t="n">
        <f aca="false">Assumptions!$B$10</f>
        <v>98</v>
      </c>
      <c r="I7" s="60" t="n">
        <f aca="false">Assumptions!$B$17</f>
        <v>40</v>
      </c>
      <c r="J7" s="60" t="n">
        <f aca="false">F7*(1+G7)*H7-F7*G7*I7</f>
        <v>55.495</v>
      </c>
      <c r="K7" s="59" t="s">
        <v>218</v>
      </c>
      <c r="L7" s="61" t="n">
        <f aca="false">Assumptions!$B$23</f>
        <v>700</v>
      </c>
      <c r="M7" s="53" t="n">
        <v>38</v>
      </c>
      <c r="N7" s="54" t="n">
        <v>1</v>
      </c>
      <c r="O7" s="60" t="n">
        <f aca="false">M7*L7/3600/N7</f>
        <v>7.38888888888889</v>
      </c>
      <c r="P7" s="54" t="n">
        <v>0.33</v>
      </c>
      <c r="Q7" s="61" t="n">
        <f aca="false">Assumptions!$B$33</f>
        <v>190</v>
      </c>
      <c r="R7" s="60" t="n">
        <f aca="false">M7*P7*Q7/3600/N7</f>
        <v>0.661833333333333</v>
      </c>
      <c r="S7" s="55" t="n">
        <v>5000000</v>
      </c>
      <c r="T7" s="60" t="n">
        <f aca="false">S7/(Assumptions!$B$4*Assumptions!$B$5*E7)</f>
        <v>13.8888888888889</v>
      </c>
      <c r="U7" s="60" t="n">
        <f aca="false">(O7+R7)*Assumptions!$B$38</f>
        <v>3.22028888888889</v>
      </c>
      <c r="V7" s="60" t="n">
        <f aca="false">J7+O7+R7+T7+U7</f>
        <v>80.6549</v>
      </c>
      <c r="W7" s="60" t="n">
        <f aca="false">V7*Assumptions!$B$39</f>
        <v>6.452392</v>
      </c>
      <c r="X7" s="60" t="n">
        <f aca="false">(V7+W7)*Assumptions!$B$40</f>
        <v>8.7107292</v>
      </c>
      <c r="Y7" s="62" t="n">
        <f aca="false">V7+W7+X7</f>
        <v>95.8180212</v>
      </c>
      <c r="Z7" s="62" t="n">
        <f aca="false">Y7*E7</f>
        <v>95.8180212</v>
      </c>
    </row>
    <row r="8" customFormat="false" ht="24" hidden="false" customHeight="true" outlineLevel="0" collapsed="false">
      <c r="A8" s="46" t="n">
        <v>5</v>
      </c>
      <c r="B8" s="47" t="s">
        <v>220</v>
      </c>
      <c r="C8" s="48" t="s">
        <v>209</v>
      </c>
      <c r="D8" s="48" t="s">
        <v>221</v>
      </c>
      <c r="E8" s="46" t="n">
        <v>2</v>
      </c>
      <c r="F8" s="49" t="n">
        <v>0.12</v>
      </c>
      <c r="G8" s="50" t="n">
        <v>0.04</v>
      </c>
      <c r="H8" s="51" t="n">
        <f aca="false">Assumptions!$B$10</f>
        <v>98</v>
      </c>
      <c r="I8" s="51" t="n">
        <f aca="false">Assumptions!$B$17</f>
        <v>40</v>
      </c>
      <c r="J8" s="51" t="n">
        <f aca="false">F8*(1+G8)*H8-F8*G8*I8</f>
        <v>12.0384</v>
      </c>
      <c r="K8" s="48" t="s">
        <v>222</v>
      </c>
      <c r="L8" s="52" t="n">
        <f aca="false">Assumptions!$B$25</f>
        <v>400</v>
      </c>
      <c r="M8" s="53" t="n">
        <v>26</v>
      </c>
      <c r="N8" s="54" t="n">
        <v>2</v>
      </c>
      <c r="O8" s="51" t="n">
        <f aca="false">M8*L8/3600/N8</f>
        <v>1.44444444444444</v>
      </c>
      <c r="P8" s="54" t="n">
        <v>0.25</v>
      </c>
      <c r="Q8" s="52" t="n">
        <f aca="false">Assumptions!$B$33</f>
        <v>190</v>
      </c>
      <c r="R8" s="51" t="n">
        <f aca="false">M8*P8*Q8/3600/N8</f>
        <v>0.171527777777778</v>
      </c>
      <c r="S8" s="55" t="n">
        <v>1800000</v>
      </c>
      <c r="T8" s="51" t="n">
        <f aca="false">S8/(Assumptions!$B$4*Assumptions!$B$5*E8)</f>
        <v>2.5</v>
      </c>
      <c r="U8" s="51" t="n">
        <f aca="false">(O8+R8)*Assumptions!$B$38</f>
        <v>0.646388888888889</v>
      </c>
      <c r="V8" s="51" t="n">
        <f aca="false">J8+O8+R8+T8+U8</f>
        <v>16.8007611111111</v>
      </c>
      <c r="W8" s="51" t="n">
        <f aca="false">V8*Assumptions!$B$39</f>
        <v>1.34406088888889</v>
      </c>
      <c r="X8" s="51" t="n">
        <f aca="false">(V8+W8)*Assumptions!$B$40</f>
        <v>1.8144822</v>
      </c>
      <c r="Y8" s="56" t="n">
        <f aca="false">V8+W8+X8</f>
        <v>19.9593042</v>
      </c>
      <c r="Z8" s="56" t="n">
        <f aca="false">Y8*E8</f>
        <v>39.9186084</v>
      </c>
    </row>
    <row r="9" customFormat="false" ht="24" hidden="false" customHeight="true" outlineLevel="0" collapsed="false">
      <c r="A9" s="57" t="n">
        <v>6</v>
      </c>
      <c r="B9" s="58" t="s">
        <v>223</v>
      </c>
      <c r="C9" s="59" t="s">
        <v>209</v>
      </c>
      <c r="D9" s="59" t="s">
        <v>221</v>
      </c>
      <c r="E9" s="57" t="n">
        <v>1</v>
      </c>
      <c r="F9" s="49" t="n">
        <v>0.18</v>
      </c>
      <c r="G9" s="50" t="n">
        <v>0.04</v>
      </c>
      <c r="H9" s="60" t="n">
        <f aca="false">Assumptions!$B$10</f>
        <v>98</v>
      </c>
      <c r="I9" s="60" t="n">
        <f aca="false">Assumptions!$B$17</f>
        <v>40</v>
      </c>
      <c r="J9" s="60" t="n">
        <f aca="false">F9*(1+G9)*H9-F9*G9*I9</f>
        <v>18.0576</v>
      </c>
      <c r="K9" s="59" t="s">
        <v>222</v>
      </c>
      <c r="L9" s="61" t="n">
        <f aca="false">Assumptions!$B$25</f>
        <v>400</v>
      </c>
      <c r="M9" s="53" t="n">
        <v>28</v>
      </c>
      <c r="N9" s="54" t="n">
        <v>1</v>
      </c>
      <c r="O9" s="60" t="n">
        <f aca="false">M9*L9/3600/N9</f>
        <v>3.11111111111111</v>
      </c>
      <c r="P9" s="54" t="n">
        <v>0.25</v>
      </c>
      <c r="Q9" s="61" t="n">
        <f aca="false">Assumptions!$B$33</f>
        <v>190</v>
      </c>
      <c r="R9" s="60" t="n">
        <f aca="false">M9*P9*Q9/3600/N9</f>
        <v>0.369444444444444</v>
      </c>
      <c r="S9" s="55" t="n">
        <v>1200000</v>
      </c>
      <c r="T9" s="60" t="n">
        <f aca="false">S9/(Assumptions!$B$4*Assumptions!$B$5*E9)</f>
        <v>3.33333333333333</v>
      </c>
      <c r="U9" s="60" t="n">
        <f aca="false">(O9+R9)*Assumptions!$B$38</f>
        <v>1.39222222222222</v>
      </c>
      <c r="V9" s="60" t="n">
        <f aca="false">J9+O9+R9+T9+U9</f>
        <v>26.2637111111111</v>
      </c>
      <c r="W9" s="60" t="n">
        <f aca="false">V9*Assumptions!$B$39</f>
        <v>2.10109688888889</v>
      </c>
      <c r="X9" s="60" t="n">
        <f aca="false">(V9+W9)*Assumptions!$B$40</f>
        <v>2.8364808</v>
      </c>
      <c r="Y9" s="62" t="n">
        <f aca="false">V9+W9+X9</f>
        <v>31.2012888</v>
      </c>
      <c r="Z9" s="62" t="n">
        <f aca="false">Y9*E9</f>
        <v>31.2012888</v>
      </c>
    </row>
    <row r="10" customFormat="false" ht="24" hidden="false" customHeight="true" outlineLevel="0" collapsed="false">
      <c r="A10" s="46" t="n">
        <v>7</v>
      </c>
      <c r="B10" s="47" t="s">
        <v>224</v>
      </c>
      <c r="C10" s="48" t="s">
        <v>209</v>
      </c>
      <c r="D10" s="48" t="s">
        <v>225</v>
      </c>
      <c r="E10" s="46" t="n">
        <v>2</v>
      </c>
      <c r="F10" s="49" t="n">
        <v>0.15</v>
      </c>
      <c r="G10" s="50" t="n">
        <v>0.05</v>
      </c>
      <c r="H10" s="51" t="n">
        <f aca="false">Assumptions!$B$12</f>
        <v>148</v>
      </c>
      <c r="I10" s="51" t="n">
        <f aca="false">Assumptions!$B$17</f>
        <v>40</v>
      </c>
      <c r="J10" s="51" t="n">
        <f aca="false">F10*(1+G10)*H10-F10*G10*I10</f>
        <v>23.01</v>
      </c>
      <c r="K10" s="48" t="s">
        <v>226</v>
      </c>
      <c r="L10" s="52" t="n">
        <f aca="false">Assumptions!$B$24</f>
        <v>520</v>
      </c>
      <c r="M10" s="53" t="n">
        <v>34</v>
      </c>
      <c r="N10" s="54" t="n">
        <v>2</v>
      </c>
      <c r="O10" s="51" t="n">
        <f aca="false">M10*L10/3600/N10</f>
        <v>2.45555555555556</v>
      </c>
      <c r="P10" s="54" t="n">
        <v>0.33</v>
      </c>
      <c r="Q10" s="52" t="n">
        <f aca="false">Assumptions!$B$33</f>
        <v>190</v>
      </c>
      <c r="R10" s="51" t="n">
        <f aca="false">M10*P10*Q10/3600/N10</f>
        <v>0.296083333333333</v>
      </c>
      <c r="S10" s="55" t="n">
        <v>2800000</v>
      </c>
      <c r="T10" s="51" t="n">
        <f aca="false">S10/(Assumptions!$B$4*Assumptions!$B$5*E10)</f>
        <v>3.88888888888889</v>
      </c>
      <c r="U10" s="51" t="n">
        <f aca="false">(O10+R10)*Assumptions!$B$38</f>
        <v>1.10065555555556</v>
      </c>
      <c r="V10" s="51" t="n">
        <f aca="false">J10+O10+R10+T10+U10</f>
        <v>30.7511833333333</v>
      </c>
      <c r="W10" s="51" t="n">
        <f aca="false">V10*Assumptions!$B$39</f>
        <v>2.46009466666667</v>
      </c>
      <c r="X10" s="51" t="n">
        <f aca="false">(V10+W10)*Assumptions!$B$40</f>
        <v>3.3211278</v>
      </c>
      <c r="Y10" s="56" t="n">
        <f aca="false">V10+W10+X10</f>
        <v>36.5324058</v>
      </c>
      <c r="Z10" s="56" t="n">
        <f aca="false">Y10*E10</f>
        <v>73.0648116</v>
      </c>
    </row>
    <row r="11" customFormat="false" ht="24" hidden="false" customHeight="true" outlineLevel="0" collapsed="false">
      <c r="A11" s="57" t="n">
        <v>8</v>
      </c>
      <c r="B11" s="58" t="s">
        <v>227</v>
      </c>
      <c r="C11" s="59" t="s">
        <v>228</v>
      </c>
      <c r="D11" s="59" t="s">
        <v>229</v>
      </c>
      <c r="E11" s="57" t="n">
        <v>1</v>
      </c>
      <c r="F11" s="49" t="n">
        <v>0.25</v>
      </c>
      <c r="G11" s="50" t="n">
        <v>0.02</v>
      </c>
      <c r="H11" s="60" t="n">
        <f aca="false">Assumptions!$B$13</f>
        <v>330</v>
      </c>
      <c r="I11" s="60" t="n">
        <f aca="false">Assumptions!$B$17</f>
        <v>40</v>
      </c>
      <c r="J11" s="60" t="n">
        <f aca="false">F11*(1+G11)*H11-F11*G11*I11</f>
        <v>83.95</v>
      </c>
      <c r="K11" s="59" t="s">
        <v>230</v>
      </c>
      <c r="L11" s="61" t="n">
        <f aca="false">Assumptions!$B$26</f>
        <v>650</v>
      </c>
      <c r="M11" s="53" t="n">
        <v>90</v>
      </c>
      <c r="N11" s="54" t="n">
        <v>1</v>
      </c>
      <c r="O11" s="60" t="n">
        <f aca="false">M11*L11/3600/N11</f>
        <v>16.25</v>
      </c>
      <c r="P11" s="54" t="n">
        <v>0.5</v>
      </c>
      <c r="Q11" s="61" t="n">
        <f aca="false">Assumptions!$B$33</f>
        <v>190</v>
      </c>
      <c r="R11" s="60" t="n">
        <f aca="false">M11*P11*Q11/3600/N11</f>
        <v>2.375</v>
      </c>
      <c r="S11" s="55" t="n">
        <v>3500000</v>
      </c>
      <c r="T11" s="60" t="n">
        <f aca="false">S11/(Assumptions!$B$4*Assumptions!$B$5*E11)</f>
        <v>9.72222222222222</v>
      </c>
      <c r="U11" s="60" t="n">
        <f aca="false">(O11+R11)*Assumptions!$B$38</f>
        <v>7.45</v>
      </c>
      <c r="V11" s="60" t="n">
        <f aca="false">J11+O11+R11+T11+U11</f>
        <v>119.747222222222</v>
      </c>
      <c r="W11" s="60" t="n">
        <f aca="false">V11*Assumptions!$B$39</f>
        <v>9.57977777777778</v>
      </c>
      <c r="X11" s="60" t="n">
        <f aca="false">(V11+W11)*Assumptions!$B$40</f>
        <v>12.9327</v>
      </c>
      <c r="Y11" s="62" t="n">
        <f aca="false">V11+W11+X11</f>
        <v>142.2597</v>
      </c>
      <c r="Z11" s="62" t="n">
        <f aca="false">Y11*E11</f>
        <v>142.2597</v>
      </c>
    </row>
    <row r="12" customFormat="false" ht="24" hidden="false" customHeight="true" outlineLevel="0" collapsed="false">
      <c r="A12" s="46" t="n">
        <v>9</v>
      </c>
      <c r="B12" s="47" t="s">
        <v>231</v>
      </c>
      <c r="C12" s="48" t="s">
        <v>232</v>
      </c>
      <c r="D12" s="48" t="s">
        <v>233</v>
      </c>
      <c r="E12" s="46" t="n">
        <v>1</v>
      </c>
      <c r="F12" s="49" t="n">
        <v>4.2</v>
      </c>
      <c r="G12" s="50" t="n">
        <v>0.08</v>
      </c>
      <c r="H12" s="51" t="n">
        <f aca="false">Assumptions!$B$15</f>
        <v>68</v>
      </c>
      <c r="I12" s="51" t="n">
        <f aca="false">Assumptions!$B$16</f>
        <v>32</v>
      </c>
      <c r="J12" s="51" t="n">
        <f aca="false">F12*(1+G12)*H12-F12*G12*I12</f>
        <v>297.696</v>
      </c>
      <c r="K12" s="48" t="s">
        <v>234</v>
      </c>
      <c r="L12" s="52" t="n">
        <f aca="false">Assumptions!$B$28</f>
        <v>1600</v>
      </c>
      <c r="M12" s="53" t="n">
        <v>45</v>
      </c>
      <c r="N12" s="54" t="n">
        <v>1</v>
      </c>
      <c r="O12" s="51" t="n">
        <f aca="false">M12*L12/3600/N12</f>
        <v>20</v>
      </c>
      <c r="P12" s="54" t="n">
        <v>1</v>
      </c>
      <c r="Q12" s="52" t="n">
        <f aca="false">Assumptions!$B$33</f>
        <v>190</v>
      </c>
      <c r="R12" s="51" t="n">
        <f aca="false">M12*P12*Q12/3600/N12</f>
        <v>2.375</v>
      </c>
      <c r="S12" s="55" t="n">
        <v>5000000</v>
      </c>
      <c r="T12" s="51" t="n">
        <f aca="false">S12/(Assumptions!$B$4*Assumptions!$B$5*E12)</f>
        <v>13.8888888888889</v>
      </c>
      <c r="U12" s="51" t="n">
        <f aca="false">(O12+R12)*Assumptions!$B$38</f>
        <v>8.95</v>
      </c>
      <c r="V12" s="51" t="n">
        <f aca="false">J12+O12+R12+T12+U12</f>
        <v>342.909888888889</v>
      </c>
      <c r="W12" s="51" t="n">
        <f aca="false">V12*Assumptions!$B$39</f>
        <v>27.4327911111111</v>
      </c>
      <c r="X12" s="51" t="n">
        <f aca="false">(V12+W12)*Assumptions!$B$40</f>
        <v>37.034268</v>
      </c>
      <c r="Y12" s="56" t="n">
        <f aca="false">V12+W12+X12</f>
        <v>407.376948</v>
      </c>
      <c r="Z12" s="56" t="n">
        <f aca="false">Y12*E12</f>
        <v>407.376948</v>
      </c>
    </row>
    <row r="13" customFormat="false" ht="24" hidden="false" customHeight="true" outlineLevel="0" collapsed="false">
      <c r="A13" s="57" t="n">
        <v>10</v>
      </c>
      <c r="B13" s="58" t="s">
        <v>235</v>
      </c>
      <c r="C13" s="59" t="s">
        <v>236</v>
      </c>
      <c r="D13" s="59" t="s">
        <v>237</v>
      </c>
      <c r="E13" s="57" t="n">
        <v>1</v>
      </c>
      <c r="F13" s="57"/>
      <c r="G13" s="57"/>
      <c r="H13" s="57"/>
      <c r="I13" s="57"/>
      <c r="J13" s="60" t="n">
        <v>0</v>
      </c>
      <c r="K13" s="59" t="s">
        <v>238</v>
      </c>
      <c r="L13" s="61" t="n">
        <f aca="false">Assumptions!$B$29</f>
        <v>800</v>
      </c>
      <c r="M13" s="53" t="n">
        <v>60</v>
      </c>
      <c r="N13" s="54" t="n">
        <v>1</v>
      </c>
      <c r="O13" s="60" t="n">
        <f aca="false">M13*L13/3600/N13</f>
        <v>13.3333333333333</v>
      </c>
      <c r="P13" s="54" t="n">
        <v>1</v>
      </c>
      <c r="Q13" s="61" t="n">
        <f aca="false">Assumptions!$B$34</f>
        <v>260</v>
      </c>
      <c r="R13" s="60" t="n">
        <f aca="false">M13*P13*Q13/3600/N13</f>
        <v>4.33333333333333</v>
      </c>
      <c r="S13" s="55" t="n">
        <v>1500000</v>
      </c>
      <c r="T13" s="60" t="n">
        <f aca="false">S13/(Assumptions!$B$4*Assumptions!$B$5*E13)</f>
        <v>4.16666666666667</v>
      </c>
      <c r="U13" s="60" t="n">
        <f aca="false">(O13+R13)*Assumptions!$B$38</f>
        <v>7.06666666666667</v>
      </c>
      <c r="V13" s="60" t="n">
        <f aca="false">J13+O13+R13+T13+U13</f>
        <v>28.9</v>
      </c>
      <c r="W13" s="60" t="n">
        <f aca="false">V13*Assumptions!$B$39</f>
        <v>2.312</v>
      </c>
      <c r="X13" s="60" t="n">
        <f aca="false">(V13+W13)*Assumptions!$B$40</f>
        <v>3.1212</v>
      </c>
      <c r="Y13" s="62" t="n">
        <f aca="false">V13+W13+X13</f>
        <v>34.3332</v>
      </c>
      <c r="Z13" s="62" t="n">
        <f aca="false">Y13*E13</f>
        <v>34.3332</v>
      </c>
    </row>
    <row r="14" customFormat="false" ht="24" hidden="false" customHeight="true" outlineLevel="0" collapsed="false">
      <c r="A14" s="46" t="n">
        <v>11</v>
      </c>
      <c r="B14" s="47" t="s">
        <v>239</v>
      </c>
      <c r="C14" s="48" t="s">
        <v>240</v>
      </c>
      <c r="D14" s="48" t="s">
        <v>233</v>
      </c>
      <c r="E14" s="46" t="n">
        <v>2</v>
      </c>
      <c r="F14" s="49" t="n">
        <v>0.35</v>
      </c>
      <c r="G14" s="50" t="n">
        <v>0.12</v>
      </c>
      <c r="H14" s="51" t="n">
        <f aca="false">Assumptions!$B$15</f>
        <v>68</v>
      </c>
      <c r="I14" s="51" t="n">
        <f aca="false">Assumptions!$B$16</f>
        <v>32</v>
      </c>
      <c r="J14" s="51" t="n">
        <f aca="false">F14*(1+G14)*H14-F14*G14*I14</f>
        <v>25.312</v>
      </c>
      <c r="K14" s="48" t="s">
        <v>241</v>
      </c>
      <c r="L14" s="52" t="n">
        <f aca="false">Assumptions!$B$27</f>
        <v>900</v>
      </c>
      <c r="M14" s="53" t="n">
        <v>12</v>
      </c>
      <c r="N14" s="54" t="n">
        <v>2</v>
      </c>
      <c r="O14" s="51" t="n">
        <f aca="false">M14*L14/3600/N14</f>
        <v>1.5</v>
      </c>
      <c r="P14" s="54" t="n">
        <v>0.5</v>
      </c>
      <c r="Q14" s="52" t="n">
        <f aca="false">Assumptions!$B$33</f>
        <v>190</v>
      </c>
      <c r="R14" s="51" t="n">
        <f aca="false">M14*P14*Q14/3600/N14</f>
        <v>0.158333333333333</v>
      </c>
      <c r="S14" s="55" t="n">
        <v>2500000</v>
      </c>
      <c r="T14" s="51" t="n">
        <f aca="false">S14/(Assumptions!$B$4*Assumptions!$B$5*E14)</f>
        <v>3.47222222222222</v>
      </c>
      <c r="U14" s="51" t="n">
        <f aca="false">(O14+R14)*Assumptions!$B$38</f>
        <v>0.663333333333333</v>
      </c>
      <c r="V14" s="51" t="n">
        <f aca="false">J14+O14+R14+T14+U14</f>
        <v>31.1058888888889</v>
      </c>
      <c r="W14" s="51" t="n">
        <f aca="false">V14*Assumptions!$B$39</f>
        <v>2.48847111111111</v>
      </c>
      <c r="X14" s="51" t="n">
        <f aca="false">(V14+W14)*Assumptions!$B$40</f>
        <v>3.359436</v>
      </c>
      <c r="Y14" s="56" t="n">
        <f aca="false">V14+W14+X14</f>
        <v>36.953796</v>
      </c>
      <c r="Z14" s="56" t="n">
        <f aca="false">Y14*E14</f>
        <v>73.907592</v>
      </c>
    </row>
    <row r="15" customFormat="false" ht="24" hidden="false" customHeight="true" outlineLevel="0" collapsed="false">
      <c r="A15" s="57" t="n">
        <v>12</v>
      </c>
      <c r="B15" s="58" t="s">
        <v>242</v>
      </c>
      <c r="C15" s="59" t="s">
        <v>209</v>
      </c>
      <c r="D15" s="59" t="s">
        <v>221</v>
      </c>
      <c r="E15" s="57" t="n">
        <v>1</v>
      </c>
      <c r="F15" s="49" t="n">
        <v>0.05</v>
      </c>
      <c r="G15" s="50" t="n">
        <v>0.04</v>
      </c>
      <c r="H15" s="60" t="n">
        <f aca="false">Assumptions!$B$10</f>
        <v>98</v>
      </c>
      <c r="I15" s="60" t="n">
        <f aca="false">Assumptions!$B$17</f>
        <v>40</v>
      </c>
      <c r="J15" s="60" t="n">
        <f aca="false">F15*(1+G15)*H15-F15*G15*I15</f>
        <v>5.016</v>
      </c>
      <c r="K15" s="59" t="s">
        <v>222</v>
      </c>
      <c r="L15" s="61" t="n">
        <f aca="false">Assumptions!$B$25</f>
        <v>400</v>
      </c>
      <c r="M15" s="53" t="n">
        <v>22</v>
      </c>
      <c r="N15" s="54" t="n">
        <v>2</v>
      </c>
      <c r="O15" s="60" t="n">
        <f aca="false">M15*L15/3600/N15</f>
        <v>1.22222222222222</v>
      </c>
      <c r="P15" s="54" t="n">
        <v>0.25</v>
      </c>
      <c r="Q15" s="61" t="n">
        <f aca="false">Assumptions!$B$33</f>
        <v>190</v>
      </c>
      <c r="R15" s="60" t="n">
        <f aca="false">M15*P15*Q15/3600/N15</f>
        <v>0.145138888888889</v>
      </c>
      <c r="S15" s="55" t="n">
        <v>900000</v>
      </c>
      <c r="T15" s="60" t="n">
        <f aca="false">S15/(Assumptions!$B$4*Assumptions!$B$5*E15)</f>
        <v>2.5</v>
      </c>
      <c r="U15" s="60" t="n">
        <f aca="false">(O15+R15)*Assumptions!$B$38</f>
        <v>0.546944444444445</v>
      </c>
      <c r="V15" s="60" t="n">
        <f aca="false">J15+O15+R15+T15+U15</f>
        <v>9.43030555555555</v>
      </c>
      <c r="W15" s="60" t="n">
        <f aca="false">V15*Assumptions!$B$39</f>
        <v>0.754424444444444</v>
      </c>
      <c r="X15" s="60" t="n">
        <f aca="false">(V15+W15)*Assumptions!$B$40</f>
        <v>1.018473</v>
      </c>
      <c r="Y15" s="62" t="n">
        <f aca="false">V15+W15+X15</f>
        <v>11.203203</v>
      </c>
      <c r="Z15" s="62" t="n">
        <f aca="false">Y15*E15</f>
        <v>11.203203</v>
      </c>
    </row>
    <row r="16" customFormat="false" ht="24" hidden="false" customHeight="true" outlineLevel="0" collapsed="false">
      <c r="A16" s="46" t="n">
        <v>13</v>
      </c>
      <c r="B16" s="47" t="s">
        <v>243</v>
      </c>
      <c r="C16" s="48" t="s">
        <v>209</v>
      </c>
      <c r="D16" s="48" t="s">
        <v>221</v>
      </c>
      <c r="E16" s="63" t="n">
        <f aca="false">Assumptions!$B$44</f>
        <v>4</v>
      </c>
      <c r="F16" s="49" t="n">
        <v>0.02</v>
      </c>
      <c r="G16" s="50" t="n">
        <v>0.04</v>
      </c>
      <c r="H16" s="51" t="n">
        <f aca="false">Assumptions!$B$10</f>
        <v>98</v>
      </c>
      <c r="I16" s="51" t="n">
        <f aca="false">Assumptions!$B$17</f>
        <v>40</v>
      </c>
      <c r="J16" s="51" t="n">
        <f aca="false">F16*(1+G16)*H16-F16*G16*I16</f>
        <v>2.0064</v>
      </c>
      <c r="K16" s="48" t="s">
        <v>222</v>
      </c>
      <c r="L16" s="52" t="n">
        <f aca="false">Assumptions!$B$25</f>
        <v>400</v>
      </c>
      <c r="M16" s="53" t="n">
        <v>20</v>
      </c>
      <c r="N16" s="54" t="n">
        <v>4</v>
      </c>
      <c r="O16" s="51" t="n">
        <f aca="false">M16*L16/3600/N16</f>
        <v>0.555555555555556</v>
      </c>
      <c r="P16" s="54" t="n">
        <v>0.25</v>
      </c>
      <c r="Q16" s="52" t="n">
        <f aca="false">Assumptions!$B$33</f>
        <v>190</v>
      </c>
      <c r="R16" s="51" t="n">
        <f aca="false">M16*P16*Q16/3600/N16</f>
        <v>0.0659722222222222</v>
      </c>
      <c r="S16" s="55" t="n">
        <v>1400000</v>
      </c>
      <c r="T16" s="51" t="n">
        <f aca="false">S16/(Assumptions!$B$4*Assumptions!$B$5*E16)</f>
        <v>0.972222222222222</v>
      </c>
      <c r="U16" s="51" t="n">
        <f aca="false">(O16+R16)*Assumptions!$B$38</f>
        <v>0.248611111111111</v>
      </c>
      <c r="V16" s="51" t="n">
        <f aca="false">J16+O16+R16+T16+U16</f>
        <v>3.84876111111111</v>
      </c>
      <c r="W16" s="51" t="n">
        <f aca="false">V16*Assumptions!$B$39</f>
        <v>0.307900888888889</v>
      </c>
      <c r="X16" s="51" t="n">
        <f aca="false">(V16+W16)*Assumptions!$B$40</f>
        <v>0.4156662</v>
      </c>
      <c r="Y16" s="56" t="n">
        <f aca="false">V16+W16+X16</f>
        <v>4.5723282</v>
      </c>
      <c r="Z16" s="56" t="n">
        <f aca="false">Y16*E16</f>
        <v>18.2893128</v>
      </c>
    </row>
    <row r="17" customFormat="false" ht="24" hidden="false" customHeight="true" outlineLevel="0" collapsed="false">
      <c r="A17" s="57" t="n">
        <v>14</v>
      </c>
      <c r="B17" s="58" t="s">
        <v>244</v>
      </c>
      <c r="C17" s="59" t="s">
        <v>209</v>
      </c>
      <c r="D17" s="59" t="s">
        <v>221</v>
      </c>
      <c r="E17" s="57" t="n">
        <v>1</v>
      </c>
      <c r="F17" s="49" t="n">
        <v>0.08</v>
      </c>
      <c r="G17" s="50" t="n">
        <v>0.04</v>
      </c>
      <c r="H17" s="60" t="n">
        <f aca="false">Assumptions!$B$10</f>
        <v>98</v>
      </c>
      <c r="I17" s="60" t="n">
        <f aca="false">Assumptions!$B$17</f>
        <v>40</v>
      </c>
      <c r="J17" s="60" t="n">
        <f aca="false">F17*(1+G17)*H17-F17*G17*I17</f>
        <v>8.0256</v>
      </c>
      <c r="K17" s="59" t="s">
        <v>222</v>
      </c>
      <c r="L17" s="61" t="n">
        <f aca="false">Assumptions!$B$25</f>
        <v>400</v>
      </c>
      <c r="M17" s="53" t="n">
        <v>25</v>
      </c>
      <c r="N17" s="54" t="n">
        <v>2</v>
      </c>
      <c r="O17" s="60" t="n">
        <f aca="false">M17*L17/3600/N17</f>
        <v>1.38888888888889</v>
      </c>
      <c r="P17" s="54" t="n">
        <v>0.25</v>
      </c>
      <c r="Q17" s="61" t="n">
        <f aca="false">Assumptions!$B$33</f>
        <v>190</v>
      </c>
      <c r="R17" s="60" t="n">
        <f aca="false">M17*P17*Q17/3600/N17</f>
        <v>0.164930555555556</v>
      </c>
      <c r="S17" s="55" t="n">
        <v>1100000</v>
      </c>
      <c r="T17" s="60" t="n">
        <f aca="false">S17/(Assumptions!$B$4*Assumptions!$B$5*E17)</f>
        <v>3.05555555555556</v>
      </c>
      <c r="U17" s="60" t="n">
        <f aca="false">(O17+R17)*Assumptions!$B$38</f>
        <v>0.621527777777778</v>
      </c>
      <c r="V17" s="60" t="n">
        <f aca="false">J17+O17+R17+T17+U17</f>
        <v>13.2565027777778</v>
      </c>
      <c r="W17" s="60" t="n">
        <f aca="false">V17*Assumptions!$B$39</f>
        <v>1.06052022222222</v>
      </c>
      <c r="X17" s="60" t="n">
        <f aca="false">(V17+W17)*Assumptions!$B$40</f>
        <v>1.4317023</v>
      </c>
      <c r="Y17" s="62" t="n">
        <f aca="false">V17+W17+X17</f>
        <v>15.7487253</v>
      </c>
      <c r="Z17" s="62" t="n">
        <f aca="false">Y17*E17</f>
        <v>15.7487253</v>
      </c>
    </row>
    <row r="18" customFormat="false" ht="24" hidden="false" customHeight="true" outlineLevel="0" collapsed="false">
      <c r="A18" s="46" t="n">
        <v>15</v>
      </c>
      <c r="B18" s="47" t="s">
        <v>245</v>
      </c>
      <c r="C18" s="48" t="s">
        <v>209</v>
      </c>
      <c r="D18" s="48" t="s">
        <v>221</v>
      </c>
      <c r="E18" s="46" t="n">
        <v>1</v>
      </c>
      <c r="F18" s="49" t="n">
        <v>0.05</v>
      </c>
      <c r="G18" s="50" t="n">
        <v>0.04</v>
      </c>
      <c r="H18" s="51" t="n">
        <f aca="false">Assumptions!$B$10</f>
        <v>98</v>
      </c>
      <c r="I18" s="51" t="n">
        <f aca="false">Assumptions!$B$17</f>
        <v>40</v>
      </c>
      <c r="J18" s="51" t="n">
        <f aca="false">F18*(1+G18)*H18-F18*G18*I18</f>
        <v>5.016</v>
      </c>
      <c r="K18" s="48" t="s">
        <v>222</v>
      </c>
      <c r="L18" s="52" t="n">
        <f aca="false">Assumptions!$B$25</f>
        <v>400</v>
      </c>
      <c r="M18" s="53" t="n">
        <v>22</v>
      </c>
      <c r="N18" s="54" t="n">
        <v>2</v>
      </c>
      <c r="O18" s="51" t="n">
        <f aca="false">M18*L18/3600/N18</f>
        <v>1.22222222222222</v>
      </c>
      <c r="P18" s="54" t="n">
        <v>0.25</v>
      </c>
      <c r="Q18" s="52" t="n">
        <f aca="false">Assumptions!$B$33</f>
        <v>190</v>
      </c>
      <c r="R18" s="51" t="n">
        <f aca="false">M18*P18*Q18/3600/N18</f>
        <v>0.145138888888889</v>
      </c>
      <c r="S18" s="55" t="n">
        <v>900000</v>
      </c>
      <c r="T18" s="51" t="n">
        <f aca="false">S18/(Assumptions!$B$4*Assumptions!$B$5*E18)</f>
        <v>2.5</v>
      </c>
      <c r="U18" s="51" t="n">
        <f aca="false">(O18+R18)*Assumptions!$B$38</f>
        <v>0.546944444444445</v>
      </c>
      <c r="V18" s="51" t="n">
        <f aca="false">J18+O18+R18+T18+U18</f>
        <v>9.43030555555555</v>
      </c>
      <c r="W18" s="51" t="n">
        <f aca="false">V18*Assumptions!$B$39</f>
        <v>0.754424444444444</v>
      </c>
      <c r="X18" s="51" t="n">
        <f aca="false">(V18+W18)*Assumptions!$B$40</f>
        <v>1.018473</v>
      </c>
      <c r="Y18" s="56" t="n">
        <f aca="false">V18+W18+X18</f>
        <v>11.203203</v>
      </c>
      <c r="Z18" s="56" t="n">
        <f aca="false">Y18*E18</f>
        <v>11.203203</v>
      </c>
    </row>
    <row r="19" customFormat="false" ht="24" hidden="false" customHeight="true" outlineLevel="0" collapsed="false">
      <c r="A19" s="57" t="n">
        <v>16</v>
      </c>
      <c r="B19" s="58" t="s">
        <v>246</v>
      </c>
      <c r="C19" s="59" t="s">
        <v>209</v>
      </c>
      <c r="D19" s="59" t="s">
        <v>221</v>
      </c>
      <c r="E19" s="57" t="n">
        <v>1</v>
      </c>
      <c r="F19" s="49" t="n">
        <v>0.35</v>
      </c>
      <c r="G19" s="50" t="n">
        <v>0.05</v>
      </c>
      <c r="H19" s="60" t="n">
        <f aca="false">Assumptions!$B$10</f>
        <v>98</v>
      </c>
      <c r="I19" s="60" t="n">
        <f aca="false">Assumptions!$B$17</f>
        <v>40</v>
      </c>
      <c r="J19" s="60" t="n">
        <f aca="false">F19*(1+G19)*H19-F19*G19*I19</f>
        <v>35.315</v>
      </c>
      <c r="K19" s="59" t="s">
        <v>218</v>
      </c>
      <c r="L19" s="61" t="n">
        <f aca="false">Assumptions!$B$23</f>
        <v>700</v>
      </c>
      <c r="M19" s="53" t="n">
        <v>33</v>
      </c>
      <c r="N19" s="54" t="n">
        <v>1</v>
      </c>
      <c r="O19" s="60" t="n">
        <f aca="false">M19*L19/3600/N19</f>
        <v>6.41666666666667</v>
      </c>
      <c r="P19" s="54" t="n">
        <v>0.33</v>
      </c>
      <c r="Q19" s="61" t="n">
        <f aca="false">Assumptions!$B$33</f>
        <v>190</v>
      </c>
      <c r="R19" s="60" t="n">
        <f aca="false">M19*P19*Q19/3600/N19</f>
        <v>0.57475</v>
      </c>
      <c r="S19" s="55" t="n">
        <v>3000000</v>
      </c>
      <c r="T19" s="60" t="n">
        <f aca="false">S19/(Assumptions!$B$4*Assumptions!$B$5*E19)</f>
        <v>8.33333333333333</v>
      </c>
      <c r="U19" s="60" t="n">
        <f aca="false">(O19+R19)*Assumptions!$B$38</f>
        <v>2.79656666666667</v>
      </c>
      <c r="V19" s="60" t="n">
        <f aca="false">J19+O19+R19+T19+U19</f>
        <v>53.4363166666667</v>
      </c>
      <c r="W19" s="60" t="n">
        <f aca="false">V19*Assumptions!$B$39</f>
        <v>4.27490533333333</v>
      </c>
      <c r="X19" s="60" t="n">
        <f aca="false">(V19+W19)*Assumptions!$B$40</f>
        <v>5.7711222</v>
      </c>
      <c r="Y19" s="62" t="n">
        <f aca="false">V19+W19+X19</f>
        <v>63.4823442</v>
      </c>
      <c r="Z19" s="62" t="n">
        <f aca="false">Y19*E19</f>
        <v>63.4823442</v>
      </c>
    </row>
    <row r="20" customFormat="false" ht="24" hidden="false" customHeight="true" outlineLevel="0" collapsed="false">
      <c r="A20" s="46" t="n">
        <v>17</v>
      </c>
      <c r="B20" s="47" t="s">
        <v>247</v>
      </c>
      <c r="C20" s="48" t="s">
        <v>209</v>
      </c>
      <c r="D20" s="48" t="s">
        <v>221</v>
      </c>
      <c r="E20" s="46" t="n">
        <v>2</v>
      </c>
      <c r="F20" s="49" t="n">
        <v>0.15</v>
      </c>
      <c r="G20" s="50" t="n">
        <v>0.04</v>
      </c>
      <c r="H20" s="51" t="n">
        <f aca="false">Assumptions!$B$10</f>
        <v>98</v>
      </c>
      <c r="I20" s="51" t="n">
        <f aca="false">Assumptions!$B$17</f>
        <v>40</v>
      </c>
      <c r="J20" s="51" t="n">
        <f aca="false">F20*(1+G20)*H20-F20*G20*I20</f>
        <v>15.048</v>
      </c>
      <c r="K20" s="48" t="s">
        <v>226</v>
      </c>
      <c r="L20" s="52" t="n">
        <f aca="false">Assumptions!$B$24</f>
        <v>520</v>
      </c>
      <c r="M20" s="53" t="n">
        <v>30</v>
      </c>
      <c r="N20" s="54" t="n">
        <v>2</v>
      </c>
      <c r="O20" s="51" t="n">
        <f aca="false">M20*L20/3600/N20</f>
        <v>2.16666666666667</v>
      </c>
      <c r="P20" s="54" t="n">
        <v>0.33</v>
      </c>
      <c r="Q20" s="52" t="n">
        <f aca="false">Assumptions!$B$33</f>
        <v>190</v>
      </c>
      <c r="R20" s="51" t="n">
        <f aca="false">M20*P20*Q20/3600/N20</f>
        <v>0.26125</v>
      </c>
      <c r="S20" s="55" t="n">
        <v>1600000</v>
      </c>
      <c r="T20" s="51" t="n">
        <f aca="false">S20/(Assumptions!$B$4*Assumptions!$B$5*E20)</f>
        <v>2.22222222222222</v>
      </c>
      <c r="U20" s="51" t="n">
        <f aca="false">(O20+R20)*Assumptions!$B$38</f>
        <v>0.971166666666667</v>
      </c>
      <c r="V20" s="51" t="n">
        <f aca="false">J20+O20+R20+T20+U20</f>
        <v>20.6693055555556</v>
      </c>
      <c r="W20" s="51" t="n">
        <f aca="false">V20*Assumptions!$B$39</f>
        <v>1.65354444444444</v>
      </c>
      <c r="X20" s="51" t="n">
        <f aca="false">(V20+W20)*Assumptions!$B$40</f>
        <v>2.232285</v>
      </c>
      <c r="Y20" s="56" t="n">
        <f aca="false">V20+W20+X20</f>
        <v>24.555135</v>
      </c>
      <c r="Z20" s="56" t="n">
        <f aca="false">Y20*E20</f>
        <v>49.11027</v>
      </c>
    </row>
    <row r="21" customFormat="false" ht="24" hidden="false" customHeight="true" outlineLevel="0" collapsed="false">
      <c r="A21" s="57" t="n">
        <v>18</v>
      </c>
      <c r="B21" s="58" t="s">
        <v>248</v>
      </c>
      <c r="C21" s="59" t="s">
        <v>209</v>
      </c>
      <c r="D21" s="59" t="s">
        <v>221</v>
      </c>
      <c r="E21" s="57" t="n">
        <v>2</v>
      </c>
      <c r="F21" s="49" t="n">
        <v>0.15</v>
      </c>
      <c r="G21" s="50" t="n">
        <v>0.04</v>
      </c>
      <c r="H21" s="60" t="n">
        <f aca="false">Assumptions!$B$10</f>
        <v>98</v>
      </c>
      <c r="I21" s="60" t="n">
        <f aca="false">Assumptions!$B$17</f>
        <v>40</v>
      </c>
      <c r="J21" s="60" t="n">
        <f aca="false">F21*(1+G21)*H21-F21*G21*I21</f>
        <v>15.048</v>
      </c>
      <c r="K21" s="59" t="s">
        <v>226</v>
      </c>
      <c r="L21" s="61" t="n">
        <f aca="false">Assumptions!$B$24</f>
        <v>520</v>
      </c>
      <c r="M21" s="53" t="n">
        <v>30</v>
      </c>
      <c r="N21" s="54" t="n">
        <v>2</v>
      </c>
      <c r="O21" s="60" t="n">
        <f aca="false">M21*L21/3600/N21</f>
        <v>2.16666666666667</v>
      </c>
      <c r="P21" s="54" t="n">
        <v>0.33</v>
      </c>
      <c r="Q21" s="61" t="n">
        <f aca="false">Assumptions!$B$33</f>
        <v>190</v>
      </c>
      <c r="R21" s="60" t="n">
        <f aca="false">M21*P21*Q21/3600/N21</f>
        <v>0.26125</v>
      </c>
      <c r="S21" s="55" t="n">
        <v>1600000</v>
      </c>
      <c r="T21" s="60" t="n">
        <f aca="false">S21/(Assumptions!$B$4*Assumptions!$B$5*E21)</f>
        <v>2.22222222222222</v>
      </c>
      <c r="U21" s="60" t="n">
        <f aca="false">(O21+R21)*Assumptions!$B$38</f>
        <v>0.971166666666667</v>
      </c>
      <c r="V21" s="60" t="n">
        <f aca="false">J21+O21+R21+T21+U21</f>
        <v>20.6693055555556</v>
      </c>
      <c r="W21" s="60" t="n">
        <f aca="false">V21*Assumptions!$B$39</f>
        <v>1.65354444444444</v>
      </c>
      <c r="X21" s="60" t="n">
        <f aca="false">(V21+W21)*Assumptions!$B$40</f>
        <v>2.232285</v>
      </c>
      <c r="Y21" s="62" t="n">
        <f aca="false">V21+W21+X21</f>
        <v>24.555135</v>
      </c>
      <c r="Z21" s="62" t="n">
        <f aca="false">Y21*E21</f>
        <v>49.11027</v>
      </c>
    </row>
    <row r="22" customFormat="false" ht="15" hidden="false" customHeight="false" outlineLevel="0" collapsed="false">
      <c r="A22" s="64"/>
      <c r="B22" s="64" t="s">
        <v>249</v>
      </c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5" t="n">
        <f aca="false">SUM(S4:S21)</f>
        <v>62800000</v>
      </c>
      <c r="T22" s="64"/>
      <c r="U22" s="64"/>
      <c r="V22" s="64"/>
      <c r="W22" s="64"/>
      <c r="X22" s="64"/>
      <c r="Y22" s="64"/>
      <c r="Z22" s="66" t="n">
        <f aca="false">SUM(Z4:Z21)</f>
        <v>2276.1288891</v>
      </c>
    </row>
  </sheetData>
  <mergeCells count="2">
    <mergeCell ref="A1:Z1"/>
    <mergeCell ref="A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250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251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182</v>
      </c>
      <c r="B3" s="3" t="s">
        <v>252</v>
      </c>
      <c r="C3" s="3" t="s">
        <v>253</v>
      </c>
      <c r="D3" s="3" t="s">
        <v>186</v>
      </c>
      <c r="E3" s="3" t="s">
        <v>206</v>
      </c>
      <c r="F3" s="3" t="s">
        <v>254</v>
      </c>
      <c r="G3" s="3" t="s">
        <v>255</v>
      </c>
    </row>
    <row r="4" customFormat="false" ht="15" hidden="false" customHeight="false" outlineLevel="0" collapsed="false">
      <c r="A4" s="67" t="n">
        <v>1</v>
      </c>
      <c r="B4" s="68" t="s">
        <v>256</v>
      </c>
      <c r="C4" s="68" t="s">
        <v>257</v>
      </c>
      <c r="D4" s="69" t="n">
        <f aca="false">Assumptions!$B$44</f>
        <v>4</v>
      </c>
      <c r="E4" s="70" t="n">
        <v>220</v>
      </c>
      <c r="F4" s="71" t="n">
        <f aca="false">E4*Assumptions!$B$41</f>
        <v>6.6</v>
      </c>
      <c r="G4" s="71" t="n">
        <f aca="false">(E4+F4)*D4</f>
        <v>906.4</v>
      </c>
    </row>
    <row r="5" customFormat="false" ht="15" hidden="false" customHeight="false" outlineLevel="0" collapsed="false">
      <c r="A5" s="67" t="n">
        <v>2</v>
      </c>
      <c r="B5" s="68" t="s">
        <v>258</v>
      </c>
      <c r="C5" s="68" t="s">
        <v>257</v>
      </c>
      <c r="D5" s="67" t="n">
        <v>1</v>
      </c>
      <c r="E5" s="70" t="n">
        <v>3200</v>
      </c>
      <c r="F5" s="71" t="n">
        <f aca="false">E5*Assumptions!$B$41</f>
        <v>96</v>
      </c>
      <c r="G5" s="71" t="n">
        <f aca="false">(E5+F5)*D5</f>
        <v>3296</v>
      </c>
    </row>
    <row r="6" customFormat="false" ht="15" hidden="false" customHeight="false" outlineLevel="0" collapsed="false">
      <c r="A6" s="67" t="n">
        <v>3</v>
      </c>
      <c r="B6" s="68" t="s">
        <v>259</v>
      </c>
      <c r="C6" s="68" t="s">
        <v>257</v>
      </c>
      <c r="D6" s="67" t="n">
        <v>1</v>
      </c>
      <c r="E6" s="70" t="n">
        <v>1500</v>
      </c>
      <c r="F6" s="71" t="n">
        <f aca="false">E6*Assumptions!$B$41</f>
        <v>45</v>
      </c>
      <c r="G6" s="71" t="n">
        <f aca="false">(E6+F6)*D6</f>
        <v>1545</v>
      </c>
    </row>
    <row r="7" customFormat="false" ht="15" hidden="false" customHeight="false" outlineLevel="0" collapsed="false">
      <c r="A7" s="67" t="n">
        <v>4</v>
      </c>
      <c r="B7" s="68" t="s">
        <v>260</v>
      </c>
      <c r="C7" s="68" t="s">
        <v>261</v>
      </c>
      <c r="D7" s="67" t="n">
        <v>1</v>
      </c>
      <c r="E7" s="70" t="n">
        <v>420</v>
      </c>
      <c r="F7" s="71" t="n">
        <f aca="false">E7*Assumptions!$B$41</f>
        <v>12.6</v>
      </c>
      <c r="G7" s="71" t="n">
        <f aca="false">(E7+F7)*D7</f>
        <v>432.6</v>
      </c>
    </row>
    <row r="8" customFormat="false" ht="15" hidden="false" customHeight="false" outlineLevel="0" collapsed="false">
      <c r="A8" s="67" t="n">
        <v>5</v>
      </c>
      <c r="B8" s="68" t="s">
        <v>262</v>
      </c>
      <c r="C8" s="68" t="s">
        <v>263</v>
      </c>
      <c r="D8" s="67" t="n">
        <v>1</v>
      </c>
      <c r="E8" s="70" t="n">
        <v>95</v>
      </c>
      <c r="F8" s="71" t="n">
        <f aca="false">E8*Assumptions!$B$41</f>
        <v>2.85</v>
      </c>
      <c r="G8" s="71" t="n">
        <f aca="false">(E8+F8)*D8</f>
        <v>97.85</v>
      </c>
    </row>
    <row r="9" customFormat="false" ht="15" hidden="false" customHeight="false" outlineLevel="0" collapsed="false">
      <c r="A9" s="67" t="n">
        <v>6</v>
      </c>
      <c r="B9" s="68" t="s">
        <v>264</v>
      </c>
      <c r="C9" s="68" t="s">
        <v>263</v>
      </c>
      <c r="D9" s="67" t="n">
        <v>1</v>
      </c>
      <c r="E9" s="70" t="n">
        <v>28</v>
      </c>
      <c r="F9" s="71" t="n">
        <f aca="false">E9*Assumptions!$B$41</f>
        <v>0.84</v>
      </c>
      <c r="G9" s="71" t="n">
        <f aca="false">(E9+F9)*D9</f>
        <v>28.84</v>
      </c>
    </row>
    <row r="10" customFormat="false" ht="15" hidden="false" customHeight="false" outlineLevel="0" collapsed="false">
      <c r="A10" s="67" t="n">
        <v>7</v>
      </c>
      <c r="B10" s="68" t="s">
        <v>265</v>
      </c>
      <c r="C10" s="68" t="s">
        <v>263</v>
      </c>
      <c r="D10" s="67" t="n">
        <v>1</v>
      </c>
      <c r="E10" s="70" t="n">
        <v>20</v>
      </c>
      <c r="F10" s="71" t="n">
        <f aca="false">E10*Assumptions!$B$41</f>
        <v>0.6</v>
      </c>
      <c r="G10" s="71" t="n">
        <f aca="false">(E10+F10)*D10</f>
        <v>20.6</v>
      </c>
    </row>
    <row r="11" customFormat="false" ht="15" hidden="false" customHeight="false" outlineLevel="0" collapsed="false">
      <c r="A11" s="64"/>
      <c r="B11" s="64" t="s">
        <v>266</v>
      </c>
      <c r="C11" s="64"/>
      <c r="D11" s="64"/>
      <c r="E11" s="64"/>
      <c r="F11" s="64"/>
      <c r="G11" s="66" t="n">
        <f aca="false">SUM(G4:G10)</f>
        <v>6327.29</v>
      </c>
    </row>
    <row r="12" customFormat="false" ht="15" hidden="false" customHeight="false" outlineLevel="0" collapsed="false">
      <c r="B12" s="72" t="s">
        <v>267</v>
      </c>
      <c r="G12" s="18" t="n">
        <f aca="false">SUM(G4:G7)</f>
        <v>6180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268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269</v>
      </c>
      <c r="B2" s="2"/>
      <c r="C2" s="2"/>
      <c r="D2" s="2"/>
      <c r="E2" s="2"/>
      <c r="F2" s="2"/>
      <c r="G2" s="2"/>
    </row>
    <row r="3" customFormat="false" ht="23.85" hidden="false" customHeight="false" outlineLevel="0" collapsed="false">
      <c r="A3" s="3" t="s">
        <v>270</v>
      </c>
      <c r="B3" s="3" t="s">
        <v>271</v>
      </c>
      <c r="C3" s="3" t="s">
        <v>272</v>
      </c>
      <c r="D3" s="3" t="s">
        <v>273</v>
      </c>
      <c r="E3" s="3" t="s">
        <v>198</v>
      </c>
      <c r="F3" s="3" t="s">
        <v>274</v>
      </c>
      <c r="G3" s="3" t="s">
        <v>275</v>
      </c>
    </row>
    <row r="4" customFormat="false" ht="24" hidden="false" customHeight="true" outlineLevel="0" collapsed="false">
      <c r="A4" s="67" t="n">
        <v>1</v>
      </c>
      <c r="B4" s="73" t="s">
        <v>276</v>
      </c>
      <c r="C4" s="74" t="n">
        <v>60</v>
      </c>
      <c r="D4" s="75" t="n">
        <v>1</v>
      </c>
      <c r="E4" s="76" t="n">
        <f aca="false">Assumptions!$B$33</f>
        <v>190</v>
      </c>
      <c r="F4" s="71" t="n">
        <f aca="false">C4*D4*E4/3600</f>
        <v>3.16666666666667</v>
      </c>
      <c r="G4" s="73" t="s">
        <v>277</v>
      </c>
    </row>
    <row r="5" customFormat="false" ht="24" hidden="false" customHeight="true" outlineLevel="0" collapsed="false">
      <c r="A5" s="67" t="n">
        <v>2</v>
      </c>
      <c r="B5" s="73" t="s">
        <v>278</v>
      </c>
      <c r="C5" s="74" t="n">
        <v>120</v>
      </c>
      <c r="D5" s="75" t="n">
        <v>2</v>
      </c>
      <c r="E5" s="76" t="n">
        <f aca="false">Assumptions!$B$33</f>
        <v>190</v>
      </c>
      <c r="F5" s="71" t="n">
        <f aca="false">C5*D5*E5/3600</f>
        <v>12.6666666666667</v>
      </c>
      <c r="G5" s="73" t="s">
        <v>279</v>
      </c>
    </row>
    <row r="6" customFormat="false" ht="24" hidden="false" customHeight="true" outlineLevel="0" collapsed="false">
      <c r="A6" s="67" t="n">
        <v>3</v>
      </c>
      <c r="B6" s="73" t="s">
        <v>280</v>
      </c>
      <c r="C6" s="74" t="n">
        <v>150</v>
      </c>
      <c r="D6" s="75" t="n">
        <v>1.5</v>
      </c>
      <c r="E6" s="76" t="n">
        <f aca="false">Assumptions!$B$33</f>
        <v>190</v>
      </c>
      <c r="F6" s="71" t="n">
        <f aca="false">C6*D6*E6/3600</f>
        <v>11.875</v>
      </c>
      <c r="G6" s="73" t="s">
        <v>281</v>
      </c>
    </row>
    <row r="7" customFormat="false" ht="24" hidden="false" customHeight="true" outlineLevel="0" collapsed="false">
      <c r="A7" s="67" t="n">
        <v>4</v>
      </c>
      <c r="B7" s="73" t="s">
        <v>282</v>
      </c>
      <c r="C7" s="74" t="n">
        <v>75</v>
      </c>
      <c r="D7" s="75" t="n">
        <v>1</v>
      </c>
      <c r="E7" s="76" t="n">
        <f aca="false">Assumptions!$B$33</f>
        <v>190</v>
      </c>
      <c r="F7" s="71" t="n">
        <f aca="false">C7*D7*E7/3600</f>
        <v>3.95833333333333</v>
      </c>
      <c r="G7" s="73"/>
    </row>
    <row r="8" customFormat="false" ht="24" hidden="false" customHeight="true" outlineLevel="0" collapsed="false">
      <c r="A8" s="67" t="n">
        <v>5</v>
      </c>
      <c r="B8" s="73" t="s">
        <v>283</v>
      </c>
      <c r="C8" s="74" t="n">
        <v>60</v>
      </c>
      <c r="D8" s="75" t="n">
        <v>1</v>
      </c>
      <c r="E8" s="76" t="n">
        <f aca="false">Assumptions!$B$35</f>
        <v>230</v>
      </c>
      <c r="F8" s="71" t="n">
        <f aca="false">C8*D8*E8/3600</f>
        <v>3.83333333333333</v>
      </c>
      <c r="G8" s="73" t="s">
        <v>284</v>
      </c>
    </row>
    <row r="9" customFormat="false" ht="24" hidden="false" customHeight="true" outlineLevel="0" collapsed="false">
      <c r="A9" s="67" t="n">
        <v>6</v>
      </c>
      <c r="B9" s="73" t="s">
        <v>285</v>
      </c>
      <c r="C9" s="74" t="n">
        <v>45</v>
      </c>
      <c r="D9" s="75" t="n">
        <v>1</v>
      </c>
      <c r="E9" s="76" t="n">
        <f aca="false">Assumptions!$B$33</f>
        <v>190</v>
      </c>
      <c r="F9" s="71" t="n">
        <f aca="false">C9*D9*E9/3600</f>
        <v>2.375</v>
      </c>
      <c r="G9" s="73"/>
    </row>
    <row r="11" customFormat="false" ht="15" hidden="false" customHeight="false" outlineLevel="0" collapsed="false">
      <c r="B11" s="77" t="s">
        <v>286</v>
      </c>
      <c r="C11" s="30"/>
      <c r="D11" s="30"/>
      <c r="E11" s="30"/>
      <c r="F11" s="78" t="n">
        <f aca="false">SUM(F4:F9)</f>
        <v>37.875</v>
      </c>
      <c r="G11" s="79"/>
    </row>
    <row r="12" customFormat="false" ht="15" hidden="false" customHeight="false" outlineLevel="0" collapsed="false">
      <c r="B12" s="77" t="s">
        <v>287</v>
      </c>
      <c r="C12" s="30"/>
      <c r="D12" s="30"/>
      <c r="E12" s="30"/>
      <c r="F12" s="78" t="n">
        <f aca="false">4000000/(Assumptions!$B$4*Assumptions!$B$5)</f>
        <v>11.1111111111111</v>
      </c>
      <c r="G12" s="79" t="s">
        <v>288</v>
      </c>
    </row>
    <row r="13" customFormat="false" ht="15" hidden="false" customHeight="false" outlineLevel="0" collapsed="false">
      <c r="B13" s="77" t="s">
        <v>289</v>
      </c>
      <c r="C13" s="30"/>
      <c r="D13" s="30"/>
      <c r="E13" s="30"/>
      <c r="F13" s="78" t="n">
        <f aca="false">6000000/(Assumptions!$B$4*Assumptions!$B$5)</f>
        <v>16.6666666666667</v>
      </c>
      <c r="G13" s="79"/>
    </row>
    <row r="14" customFormat="false" ht="15" hidden="false" customHeight="false" outlineLevel="0" collapsed="false">
      <c r="B14" s="77" t="s">
        <v>290</v>
      </c>
      <c r="C14" s="30"/>
      <c r="D14" s="30"/>
      <c r="E14" s="30"/>
      <c r="F14" s="80" t="n">
        <v>6</v>
      </c>
      <c r="G14" s="79" t="s">
        <v>291</v>
      </c>
    </row>
    <row r="15" customFormat="false" ht="15" hidden="false" customHeight="false" outlineLevel="0" collapsed="false">
      <c r="B15" s="77" t="s">
        <v>292</v>
      </c>
      <c r="C15" s="30"/>
      <c r="D15" s="30"/>
      <c r="E15" s="30"/>
      <c r="F15" s="78" t="n">
        <f aca="false">F11*Assumptions!$B$42</f>
        <v>17.04375</v>
      </c>
      <c r="G15" s="79" t="s">
        <v>293</v>
      </c>
    </row>
    <row r="16" customFormat="false" ht="15" hidden="false" customHeight="false" outlineLevel="0" collapsed="false">
      <c r="B16" s="77" t="s">
        <v>294</v>
      </c>
      <c r="C16" s="30"/>
      <c r="D16" s="30"/>
      <c r="E16" s="30"/>
      <c r="F16" s="78" t="n">
        <f aca="false">Assumptions!$B$43</f>
        <v>55</v>
      </c>
      <c r="G16" s="79"/>
    </row>
    <row r="17" customFormat="false" ht="15" hidden="false" customHeight="false" outlineLevel="0" collapsed="false">
      <c r="B17" s="81" t="s">
        <v>295</v>
      </c>
      <c r="C17" s="81"/>
      <c r="D17" s="81"/>
      <c r="E17" s="81"/>
      <c r="F17" s="82" t="n">
        <f aca="false">SUM(F11:F16)</f>
        <v>143.696527777778</v>
      </c>
      <c r="G17" s="81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30" hidden="false" customHeight="true" outlineLevel="0" collapsed="false">
      <c r="A1" s="1" t="s">
        <v>296</v>
      </c>
      <c r="B1" s="1"/>
      <c r="C1" s="1"/>
      <c r="D1" s="1"/>
    </row>
    <row r="2" customFormat="false" ht="18" hidden="false" customHeight="true" outlineLevel="0" collapsed="false">
      <c r="A2" s="2" t="s">
        <v>297</v>
      </c>
      <c r="B2" s="2"/>
      <c r="C2" s="2"/>
      <c r="D2" s="2"/>
    </row>
    <row r="3" customFormat="false" ht="15" hidden="false" customHeight="false" outlineLevel="0" collapsed="false">
      <c r="A3" s="3" t="s">
        <v>252</v>
      </c>
      <c r="B3" s="3" t="s">
        <v>298</v>
      </c>
    </row>
    <row r="4" customFormat="false" ht="15" hidden="false" customHeight="false" outlineLevel="0" collapsed="false">
      <c r="A4" s="30" t="s">
        <v>299</v>
      </c>
      <c r="B4" s="83" t="n">
        <f aca="false">'Parts Costing'!S22</f>
        <v>62800000</v>
      </c>
    </row>
    <row r="5" customFormat="false" ht="15" hidden="false" customHeight="false" outlineLevel="0" collapsed="false">
      <c r="A5" s="30" t="s">
        <v>300</v>
      </c>
      <c r="B5" s="83" t="n">
        <v>4000000</v>
      </c>
    </row>
    <row r="6" customFormat="false" ht="15" hidden="false" customHeight="false" outlineLevel="0" collapsed="false">
      <c r="A6" s="30" t="s">
        <v>301</v>
      </c>
      <c r="B6" s="83" t="n">
        <v>6000000</v>
      </c>
    </row>
    <row r="7" customFormat="false" ht="15" hidden="false" customHeight="false" outlineLevel="0" collapsed="false">
      <c r="A7" s="84" t="s">
        <v>302</v>
      </c>
      <c r="B7" s="85" t="n">
        <f aca="false">SUM(B4:B6)</f>
        <v>72800000</v>
      </c>
    </row>
    <row r="9" customFormat="false" ht="15" hidden="false" customHeight="false" outlineLevel="0" collapsed="false">
      <c r="A9" s="86" t="s">
        <v>303</v>
      </c>
      <c r="B9" s="87" t="n">
        <f aca="false">B7/10000000</f>
        <v>7.28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2026-07-11T19:19:02Z</dcterms:created>
  <dc:creator>openpyxl</dc:creator>
  <dc:description/>
  <dc:language>en-US</dc:language>
  <cp:lastModifiedBy/>
  <dcterms:modified xsi:type="dcterms:W3CDTF">2026-07-11T19:19:02Z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