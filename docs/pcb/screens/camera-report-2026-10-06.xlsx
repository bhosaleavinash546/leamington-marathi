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st Breakdown" state="visible" r:id="rId5"/>
    <sheet sheetId="3" name="Bill of Materials" state="visible" r:id="rId6"/>
    <sheet sheetId="4" name="Board &amp; Assembly" state="visible" r:id="rId7"/>
    <sheet sheetId="5" name="Countries" state="visible" r:id="rId8"/>
    <sheet sheetId="6" name="Volume &amp; Notes" state="visible" r:id="rId9"/>
  </sheets>
  <definedNames>
    <definedName name="_xlnm.Print_Area" localSheetId="0">'Summary'!$A1:$N47</definedName>
    <definedName name="_xlnm.Print_Titles" localSheetId="0">'Summary'!$1:$5</definedName>
    <definedName name="_xlnm.Print_Area" localSheetId="1">'Cost Breakdown'!$A1:$I27</definedName>
    <definedName name="_xlnm.Print_Area" localSheetId="2">'Bill of Materials'!$A1:$M28</definedName>
    <definedName name="_xlnm.Print_Titles" localSheetId="2">'Bill of Materials'!$8:$8</definedName>
    <definedName name="_xlnm.Print_Area" localSheetId="3">'Board &amp; Assembly'!$A1:$M48</definedName>
    <definedName name="_xlnm.Print_Titles" localSheetId="3">'Board &amp; Assembly'!$1:$5</definedName>
    <definedName name="_xlnm.Print_Area" localSheetId="4">'Countries'!$A1:$O42</definedName>
    <definedName name="_xlnm.Print_Titles" localSheetId="4">'Countries'!$1:$5</definedName>
    <definedName name="_xlnm.Print_Area" localSheetId="5">'Volume &amp; Notes'!$A1:$N49</definedName>
    <definedName name="_xlnm.Print_Titles" localSheetId="5">'Volume &amp; Notes'!$1:$5</definedName>
  </definedNames>
  <calcPr calcId="171027"/>
</workbook>
</file>

<file path=xl/sharedStrings.xml><?xml version="1.0" encoding="utf-8"?>
<sst xmlns="http://schemas.openxmlformats.org/spreadsheetml/2006/main" count="307" uniqueCount="234">
  <si>
    <t>PCB should-cost report</t>
  </si>
  <si>
    <t>360 DEGREE CAMERA PCB</t>
  </si>
  <si>
    <t>Should-cost summary · per board</t>
  </si>
  <si>
    <t>Build: China   ·   Volume: 250,000 boards/yr   ·   Basis: delivered UK, duty paid   ·   Prepared: 06 Oct 2026   ·   Currency: GBP (£)   ·   Automotive camera board</t>
  </si>
  <si>
    <t>DELIVERED / BOARD</t>
  </si>
  <si>
    <t>EX-WORKS / BOARD</t>
  </si>
  <si>
    <t>LIKELY RANGE</t>
  </si>
  <si>
    <t>ONE-TIME NRE</t>
  </si>
  <si>
    <t>Range low</t>
  </si>
  <si>
    <t>Range high</t>
  </si>
  <si>
    <t>China build · UK, duty paid</t>
  </si>
  <si>
    <t>China factory gate, packed</t>
  </si>
  <si>
    <t>Low confidence · see To verify</t>
  </si>
  <si>
    <t>PPAP · FMEA · DV/PV · audit — not in unit cost</t>
  </si>
  <si>
    <t>Cost composition</t>
  </si>
  <si>
    <t>detail on the Cost Breakdown tab</t>
  </si>
  <si>
    <t/>
  </si>
  <si>
    <t>Cost element</t>
  </si>
  <si>
    <t>£/board</t>
  </si>
  <si>
    <t>% of total</t>
  </si>
  <si>
    <t>■</t>
  </si>
  <si>
    <t>Components</t>
  </si>
  <si>
    <t>EMS material burden</t>
  </si>
  <si>
    <t>Bare PCB fabrication</t>
  </si>
  <si>
    <t>Automotive grade</t>
  </si>
  <si>
    <t>Assembly &amp; test</t>
  </si>
  <si>
    <t>Energy, packaging &amp; other</t>
  </si>
  <si>
    <t>Freight &amp; UK duty</t>
  </si>
  <si>
    <t>Delivered per board</t>
  </si>
  <si>
    <t>Top cost drivers</t>
  </si>
  <si>
    <t>all lines: Bill of Materials</t>
  </si>
  <si>
    <t>#</t>
  </si>
  <si>
    <t>Line</t>
  </si>
  <si>
    <t>Image sensor  ·  needs a quote</t>
  </si>
  <si>
    <t>Li-Ion and Li-Pol Charger IC</t>
  </si>
  <si>
    <t>FPD-Link III Serializer With CSI-2 Interface</t>
  </si>
  <si>
    <t>Key facts</t>
  </si>
  <si>
    <t>To verify</t>
  </si>
  <si>
    <t>Board</t>
  </si>
  <si>
    <t>Automotive camera board</t>
  </si>
  <si>
    <t>•  Low confidence — likely £12.59 to £19.27 per board.</t>
  </si>
  <si>
    <t>Build country</t>
  </si>
  <si>
    <t>China (Shenzhen / Suzhou)</t>
  </si>
  <si>
    <t>•  1 line of £1.00+ priced from a range, not a quote (£4.64): see "Quote" on Bill of Materials.</t>
  </si>
  <si>
    <t>Annual volume</t>
  </si>
  <si>
    <t>250,000 boards</t>
  </si>
  <si>
    <t>Parts list from</t>
  </si>
  <si>
    <t>BOM image · 11 lines · 80 parts</t>
  </si>
  <si>
    <t>Size</t>
  </si>
  <si>
    <t>20 × 20 mm (estimated from the photos)</t>
  </si>
  <si>
    <t>Layers</t>
  </si>
  <si>
    <t>8</t>
  </si>
  <si>
    <t>ISO 26262</t>
  </si>
  <si>
    <t>ASIL-B costed</t>
  </si>
  <si>
    <t>Price engine</t>
  </si>
  <si>
    <t>Deterministic — the AI never sets a price</t>
  </si>
  <si>
    <t>What this tells you</t>
  </si>
  <si>
    <t>•  3 lines carry 56% of the board: Image sensor £4.64; Li-Ion and Li-Pol Charger IC (BQ24025DRCR) £2.10; FPD-Link III Serializer With CSI-2 Interface (DS90UB935-Q1) £1.87. These are the quotes to get first.</t>
  </si>
  <si>
    <t>•  Components are 83% of the board (87% with the EMS material burden); bare board 3%, assembly and test 5% (each with its automotive grade). A should-cost discussion on this board is a component-price discussion.</t>
  </si>
  <si>
    <t>•  China (Shenzhen / Suzhou) is the lowest delivered cost of the 14 countries compared.</t>
  </si>
  <si>
    <t>Not in this unit cost</t>
  </si>
  <si>
    <t>•  One-time automotive NRE (£16,200 — PPAP, FMEA, DV/PV, audit) is not in the unit cost; see Volume &amp; Notes.</t>
  </si>
  <si>
    <t>•  Stencils, test fixtures and programming are inside the EMS price, spread over the order (no separate tooling line).</t>
  </si>
  <si>
    <t>•  Tier-1 / distributor margin above the EMS price, and the enclosure, lens and cable of a module, are not in this board cost.</t>
  </si>
  <si>
    <t>Cost breakdown · per board, ex-works and delivered</t>
  </si>
  <si>
    <t>Cost stack per board</t>
  </si>
  <si>
    <t>China (Shenzhen / Suzhou) build · delivered UK, duty paid</t>
  </si>
  <si>
    <t>Line item</t>
  </si>
  <si>
    <t>% of delivered</t>
  </si>
  <si>
    <t>Share</t>
  </si>
  <si>
    <t>£/year</t>
  </si>
  <si>
    <t>Basis</t>
  </si>
  <si>
    <t>Components (as the EMS buys them)</t>
  </si>
  <si>
    <t>11 BOM lines at China (Shenzhen / Suzhou) sourcing — see Bill of Materials</t>
  </si>
  <si>
    <t>EMS material burden (5%)</t>
  </si>
  <si>
    <t>Procurement, inventory, scrap and margin on material — stated rate by volume</t>
  </si>
  <si>
    <t>Fabricator price: base, layers, finish, vias, set-up — see Board &amp; Assembly</t>
  </si>
  <si>
    <t>Automotive fab grade</t>
  </si>
  <si>
    <t>IATF 16949 line, automotive laminate, class 3 inspection, coupons</t>
  </si>
  <si>
    <t>SMT / THT assembly</t>
  </si>
  <si>
    <t>Placements and joints at the country line rate</t>
  </si>
  <si>
    <t>Test &amp; inspection</t>
  </si>
  <si>
    <t>AOI, X-ray, ICT (station time + fixture over the order)</t>
  </si>
  <si>
    <t>Automotive assembly grade</t>
  </si>
  <si>
    <t>IATF line, class 3 workmanship, serialisation</t>
  </si>
  <si>
    <t>Energy, packaging, cost of quality</t>
  </si>
  <si>
    <t>Energy £0.01 · ESD packaging £0.06 · rework/scrap £0.06</t>
  </si>
  <si>
    <t>Rounding (to the penny)</t>
  </si>
  <si>
    <t>Every figure is rounded to £0.01; this is the residual</t>
  </si>
  <si>
    <t>Ex-works cost (China factory gate)</t>
  </si>
  <si>
    <t>Built, tested and packed — before freight and import duty</t>
  </si>
  <si>
    <t>Freight to the UK</t>
  </si>
  <si>
    <t>Sea at volume, air below 2,500 boards — under a penny a board by sea at this size and volume</t>
  </si>
  <si>
    <t>UK import duty</t>
  </si>
  <si>
    <t>On components + board + assembly (customs value)</t>
  </si>
  <si>
    <t>Delivered cost per board</t>
  </si>
  <si>
    <t>China (Shenzhen / Suzhou) build, delivered UK, duty paid</t>
  </si>
  <si>
    <t>Assumptions</t>
  </si>
  <si>
    <t>Annual volume (boards / year)</t>
  </si>
  <si>
    <t>£/year scales the per-board cost by this volume (blue = an input you can change). The per-board cost itself was priced at this volume — re-run the analysis to price another volume.</t>
  </si>
  <si>
    <t>Components, bare board and assembly are supplier prices: the fabricator's and the EMS's overhead and margin are inside them, so no further overhead or margin is added. Ex-works = built, tested and packed at the factory gate; delivered adds freight to the UK and UK import duty.</t>
  </si>
  <si>
    <t>Bill of materials · every line and what priced it</t>
  </si>
  <si>
    <t>Bill of materials</t>
  </si>
  <si>
    <t>11 lines · 80 parts · from the BOM image</t>
  </si>
  <si>
    <t>Ref des</t>
  </si>
  <si>
    <t>Description</t>
  </si>
  <si>
    <t>Part number</t>
  </si>
  <si>
    <t>Package</t>
  </si>
  <si>
    <t>Qty</t>
  </si>
  <si>
    <t>Unit £</t>
  </si>
  <si>
    <t>Extended £</t>
  </si>
  <si>
    <t>% of comp.</t>
  </si>
  <si>
    <t>Priced from</t>
  </si>
  <si>
    <t>Verify</t>
  </si>
  <si>
    <t>—</t>
  </si>
  <si>
    <t>Ceramic Capacitor</t>
  </si>
  <si>
    <t>&lt;= 1206</t>
  </si>
  <si>
    <t>class range</t>
  </si>
  <si>
    <t>Ferrite</t>
  </si>
  <si>
    <t>Common Mode Choke</t>
  </si>
  <si>
    <t>DS90UB935-Q1</t>
  </si>
  <si>
    <t>VQFN-32</t>
  </si>
  <si>
    <t>catalogue (distributor)</t>
  </si>
  <si>
    <t>Automotive Step Down DC-DC Converter</t>
  </si>
  <si>
    <t>LM53600MQDSXRQ1</t>
  </si>
  <si>
    <t>WSON-10</t>
  </si>
  <si>
    <t>2.25-MHz Fixed VOUT Dual 1000mA/400mA Step-Down</t>
  </si>
  <si>
    <t>TPS62422QDRCRQ1</t>
  </si>
  <si>
    <t>MSOP-10</t>
  </si>
  <si>
    <t>300-mA, Low-IQ, Low-Dropout Regulator</t>
  </si>
  <si>
    <t>TLV70233QDSERQ1</t>
  </si>
  <si>
    <t>WSON-6</t>
  </si>
  <si>
    <t>BQ24025DRCR</t>
  </si>
  <si>
    <t>VSON(DRC)10</t>
  </si>
  <si>
    <t>Resistor</t>
  </si>
  <si>
    <t>Image sensor</t>
  </si>
  <si>
    <t>Quote</t>
  </si>
  <si>
    <t>Components total</t>
  </si>
  <si>
    <t>Reconciliation</t>
  </si>
  <si>
    <t>Lines total (above)</t>
  </si>
  <si>
    <t>Components row, Cost Breakdown</t>
  </si>
  <si>
    <t>Difference</t>
  </si>
  <si>
    <t>The 11 lines (80 parts) total £12.70 — the components row on Cost Breakdown. Unit prices are the distributor price × 0.879, China (Shenzhen / Suzhou)'s component sourcing index. The EMS material burden (£0.64) is added on top on Cost Breakdown.</t>
  </si>
  <si>
    <t>Source: catalogue (distributor) = a distributor price on file; catalogue (estimate) = a dated engineering estimate; named-part range = the part is identified, priced inside its own range; function / class range = priced from the tool's table for that kind of part. Lines marked "Quote" are £1.00+ with no distributor price behind them — confirm with a quote.</t>
  </si>
  <si>
    <t>Board &amp; assembly · specification, build-up and photographs</t>
  </si>
  <si>
    <t>Board specification</t>
  </si>
  <si>
    <t>Bare-board build-up</t>
  </si>
  <si>
    <r>
      <rPr>
        <color rgb="FF3A4356"/>
        <sz val="10"/>
        <rFont val="Calibri"/>
      </rPr>
      <t>20 × 20 mm</t>
    </r>
    <r>
      <rPr>
        <b/>
        <color rgb="FF99651A"/>
        <sz val="9"/>
        <rFont val="Calibri"/>
      </rPr>
      <t xml:space="preserve">   estimated</t>
    </r>
  </si>
  <si>
    <t>Base laminate &amp; process</t>
  </si>
  <si>
    <t>Technology / HDI</t>
  </si>
  <si>
    <t>FR4 HTg</t>
  </si>
  <si>
    <t>Vias &amp; drilling</t>
  </si>
  <si>
    <t>Finish · copper</t>
  </si>
  <si>
    <t>OSP · 2 oz</t>
  </si>
  <si>
    <t>Impedance control</t>
  </si>
  <si>
    <t>Vias (through / blind / micro)</t>
  </si>
  <si>
    <t>115 / 0 / 0</t>
  </si>
  <si>
    <t>Heavy copper</t>
  </si>
  <si>
    <t>Yes</t>
  </si>
  <si>
    <t>Build-up items</t>
  </si>
  <si>
    <t>Placements · BGA/CSP</t>
  </si>
  <si>
    <t>80 SMT · 1 BGA/CSP · 2 reflow side(s)</t>
  </si>
  <si>
    <t>Rounding (items rounded to the penny)</t>
  </si>
  <si>
    <t>Panel</t>
  </si>
  <si>
    <t>280 boards on 480 × 350 mm (67% used)</t>
  </si>
  <si>
    <t>+ Automotive fab grade</t>
  </si>
  <si>
    <t>= Bare PCB per board</t>
  </si>
  <si>
    <t>Test &amp; inspection (AOI, X-ray, ICT)</t>
  </si>
  <si>
    <t>= Assembly &amp; test per board</t>
  </si>
  <si>
    <t>Source photographs (3)</t>
  </si>
  <si>
    <t>as uploaded for the analysis</t>
  </si>
  <si>
    <t>Photo 1 · uploaded as "Top side"</t>
  </si>
  <si>
    <t>Photo 2 · uploaded as "Bottom side"</t>
  </si>
  <si>
    <t>Photo 3 · uploaded as "Close-up 1"</t>
  </si>
  <si>
    <t>Build-country comparison · the same board in each country</t>
  </si>
  <si>
    <t>Build-country comparison</t>
  </si>
  <si>
    <t>each row: this board built there, delivered UK, duty paid</t>
  </si>
  <si>
    <t>Rank</t>
  </si>
  <si>
    <t>Country</t>
  </si>
  <si>
    <t>Components + EMS burden</t>
  </si>
  <si>
    <t>Bare board</t>
  </si>
  <si>
    <t>Other</t>
  </si>
  <si>
    <t>Ex-works</t>
  </si>
  <si>
    <t>Freight &amp; duty</t>
  </si>
  <si>
    <t>Delivered</t>
  </si>
  <si>
    <t>Δ vs China</t>
  </si>
  <si>
    <t>Δ %</t>
  </si>
  <si>
    <t>Change</t>
  </si>
  <si>
    <t>Lead</t>
  </si>
  <si>
    <t>China</t>
  </si>
  <si>
    <t>Vietnam</t>
  </si>
  <si>
    <t>Malaysia</t>
  </si>
  <si>
    <t>Thailand</t>
  </si>
  <si>
    <t>India</t>
  </si>
  <si>
    <t>Taiwan</t>
  </si>
  <si>
    <t>Mexico</t>
  </si>
  <si>
    <t>South Korea</t>
  </si>
  <si>
    <t>Czech Republic</t>
  </si>
  <si>
    <t>Poland</t>
  </si>
  <si>
    <t>Germany</t>
  </si>
  <si>
    <t>USA</t>
  </si>
  <si>
    <t>United Kingdom</t>
  </si>
  <si>
    <t>Japan</t>
  </si>
  <si>
    <t>Components include the EMS material burden. "Other" is energy, ESD packaging and cost of quality (rework and scrap at the country's defect rate). Freight by sea is under a penny a board at this size and volume, so it shows as £0.00; UK import duty is 0% where the UK tariff for that origin is 0% (trade agreement). Δ: + dearer, − cheaper than the costed country.</t>
  </si>
  <si>
    <t>Volume, one-time costs &amp; notes</t>
  </si>
  <si>
    <t>Volume curve</t>
  </si>
  <si>
    <t>delivered cost per board at each annual volume</t>
  </si>
  <si>
    <t>Boards / year</t>
  </si>
  <si>
    <t>China (costed)</t>
  </si>
  <si>
    <t>United Kingdom (onshore reference)</t>
  </si>
  <si>
    <t>Highlighted: this analysis (250,000 boards a year).</t>
  </si>
  <si>
    <t>One-time automotive NRE</t>
  </si>
  <si>
    <t>not in the unit cost</t>
  </si>
  <si>
    <t>Item</t>
  </si>
  <si>
    <t>One-time £</t>
  </si>
  <si>
    <t>Per board, year 1 (£)</t>
  </si>
  <si>
    <t>PPAP</t>
  </si>
  <si>
    <t>FMEA</t>
  </si>
  <si>
    <t>DV / PV (DVP&amp;R)</t>
  </si>
  <si>
    <t>ASIL audit</t>
  </si>
  <si>
    <t>Total NRE</t>
  </si>
  <si>
    <t>Functional safety (ISO 26262)</t>
  </si>
  <si>
    <t>•  Costed as ASIL-B; quality grade auto grade 2.</t>
  </si>
  <si>
    <t>•  An ASIL comes from the hazard analysis (HARA), not from a photograph — confirm it against the safety concept.</t>
  </si>
  <si>
    <t>Analysis checks</t>
  </si>
  <si>
    <t>•  BOM taken from your BOM image (transcribed by the AI reader; prices come from the catalogue and rate tables, never from the reader): 11 lines, 80 SMT placements. The photos were used for the board build and to fill gaps, not to write the BOM.</t>
  </si>
  <si>
    <t>Limitations stated by the AI photo reader</t>
  </si>
  <si>
    <t>•  The image sensor model is unknown.</t>
  </si>
  <si>
    <t>Method &amp; sources</t>
  </si>
  <si>
    <t>•  Every price is deterministic arithmetic in the CostVision engine; the AI only reads the photos and classifies — it never sets a price.</t>
  </si>
  <si>
    <t>•  Component prices: the dated offline catalogue (distributor listings and labelled engineering estimates) or, where a part is not catalogued, the tool's own range for that kind of part; breaks follow the parts bought (qty per board × boards).</t>
  </si>
  <si>
    <t>•  Fabrication, assembly, test, energy, packaging, cost of quality, freight and duty: country rate tables for China and each compared country (2026 rates).</t>
  </si>
  <si>
    <t>•  Totals, percentages and deltas in this workbook are live formulas over the analysis figures.</t>
  </si>
  <si>
    <t>•  What the unit cost excludes (one-time NRE, Tier-1 margin, module housing) is listed on the Summary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</si>
</sst>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£&quot;#,##0.00;-&quot;£&quot;#,##0.00;&quot;–&quot;"/>
    <numFmt numFmtId="165" formatCode="&quot;£&quot;#,##0;-&quot;£&quot;#,##0;&quot;–&quot;"/>
    <numFmt numFmtId="166" formatCode="0.0%"/>
    <numFmt numFmtId="167" formatCode=";;;"/>
    <numFmt numFmtId="168" formatCode="&quot;£&quot;#,##0.00"/>
    <numFmt numFmtId="169" formatCode="#,##0&quot; /yr&quot;"/>
    <numFmt numFmtId="170" formatCode="&quot;£&quot;#,##0.0000"/>
    <numFmt numFmtId="171" formatCode="[&lt;0.01]&quot;£&quot;0.0000;&quot;£&quot;#,##0.00"/>
    <numFmt numFmtId="172" formatCode="+&quot;£&quot;#,##0.00;-&quot;£&quot;#,##0.00;&quot;£&quot;0.00"/>
    <numFmt numFmtId="173" formatCode="+0.0%;-0.0%;0.0%"/>
    <numFmt numFmtId="174" formatCode="0&quot; wk&quot;"/>
  </numFmts>
  <fonts count="34" x14ac:knownFonts="1">
    <font>
      <color theme="1"/>
      <family val="2"/>
      <scheme val="minor"/>
      <sz val="11"/>
      <name val="Calibri"/>
    </font>
    <font>
      <color rgb="FF686F7D"/>
      <sz val="9"/>
      <name val="Calibri"/>
    </font>
    <font>
      <b/>
      <color rgb="FF16325C"/>
      <sz val="18"/>
      <name val="Calibri"/>
    </font>
    <font>
      <color rgb="FF3A4356"/>
      <sz val="11"/>
      <name val="Calibri"/>
    </font>
    <font>
      <b/>
      <color rgb="FF686F7D"/>
      <sz val="9"/>
      <name val="Calibri"/>
    </font>
    <font>
      <b/>
      <color rgb="FF16325C"/>
      <sz val="22"/>
      <name val="Calibri"/>
    </font>
    <font>
      <b/>
      <color rgb="FF16325C"/>
      <sz val="16"/>
      <name val="Calibri"/>
    </font>
    <font>
      <b/>
      <color rgb="FFFFFFFF"/>
      <sz val="11"/>
      <name val="Calibri"/>
    </font>
    <font>
      <color rgb="FFC8D7F0"/>
      <sz val="9"/>
      <name val="Calibri"/>
    </font>
    <font>
      <b/>
      <color rgb="FF16325C"/>
      <sz val="9.5"/>
      <name val="Calibri"/>
    </font>
    <font>
      <color rgb="FF16325C"/>
      <sz val="16"/>
      <name val="Calibri"/>
    </font>
    <font>
      <color rgb="FF3A4356"/>
      <sz val="10"/>
      <name val="Calibri"/>
    </font>
    <font>
      <color rgb="FF1D6FB8"/>
      <sz val="16"/>
      <name val="Calibri"/>
    </font>
    <font>
      <color rgb="FF0D7D71"/>
      <sz val="16"/>
      <name val="Calibri"/>
    </font>
    <font>
      <color rgb="FF6B3FA0"/>
      <sz val="16"/>
      <name val="Calibri"/>
    </font>
    <font>
      <color rgb="FFD9822B"/>
      <sz val="16"/>
      <name val="Calibri"/>
    </font>
    <font>
      <color rgb="FFA9B4C4"/>
      <sz val="16"/>
      <name val="Calibri"/>
    </font>
    <font>
      <color rgb="FF686F7D"/>
      <sz val="16"/>
      <name val="Calibri"/>
    </font>
    <font>
      <b/>
      <color rgb="FFFFFFFF"/>
      <sz val="10"/>
      <name val="Calibri"/>
    </font>
    <font>
      <b/>
      <color rgb="FF99651A"/>
      <sz val="10"/>
      <name val="Calibri"/>
    </font>
    <font>
      <color rgb="FF3A4356"/>
      <sz val="9.5"/>
      <name val="Calibri"/>
    </font>
    <font>
      <b/>
      <color rgb="FF3A4356"/>
      <sz val="10"/>
      <name val="Calibri"/>
    </font>
    <font>
      <b/>
      <color rgb="FFFFFFFF"/>
      <sz val="9"/>
      <name val="Calibri"/>
    </font>
    <font>
      <b/>
      <color rgb="FFFFFFFF"/>
      <sz val="12"/>
      <name val="Calibri"/>
    </font>
    <font>
      <b/>
      <color rgb="FF2A7F50"/>
      <sz val="9"/>
      <name val="Calibri"/>
    </font>
    <font>
      <color rgb="FF0000FF"/>
      <sz val="10"/>
      <name val="Calibri"/>
    </font>
    <font>
      <color rgb="FF686F7D"/>
      <sz val="10"/>
      <name val="Calibri"/>
    </font>
    <font>
      <b/>
      <color rgb="FF99651A"/>
      <sz val="9"/>
      <name val="Calibri"/>
    </font>
    <font>
      <b/>
      <color rgb="FF16325C"/>
      <sz val="10"/>
      <name val="Calibri"/>
    </font>
    <font>
      <b/>
      <color rgb="FF16325C"/>
      <sz val="9"/>
      <name val="Calibri"/>
    </font>
    <font>
      <b/>
      <color rgb="FF686F7D"/>
      <sz val="10"/>
      <name val="Calibri"/>
    </font>
    <font>
      <b/>
      <color rgb="FFB03A2E"/>
      <sz val="10"/>
      <name val="Calibri"/>
    </font>
    <font>
      <color rgb="FFB03A2E"/>
      <sz val="10"/>
      <name val="Calibri"/>
    </font>
    <font>
      <b/>
      <color rgb="FFB03A2E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99651A"/>
      </patternFill>
    </fill>
    <fill>
      <patternFill patternType="solid">
        <fgColor rgb="FFF4F7FB"/>
      </patternFill>
    </fill>
    <fill>
      <patternFill patternType="solid">
        <fgColor rgb="FFE8F1FA"/>
      </patternFill>
    </fill>
    <fill>
      <patternFill patternType="solid">
        <fgColor rgb="FFFCF3E3"/>
      </patternFill>
    </fill>
    <fill>
      <patternFill patternType="solid">
        <fgColor rgb="FFEAF6EF"/>
      </patternFill>
    </fill>
  </fills>
  <borders count="8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thick">
        <color rgb="FF1D6FB8"/>
      </left>
      <right/>
      <top/>
      <bottom/>
      <diagonal/>
    </border>
    <border>
      <left/>
      <right/>
      <top/>
      <bottom style="medium">
        <color rgb="FF16325C"/>
      </bottom>
      <diagonal/>
    </border>
    <border>
      <left/>
      <right/>
      <top/>
      <bottom style="hair">
        <color rgb="FFDCE3EE"/>
      </bottom>
      <diagonal/>
    </border>
    <border>
      <left/>
      <right/>
      <top style="thin">
        <color rgb="FF16325C"/>
      </top>
      <bottom style="hair">
        <color rgb="FFDCE3EE"/>
      </bottom>
      <diagonal/>
    </border>
    <border>
      <left/>
      <right/>
      <top style="double">
        <color rgb="FF16325C"/>
      </top>
      <bottom/>
      <diagonal/>
    </border>
    <border>
      <left/>
      <right/>
      <top style="thin">
        <color rgb="FF16325C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4" fillId="4" borderId="0" xfId="0" applyFont="1" applyFill="1" applyAlignment="1">
      <alignment horizontal="left" vertical="center" indent="1"/>
    </xf>
    <xf numFmtId="164" fontId="5" fillId="4" borderId="0" xfId="0" applyNumberFormat="1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165" fontId="5" fillId="4" borderId="0" xfId="0" applyNumberFormat="1" applyFont="1" applyFill="1" applyAlignment="1">
      <alignment horizontal="left" vertical="center" indent="1"/>
    </xf>
    <xf numFmtId="164" fontId="0" fillId="0" borderId="0" xfId="0" applyNumberFormat="1"/>
    <xf numFmtId="0" fontId="1" fillId="4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vertical="center" indent="1"/>
    </xf>
    <xf numFmtId="0" fontId="8" fillId="2" borderId="0" xfId="0" applyFont="1" applyFill="1" applyAlignment="1">
      <alignment horizontal="right" vertical="center" indent="1"/>
    </xf>
    <xf numFmtId="0" fontId="9" fillId="5" borderId="3" xfId="0" applyFont="1" applyFill="1" applyBorder="1" applyAlignment="1">
      <alignment horizontal="left" vertical="center" wrapText="1" indent="1"/>
    </xf>
    <xf numFmtId="0" fontId="9" fillId="5" borderId="3" xfId="0" applyFont="1" applyFill="1" applyBorder="1" applyAlignment="1">
      <alignment horizontal="right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 indent="1"/>
    </xf>
    <xf numFmtId="164" fontId="11" fillId="0" borderId="4" xfId="0" applyNumberFormat="1" applyFont="1" applyBorder="1" applyAlignment="1">
      <alignment horizontal="right" vertical="center"/>
    </xf>
    <xf numFmtId="166" fontId="11" fillId="0" borderId="4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2" borderId="0" xfId="0" applyFont="1" applyFill="1" applyAlignment="1">
      <alignment horizontal="left" vertical="center" wrapText="1" indent="1"/>
    </xf>
    <xf numFmtId="164" fontId="7" fillId="2" borderId="0" xfId="0" applyNumberFormat="1" applyFont="1" applyFill="1" applyAlignment="1">
      <alignment horizontal="right" vertical="center"/>
    </xf>
    <xf numFmtId="166" fontId="18" fillId="2" borderId="0" xfId="0" applyNumberFormat="1" applyFont="1" applyFill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19" fillId="6" borderId="4" xfId="0" applyFont="1" applyFill="1" applyBorder="1" applyAlignment="1">
      <alignment horizontal="left" vertical="center" wrapText="1" indent="1"/>
    </xf>
    <xf numFmtId="3" fontId="1" fillId="4" borderId="4" xfId="0" applyNumberFormat="1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left" vertical="center" wrapText="1" indent="1"/>
    </xf>
    <xf numFmtId="164" fontId="11" fillId="4" borderId="4" xfId="0" applyNumberFormat="1" applyFont="1" applyFill="1" applyBorder="1" applyAlignment="1">
      <alignment horizontal="right" vertical="center"/>
    </xf>
    <xf numFmtId="166" fontId="11" fillId="4" borderId="4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vertical="center" indent="1"/>
    </xf>
    <xf numFmtId="0" fontId="20" fillId="6" borderId="0" xfId="0" applyFont="1" applyFill="1" applyAlignment="1">
      <alignment vertical="top" wrapText="1" indent="1"/>
    </xf>
    <xf numFmtId="0" fontId="11" fillId="0" borderId="0" xfId="0" applyFont="1" applyAlignment="1">
      <alignment vertical="top" wrapText="1" indent="1"/>
    </xf>
    <xf numFmtId="0" fontId="20" fillId="4" borderId="0" xfId="0" applyFont="1" applyFill="1" applyAlignment="1">
      <alignment vertical="top" wrapText="1" indent="1"/>
    </xf>
    <xf numFmtId="167" fontId="11" fillId="0" borderId="4" xfId="0" applyNumberFormat="1" applyFont="1" applyBorder="1" applyAlignment="1">
      <alignment horizontal="right" vertical="center"/>
    </xf>
    <xf numFmtId="165" fontId="1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 indent="1"/>
    </xf>
    <xf numFmtId="167" fontId="11" fillId="4" borderId="4" xfId="0" applyNumberFormat="1" applyFont="1" applyFill="1" applyBorder="1" applyAlignment="1">
      <alignment horizontal="right" vertical="center"/>
    </xf>
    <xf numFmtId="165" fontId="11" fillId="4" borderId="4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 wrapText="1" indent="1"/>
    </xf>
    <xf numFmtId="3" fontId="1" fillId="5" borderId="5" xfId="0" applyNumberFormat="1" applyFont="1" applyFill="1" applyBorder="1" applyAlignment="1">
      <alignment horizontal="right" vertical="center"/>
    </xf>
    <xf numFmtId="0" fontId="21" fillId="5" borderId="5" xfId="0" applyFont="1" applyFill="1" applyBorder="1" applyAlignment="1">
      <alignment horizontal="left" vertical="center" wrapText="1" indent="1"/>
    </xf>
    <xf numFmtId="164" fontId="21" fillId="5" borderId="5" xfId="0" applyNumberFormat="1" applyFont="1" applyFill="1" applyBorder="1" applyAlignment="1">
      <alignment horizontal="right" vertical="center"/>
    </xf>
    <xf numFmtId="166" fontId="21" fillId="5" borderId="5" xfId="0" applyNumberFormat="1" applyFont="1" applyFill="1" applyBorder="1" applyAlignment="1">
      <alignment horizontal="right" vertical="center"/>
    </xf>
    <xf numFmtId="0" fontId="11" fillId="5" borderId="5" xfId="0" applyFont="1" applyFill="1" applyBorder="1"/>
    <xf numFmtId="165" fontId="21" fillId="5" borderId="5" xfId="0" applyNumberFormat="1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left" vertical="center" wrapText="1" indent="1"/>
    </xf>
    <xf numFmtId="168" fontId="11" fillId="0" borderId="4" xfId="0" applyNumberFormat="1" applyFont="1" applyBorder="1" applyAlignment="1">
      <alignment horizontal="right" vertical="center"/>
    </xf>
    <xf numFmtId="3" fontId="22" fillId="2" borderId="6" xfId="0" applyNumberFormat="1" applyFont="1" applyFill="1" applyBorder="1" applyAlignment="1">
      <alignment horizontal="right" vertical="center"/>
    </xf>
    <xf numFmtId="0" fontId="18" fillId="2" borderId="6" xfId="0" applyFont="1" applyFill="1" applyBorder="1" applyAlignment="1">
      <alignment horizontal="left" vertical="center" wrapText="1" indent="1"/>
    </xf>
    <xf numFmtId="164" fontId="23" fillId="2" borderId="6" xfId="0" applyNumberFormat="1" applyFont="1" applyFill="1" applyBorder="1" applyAlignment="1">
      <alignment horizontal="right" vertical="center"/>
    </xf>
    <xf numFmtId="166" fontId="18" fillId="2" borderId="6" xfId="0" applyNumberFormat="1" applyFont="1" applyFill="1" applyBorder="1" applyAlignment="1">
      <alignment horizontal="right" vertical="center"/>
    </xf>
    <xf numFmtId="0" fontId="18" fillId="2" borderId="6" xfId="0" applyFont="1" applyFill="1" applyBorder="1"/>
    <xf numFmtId="165" fontId="18" fillId="2" borderId="6" xfId="0" applyNumberFormat="1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left" vertical="center" wrapText="1" indent="1"/>
    </xf>
    <xf numFmtId="0" fontId="24" fillId="0" borderId="0" xfId="0" applyFont="1" applyAlignment="1">
      <alignment vertical="top" wrapText="1" indent="1"/>
    </xf>
    <xf numFmtId="0" fontId="11" fillId="0" borderId="4" xfId="0" applyFont="1" applyBorder="1"/>
    <xf numFmtId="169" fontId="25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top" wrapText="1" indent="1"/>
    </xf>
    <xf numFmtId="0" fontId="26" fillId="0" borderId="4" xfId="0" applyFont="1" applyBorder="1" applyAlignment="1">
      <alignment horizontal="left" vertical="center" wrapText="1" indent="1"/>
    </xf>
    <xf numFmtId="3" fontId="11" fillId="0" borderId="4" xfId="0" applyNumberFormat="1" applyFont="1" applyBorder="1" applyAlignment="1">
      <alignment horizontal="right" vertical="center"/>
    </xf>
    <xf numFmtId="170" fontId="11" fillId="0" borderId="4" xfId="0" applyNumberFormat="1" applyFont="1" applyBorder="1" applyAlignment="1">
      <alignment horizontal="right" vertical="center"/>
    </xf>
    <xf numFmtId="171" fontId="21" fillId="0" borderId="4" xfId="0" applyNumberFormat="1" applyFont="1" applyBorder="1" applyAlignment="1">
      <alignment horizontal="right" vertical="center"/>
    </xf>
    <xf numFmtId="0" fontId="27" fillId="6" borderId="4" xfId="0" applyFont="1" applyFill="1" applyBorder="1" applyAlignment="1">
      <alignment horizontal="left" vertical="center" wrapText="1" indent="1"/>
    </xf>
    <xf numFmtId="0" fontId="26" fillId="4" borderId="4" xfId="0" applyFont="1" applyFill="1" applyBorder="1" applyAlignment="1">
      <alignment horizontal="left" vertical="center" wrapText="1" indent="1"/>
    </xf>
    <xf numFmtId="3" fontId="11" fillId="4" borderId="4" xfId="0" applyNumberFormat="1" applyFont="1" applyFill="1" applyBorder="1" applyAlignment="1">
      <alignment horizontal="right" vertical="center"/>
    </xf>
    <xf numFmtId="170" fontId="11" fillId="4" borderId="4" xfId="0" applyNumberFormat="1" applyFont="1" applyFill="1" applyBorder="1" applyAlignment="1">
      <alignment horizontal="right" vertical="center"/>
    </xf>
    <xf numFmtId="171" fontId="21" fillId="4" borderId="4" xfId="0" applyNumberFormat="1" applyFont="1" applyFill="1" applyBorder="1" applyAlignment="1">
      <alignment horizontal="right" vertical="center"/>
    </xf>
    <xf numFmtId="0" fontId="11" fillId="4" borderId="4" xfId="0" applyFont="1" applyFill="1" applyBorder="1"/>
    <xf numFmtId="0" fontId="24" fillId="7" borderId="4" xfId="0" applyFont="1" applyFill="1" applyBorder="1" applyAlignment="1">
      <alignment horizontal="left" vertical="center" wrapText="1" indent="1"/>
    </xf>
    <xf numFmtId="0" fontId="27" fillId="6" borderId="4" xfId="0" applyFont="1" applyFill="1" applyBorder="1" applyAlignment="1">
      <alignment horizontal="center" vertical="center"/>
    </xf>
    <xf numFmtId="0" fontId="11" fillId="2" borderId="6" xfId="0" applyFont="1" applyFill="1" applyBorder="1"/>
    <xf numFmtId="3" fontId="18" fillId="2" borderId="6" xfId="0" applyNumberFormat="1" applyFont="1" applyFill="1" applyBorder="1" applyAlignment="1">
      <alignment horizontal="right" vertical="center"/>
    </xf>
    <xf numFmtId="164" fontId="7" fillId="2" borderId="6" xfId="0" applyNumberFormat="1" applyFont="1" applyFill="1" applyBorder="1" applyAlignment="1">
      <alignment horizontal="right" vertical="center"/>
    </xf>
    <xf numFmtId="172" fontId="21" fillId="0" borderId="4" xfId="0" applyNumberFormat="1" applyFont="1" applyBorder="1" applyAlignment="1">
      <alignment horizontal="right" vertical="center"/>
    </xf>
    <xf numFmtId="0" fontId="24" fillId="0" borderId="0" xfId="0" applyFont="1" applyAlignment="1">
      <alignment horizontal="left" vertical="center" wrapText="1" indent="1"/>
    </xf>
    <xf numFmtId="0" fontId="21" fillId="5" borderId="7" xfId="0" applyFont="1" applyFill="1" applyBorder="1" applyAlignment="1">
      <alignment horizontal="left" vertical="center" wrapText="1" indent="1"/>
    </xf>
    <xf numFmtId="164" fontId="21" fillId="5" borderId="7" xfId="0" applyNumberFormat="1" applyFont="1" applyFill="1" applyBorder="1" applyAlignment="1">
      <alignment horizontal="right" vertical="center"/>
    </xf>
    <xf numFmtId="0" fontId="1" fillId="0" borderId="0" xfId="0" applyFont="1"/>
    <xf numFmtId="0" fontId="9" fillId="5" borderId="3" xfId="0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right" vertical="center"/>
    </xf>
    <xf numFmtId="0" fontId="21" fillId="5" borderId="4" xfId="0" applyFont="1" applyFill="1" applyBorder="1" applyAlignment="1">
      <alignment horizontal="left" vertical="center" wrapText="1" indent="1"/>
    </xf>
    <xf numFmtId="164" fontId="21" fillId="5" borderId="4" xfId="0" applyNumberFormat="1" applyFont="1" applyFill="1" applyBorder="1" applyAlignment="1">
      <alignment horizontal="right" vertical="center"/>
    </xf>
    <xf numFmtId="168" fontId="21" fillId="5" borderId="4" xfId="0" applyNumberFormat="1" applyFont="1" applyFill="1" applyBorder="1" applyAlignment="1">
      <alignment horizontal="right" vertical="center"/>
    </xf>
    <xf numFmtId="164" fontId="28" fillId="5" borderId="4" xfId="0" applyNumberFormat="1" applyFont="1" applyFill="1" applyBorder="1" applyAlignment="1">
      <alignment horizontal="right" vertical="center"/>
    </xf>
    <xf numFmtId="172" fontId="21" fillId="5" borderId="4" xfId="0" applyNumberFormat="1" applyFont="1" applyFill="1" applyBorder="1" applyAlignment="1">
      <alignment horizontal="right" vertical="center"/>
    </xf>
    <xf numFmtId="173" fontId="21" fillId="5" borderId="4" xfId="0" applyNumberFormat="1" applyFont="1" applyFill="1" applyBorder="1" applyAlignment="1">
      <alignment horizontal="right" vertical="center"/>
    </xf>
    <xf numFmtId="0" fontId="29" fillId="5" borderId="4" xfId="0" applyFont="1" applyFill="1" applyBorder="1" applyAlignment="1">
      <alignment horizontal="left" vertical="center" wrapText="1" indent="1"/>
    </xf>
    <xf numFmtId="174" fontId="30" fillId="5" borderId="4" xfId="0" applyNumberFormat="1" applyFont="1" applyFill="1" applyBorder="1" applyAlignment="1">
      <alignment horizontal="center" vertical="center"/>
    </xf>
    <xf numFmtId="164" fontId="21" fillId="4" borderId="4" xfId="0" applyNumberFormat="1" applyFont="1" applyFill="1" applyBorder="1" applyAlignment="1">
      <alignment horizontal="right" vertical="center"/>
    </xf>
    <xf numFmtId="168" fontId="11" fillId="4" borderId="4" xfId="0" applyNumberFormat="1" applyFont="1" applyFill="1" applyBorder="1" applyAlignment="1">
      <alignment horizontal="right" vertical="center"/>
    </xf>
    <xf numFmtId="164" fontId="28" fillId="4" borderId="4" xfId="0" applyNumberFormat="1" applyFont="1" applyFill="1" applyBorder="1" applyAlignment="1">
      <alignment horizontal="right" vertical="center"/>
    </xf>
    <xf numFmtId="172" fontId="31" fillId="4" borderId="4" xfId="0" applyNumberFormat="1" applyFont="1" applyFill="1" applyBorder="1" applyAlignment="1">
      <alignment horizontal="right" vertical="center"/>
    </xf>
    <xf numFmtId="173" fontId="32" fillId="4" borderId="4" xfId="0" applyNumberFormat="1" applyFont="1" applyFill="1" applyBorder="1" applyAlignment="1">
      <alignment horizontal="right" vertical="center"/>
    </xf>
    <xf numFmtId="0" fontId="33" fillId="4" borderId="4" xfId="0" applyFont="1" applyFill="1" applyBorder="1" applyAlignment="1">
      <alignment horizontal="left" vertical="center" wrapText="1" indent="1"/>
    </xf>
    <xf numFmtId="174" fontId="26" fillId="4" borderId="4" xfId="0" applyNumberFormat="1" applyFont="1" applyFill="1" applyBorder="1" applyAlignment="1">
      <alignment horizontal="center" vertical="center"/>
    </xf>
    <xf numFmtId="164" fontId="21" fillId="0" borderId="4" xfId="0" applyNumberFormat="1" applyFont="1" applyBorder="1" applyAlignment="1">
      <alignment horizontal="right" vertical="center"/>
    </xf>
    <xf numFmtId="164" fontId="28" fillId="0" borderId="4" xfId="0" applyNumberFormat="1" applyFont="1" applyBorder="1" applyAlignment="1">
      <alignment horizontal="right" vertical="center"/>
    </xf>
    <xf numFmtId="172" fontId="31" fillId="0" borderId="4" xfId="0" applyNumberFormat="1" applyFont="1" applyBorder="1" applyAlignment="1">
      <alignment horizontal="right" vertical="center"/>
    </xf>
    <xf numFmtId="173" fontId="32" fillId="0" borderId="4" xfId="0" applyNumberFormat="1" applyFont="1" applyBorder="1" applyAlignment="1">
      <alignment horizontal="right" vertical="center"/>
    </xf>
    <xf numFmtId="0" fontId="33" fillId="0" borderId="4" xfId="0" applyFont="1" applyBorder="1" applyAlignment="1">
      <alignment horizontal="left" vertical="center" wrapText="1" indent="1"/>
    </xf>
    <xf numFmtId="174" fontId="26" fillId="0" borderId="4" xfId="0" applyNumberFormat="1" applyFont="1" applyBorder="1" applyAlignment="1">
      <alignment horizontal="center" vertical="center"/>
    </xf>
    <xf numFmtId="3" fontId="21" fillId="5" borderId="4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Alignment="1">
      <alignment horizontal="right" vertical="center"/>
    </xf>
    <xf numFmtId="170" fontId="18" fillId="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c:chart>
    <c:title>
      <c:tx>
        <c:rich>
          <a:bodyPr/>
          <a:lstStyle/>
          <a:p>
            <a:pPr>
              <a:defRPr sz="1100" b="1">
                <a:solidFill>
                  <a:srgbClr val="16325C"/>
                </a:solidFill>
                <a:latin typeface="Arial"/>
              </a:defRPr>
            </a:pPr>
            <a:r>
              <a:rPr lang="en-GB" sz="1100" b="1">
                <a:solidFill>
                  <a:srgbClr val="16325C"/>
                </a:solidFill>
                <a:latin typeface="Arial"/>
              </a:rPr>
              <a:t>Delivered cost per board by build country (£) — highlighted: China, as costed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Ex-works</c:v>
          </c:tx>
          <c:spPr>
            <a:solidFill>
              <a:srgbClr val="16325C"/>
            </a:solidFill>
          </c:spPr>
          <c:invertIfNegative val="0"/>
          <c:dPt>
            <c:idx val="0"/>
            <c:bubble3D val="0"/>
            <c:spPr>
              <a:solidFill>
                <a:srgbClr val="1D6FB8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6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7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8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9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10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11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12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13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'Countries'!$C$9:$C$22</c:f>
              <c:strCache>
                <c:ptCount val="14"/>
                <c:pt idx="0">
                  <c:v>China</c:v>
                </c:pt>
                <c:pt idx="1">
                  <c:v>Vietnam</c:v>
                </c:pt>
                <c:pt idx="2">
                  <c:v>Malaysia</c:v>
                </c:pt>
                <c:pt idx="3">
                  <c:v>Thailand</c:v>
                </c:pt>
                <c:pt idx="4">
                  <c:v>India</c:v>
                </c:pt>
                <c:pt idx="5">
                  <c:v>Taiwan</c:v>
                </c:pt>
                <c:pt idx="6">
                  <c:v>Mexico</c:v>
                </c:pt>
                <c:pt idx="7">
                  <c:v>South Korea</c:v>
                </c:pt>
                <c:pt idx="8">
                  <c:v>Czech Republic</c:v>
                </c:pt>
                <c:pt idx="9">
                  <c:v>Poland</c:v>
                </c:pt>
                <c:pt idx="10">
                  <c:v>Germany</c:v>
                </c:pt>
                <c:pt idx="11">
                  <c:v>USA</c:v>
                </c:pt>
                <c:pt idx="12">
                  <c:v>United Kingdom</c:v>
                </c:pt>
                <c:pt idx="13">
                  <c:v>Japan</c:v>
                </c:pt>
              </c:strCache>
            </c:strRef>
          </c:cat>
          <c:val>
            <c:numRef>
              <c:f>'Countries'!$H$9:$H$22</c:f>
              <c:numCache>
                <c:formatCode>"£"#,##0.00</c:formatCode>
                <c:ptCount val="14"/>
                <c:pt idx="0">
                  <c:v>14.72</c:v>
                </c:pt>
                <c:pt idx="1">
                  <c:v>15.09</c:v>
                </c:pt>
                <c:pt idx="2">
                  <c:v>15.42</c:v>
                </c:pt>
                <c:pt idx="3">
                  <c:v>15.62</c:v>
                </c:pt>
                <c:pt idx="4">
                  <c:v>15.82</c:v>
                </c:pt>
                <c:pt idx="5">
                  <c:v>16.51</c:v>
                </c:pt>
                <c:pt idx="6">
                  <c:v>16.98</c:v>
                </c:pt>
                <c:pt idx="7">
                  <c:v>18.12</c:v>
                </c:pt>
                <c:pt idx="8">
                  <c:v>18.8</c:v>
                </c:pt>
                <c:pt idx="9">
                  <c:v>18.8</c:v>
                </c:pt>
                <c:pt idx="10">
                  <c:v>24.53</c:v>
                </c:pt>
                <c:pt idx="11">
                  <c:v>23.74</c:v>
                </c:pt>
                <c:pt idx="12">
                  <c:v>25.11</c:v>
                </c:pt>
                <c:pt idx="13">
                  <c:v>25.67</c:v>
                </c:pt>
              </c:numCache>
            </c:numRef>
          </c:val>
        </c:ser>
        <c:ser>
          <c:idx val="1"/>
          <c:order val="1"/>
          <c:tx>
            <c:v>Freight &amp; UK duty</c:v>
          </c:tx>
          <c:spPr>
            <a:solidFill>
              <a:srgbClr val="A9B4C4"/>
            </a:solidFill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'Countries'!$C$9:$C$22</c:f>
              <c:strCache>
                <c:ptCount val="14"/>
                <c:pt idx="0">
                  <c:v>China</c:v>
                </c:pt>
                <c:pt idx="1">
                  <c:v>Vietnam</c:v>
                </c:pt>
                <c:pt idx="2">
                  <c:v>Malaysia</c:v>
                </c:pt>
                <c:pt idx="3">
                  <c:v>Thailand</c:v>
                </c:pt>
                <c:pt idx="4">
                  <c:v>India</c:v>
                </c:pt>
                <c:pt idx="5">
                  <c:v>Taiwan</c:v>
                </c:pt>
                <c:pt idx="6">
                  <c:v>Mexico</c:v>
                </c:pt>
                <c:pt idx="7">
                  <c:v>South Korea</c:v>
                </c:pt>
                <c:pt idx="8">
                  <c:v>Czech Republic</c:v>
                </c:pt>
                <c:pt idx="9">
                  <c:v>Poland</c:v>
                </c:pt>
                <c:pt idx="10">
                  <c:v>Germany</c:v>
                </c:pt>
                <c:pt idx="11">
                  <c:v>USA</c:v>
                </c:pt>
                <c:pt idx="12">
                  <c:v>United Kingdom</c:v>
                </c:pt>
                <c:pt idx="13">
                  <c:v>Japan</c:v>
                </c:pt>
              </c:strCache>
            </c:strRef>
          </c:cat>
          <c:val>
            <c:numRef>
              <c:f>'Countries'!$I$9:$I$22</c:f>
              <c:numCache>
                <c:formatCode>"£"#,##0.00</c:formatCode>
                <c:ptCount val="14"/>
                <c:pt idx="0">
                  <c:v>0.54</c:v>
                </c:pt>
                <c:pt idx="1">
                  <c:v>0.83</c:v>
                </c:pt>
                <c:pt idx="2">
                  <c:v>0.84</c:v>
                </c:pt>
                <c:pt idx="3">
                  <c:v>0.85</c:v>
                </c:pt>
                <c:pt idx="4">
                  <c:v>0.86</c:v>
                </c:pt>
                <c:pt idx="5">
                  <c:v>0.61</c:v>
                </c:pt>
                <c:pt idx="6">
                  <c:v>0.63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0.86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55"/>
        <c:overlap val="10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8C2D3"/>
            </a:solidFill>
          </a:ln>
        </c:spPr>
        <c:txPr>
          <a:bodyPr/>
          <a:lstStyle/>
          <a:p>
            <a:pPr>
              <a:defRPr sz="900" b="0">
                <a:solidFill>
                  <a:srgbClr val="3A4356"/>
                </a:solidFill>
                <a:latin typeface="Arial"/>
                <a:cs typeface="Arial"/>
              </a:defRPr>
            </a:pPr>
            <a:endParaRPr lang="en-GB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</c:scaling>
        <c:delete val="0"/>
        <c:axPos val="b"/>
        <c:majorGridlines>
          <c:spPr>
            <a:ln w="6350">
              <a:solidFill>
                <a:srgbClr val="DCE3EE"/>
              </a:solidFill>
            </a:ln>
          </c:spPr>
        </c:majorGridlines>
        <c:numFmt formatCode="&quot;£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686F7D"/>
                </a:solidFill>
                <a:latin typeface="Arial"/>
                <a:cs typeface="Arial"/>
              </a:defRPr>
            </a:pPr>
            <a:endParaRPr lang="en-GB"/>
          </a:p>
        </c:txPr>
        <c:crossAx val="111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3A4356"/>
              </a:solidFill>
              <a:latin typeface="Arial"/>
              <a:cs typeface="Arial"/>
            </a:defRPr>
          </a:pPr>
          <a:endParaRPr lang="en-GB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A4356"/>
          </a:solidFill>
          <a:latin typeface="Arial"/>
          <a:cs typeface="Arial"/>
        </a:defRPr>
      </a:pPr>
      <a:endParaRPr lang="en-GB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c:chart>
    <c:title>
      <c:tx>
        <c:rich>
          <a:bodyPr/>
          <a:lstStyle/>
          <a:p>
            <a:pPr>
              <a:defRPr sz="1100" b="1">
                <a:solidFill>
                  <a:srgbClr val="16325C"/>
                </a:solidFill>
                <a:latin typeface="Arial"/>
              </a:defRPr>
            </a:pPr>
            <a:r>
              <a:rPr lang="en-GB" sz="1100" b="1">
                <a:solidFill>
                  <a:srgbClr val="16325C"/>
                </a:solidFill>
                <a:latin typeface="Arial"/>
              </a:rPr>
              <a:t>Delivered cost per board vs annual volume (£, volume on a log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"/>
          <c:y val="0.13"/>
          <c:w val="0.86"/>
          <c:h val="0.62"/>
        </c:manualLayout>
      </c:layout>
      <c:scatterChart>
        <c:scatterStyle val="lineMarker"/>
        <c:varyColors val="0"/>
        <c:ser>
          <c:idx val="0"/>
          <c:order val="0"/>
          <c:tx>
            <c:v>China (costed)</c:v>
          </c:tx>
          <c:spPr>
            <a:ln w="28575" cap="rnd">
              <a:solidFill>
                <a:srgbClr val="16325C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6325C"/>
              </a:solidFill>
              <a:ln>
                <a:solidFill>
                  <a:srgbClr val="FFFFFF"/>
                </a:solidFill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xVal>
            <c:numRef>
              <c:f>'Volume &amp; Notes'!$B$9:$B$18</c:f>
              <c:numCache>
                <c:formatCode>#,##0</c:formatCode>
                <c:ptCount val="10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  <c:pt idx="7">
                  <c:v>25000</c:v>
                </c:pt>
                <c:pt idx="8">
                  <c:v>100000</c:v>
                </c:pt>
                <c:pt idx="9">
                  <c:v>250000</c:v>
                </c:pt>
              </c:numCache>
            </c:numRef>
          </c:xVal>
          <c:yVal>
            <c:numRef>
              <c:f>'Volume &amp; Notes'!$C$9:$C$18</c:f>
              <c:numCache>
                <c:formatCode>"£"#,##0.00</c:formatCode>
                <c:ptCount val="10"/>
                <c:pt idx="0">
                  <c:v>99.04</c:v>
                </c:pt>
                <c:pt idx="1">
                  <c:v>68.47</c:v>
                </c:pt>
                <c:pt idx="2">
                  <c:v>49.64</c:v>
                </c:pt>
                <c:pt idx="3">
                  <c:v>36.76</c:v>
                </c:pt>
                <c:pt idx="4">
                  <c:v>28.89</c:v>
                </c:pt>
                <c:pt idx="5">
                  <c:v>23.37</c:v>
                </c:pt>
                <c:pt idx="6">
                  <c:v>19.76</c:v>
                </c:pt>
                <c:pt idx="7">
                  <c:v>18.25</c:v>
                </c:pt>
                <c:pt idx="8">
                  <c:v>17</c:v>
                </c:pt>
                <c:pt idx="9">
                  <c:v>15.26</c:v>
                </c:pt>
              </c:numCache>
            </c:numRef>
          </c:yVal>
          <c:smooth val="0"/>
        </c:ser>
        <c:ser>
          <c:idx val="1"/>
          <c:order val="1"/>
          <c:tx>
            <c:v>United Kingdom (onshore reference)</c:v>
          </c:tx>
          <c:spPr>
            <a:ln w="28575" cap="rnd">
              <a:solidFill>
                <a:srgbClr val="0D7D71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0D7D71"/>
              </a:solidFill>
              <a:ln>
                <a:solidFill>
                  <a:srgbClr val="FFFFFF"/>
                </a:solidFill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xVal>
            <c:numRef>
              <c:f>'Volume &amp; Notes'!$B$9:$B$18</c:f>
              <c:numCache>
                <c:formatCode>#,##0</c:formatCode>
                <c:ptCount val="10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  <c:pt idx="7">
                  <c:v>25000</c:v>
                </c:pt>
                <c:pt idx="8">
                  <c:v>100000</c:v>
                </c:pt>
                <c:pt idx="9">
                  <c:v>250000</c:v>
                </c:pt>
              </c:numCache>
            </c:numRef>
          </c:xVal>
          <c:yVal>
            <c:numRef>
              <c:f>'Volume &amp; Notes'!$D$9:$D$18</c:f>
              <c:numCache>
                <c:formatCode>"£"#,##0.00</c:formatCode>
                <c:ptCount val="10"/>
                <c:pt idx="0">
                  <c:v>155.44</c:v>
                </c:pt>
                <c:pt idx="1">
                  <c:v>109.76</c:v>
                </c:pt>
                <c:pt idx="2">
                  <c:v>79.68</c:v>
                </c:pt>
                <c:pt idx="3">
                  <c:v>55.71</c:v>
                </c:pt>
                <c:pt idx="4">
                  <c:v>42.23</c:v>
                </c:pt>
                <c:pt idx="5">
                  <c:v>35.41</c:v>
                </c:pt>
                <c:pt idx="6">
                  <c:v>30.84</c:v>
                </c:pt>
                <c:pt idx="7">
                  <c:v>29</c:v>
                </c:pt>
                <c:pt idx="8">
                  <c:v>27.42</c:v>
                </c:pt>
                <c:pt idx="9">
                  <c:v>25.11</c:v>
                </c:pt>
              </c:numCache>
            </c:numRef>
          </c:yVal>
          <c:smooth val="0"/>
        </c:ser>
        <c:axId val="111"/>
        <c:axId val="222"/>
      </c:scatterChart>
      <c:valAx>
        <c:axId val="111"/>
        <c:scaling>
          <c:logBase val="10"/>
          <c:orientation val="minMax"/>
          <c:max val="250000"/>
          <c:min val="100"/>
        </c:scaling>
        <c:delete val="0"/>
        <c:axPos val="b"/>
        <c:majorGridlines>
          <c:spPr>
            <a:ln w="6350">
              <a:solidFill>
                <a:srgbClr val="DCE3E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>
                    <a:solidFill>
                      <a:srgbClr val="16325C"/>
                    </a:solidFill>
                    <a:latin typeface="Arial"/>
                  </a:defRPr>
                </a:pPr>
                <a:r>
                  <a:rPr lang="en-GB" sz="900" b="1">
                    <a:solidFill>
                      <a:srgbClr val="16325C"/>
                    </a:solidFill>
                    <a:latin typeface="Arial"/>
                  </a:rPr>
                  <a:t>Boards per year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350">
            <a:solidFill>
              <a:srgbClr val="B8C2D3"/>
            </a:solidFill>
          </a:ln>
        </c:spPr>
        <c:txPr>
          <a:bodyPr/>
          <a:lstStyle/>
          <a:p>
            <a:pPr>
              <a:defRPr sz="900" b="0">
                <a:solidFill>
                  <a:srgbClr val="686F7D"/>
                </a:solidFill>
                <a:latin typeface="Arial"/>
                <a:cs typeface="Arial"/>
              </a:defRPr>
            </a:pPr>
            <a:endParaRPr lang="en-GB"/>
          </a:p>
        </c:txPr>
        <c:crossAx val="222"/>
        <c:crosses val="autoZero"/>
        <c:crossBetween val="midCat"/>
      </c:valAx>
      <c:valAx>
        <c:axId val="222"/>
        <c:scaling>
          <c:orientation val="minMax"/>
        </c:scaling>
        <c:delete val="0"/>
        <c:axPos val="l"/>
        <c:majorGridlines>
          <c:spPr>
            <a:ln w="6350">
              <a:solidFill>
                <a:srgbClr val="DCE3EE"/>
              </a:solidFill>
            </a:ln>
          </c:spPr>
        </c:majorGridlines>
        <c:numFmt formatCode="&quot;£&quot;#,##0" sourceLinked="0"/>
        <c:majorTickMark val="none"/>
        <c:minorTickMark val="none"/>
        <c:tickLblPos val="nextTo"/>
        <c:spPr>
          <a:ln w="6350">
            <a:solidFill>
              <a:srgbClr val="B8C2D3"/>
            </a:solidFill>
          </a:ln>
        </c:spPr>
        <c:txPr>
          <a:bodyPr/>
          <a:lstStyle/>
          <a:p>
            <a:pPr>
              <a:defRPr sz="900" b="0">
                <a:solidFill>
                  <a:srgbClr val="686F7D"/>
                </a:solidFill>
                <a:latin typeface="Arial"/>
                <a:cs typeface="Arial"/>
              </a:defRPr>
            </a:pPr>
            <a:endParaRPr lang="en-GB"/>
          </a:p>
        </c:txPr>
        <c:crossAx val="11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3A4356"/>
              </a:solidFill>
              <a:latin typeface="Arial"/>
              <a:cs typeface="Arial"/>
            </a:defRPr>
          </a:pPr>
          <a:endParaRPr lang="en-GB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A4356"/>
          </a:solidFill>
          <a:latin typeface="Arial"/>
          <a:cs typeface="Arial"/>
        </a:defRPr>
      </a:pPr>
      <a:endParaRPr lang="en-GB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c:chart>
    <c:title>
      <c:tx>
        <c:rich>
          <a:bodyPr/>
          <a:lstStyle/>
          <a:p>
            <a:pPr>
              <a:defRPr sz="1100" b="1">
                <a:solidFill>
                  <a:srgbClr val="16325C"/>
                </a:solidFill>
                <a:latin typeface="Arial"/>
              </a:defRPr>
            </a:pPr>
            <a:r>
              <a:rPr lang="en-GB" sz="1100" b="1">
                <a:solidFill>
                  <a:srgbClr val="16325C"/>
                </a:solidFill>
                <a:latin typeface="Arial"/>
              </a:rPr>
              <a:t>Delivered £15.26 per board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Cost composition</c:v>
          </c:tx>
          <c:dPt>
            <c:idx val="0"/>
            <c:bubble3D val="0"/>
            <c:spPr>
              <a:solidFill>
                <a:srgbClr val="16325C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1D6FB8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0D7D71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6B3FA0"/>
              </a:solidFill>
              <a:ln w="1270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D9822B"/>
              </a:solidFill>
              <a:ln w="12700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A9B4C4"/>
              </a:solidFill>
              <a:ln w="12700">
                <a:solidFill>
                  <a:srgbClr val="FFFFFF"/>
                </a:solidFill>
              </a:ln>
            </c:spPr>
          </c:dPt>
          <c:dPt>
            <c:idx val="6"/>
            <c:bubble3D val="0"/>
            <c:spPr>
              <a:solidFill>
                <a:srgbClr val="686F7D"/>
              </a:solidFill>
              <a:ln w="12700">
                <a:solidFill>
                  <a:srgbClr val="FFFFFF"/>
                </a:solidFill>
              </a:ln>
            </c:spPr>
          </c:dPt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en-GB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'Summary'!$C$14:$C$20</c:f>
              <c:strCache>
                <c:ptCount val="7"/>
                <c:pt idx="0">
                  <c:v>Components</c:v>
                </c:pt>
                <c:pt idx="1">
                  <c:v>EMS material burden</c:v>
                </c:pt>
                <c:pt idx="2">
                  <c:v>Bare PCB fabrication</c:v>
                </c:pt>
                <c:pt idx="3">
                  <c:v>Automotive grade</c:v>
                </c:pt>
                <c:pt idx="4">
                  <c:v>Assembly &amp; test</c:v>
                </c:pt>
                <c:pt idx="5">
                  <c:v>Energy, packaging &amp; other</c:v>
                </c:pt>
                <c:pt idx="6">
                  <c:v>Freight &amp; UK duty</c:v>
                </c:pt>
              </c:strCache>
            </c:strRef>
          </c:cat>
          <c:val>
            <c:numRef>
              <c:f>'Summary'!$E$14:$E$20</c:f>
              <c:numCache>
                <c:formatCode>General</c:formatCode>
                <c:ptCount val="7"/>
                <c:pt idx="0">
                  <c:v>12.7</c:v>
                </c:pt>
                <c:pt idx="1">
                  <c:v>0.64</c:v>
                </c:pt>
                <c:pt idx="2">
                  <c:v>0.27</c:v>
                </c:pt>
                <c:pt idx="3">
                  <c:v>0.32</c:v>
                </c:pt>
                <c:pt idx="4">
                  <c:v>0.65</c:v>
                </c:pt>
                <c:pt idx="5">
                  <c:v>0.14</c:v>
                </c:pt>
                <c:pt idx="6">
                  <c:v>0.54</c:v>
                </c:pt>
              </c:numCache>
            </c:numRef>
          </c:val>
        </c:ser>
        <c:firstSliceAng val="0"/>
        <c:holeSize val="60"/>
      </c:doughnutChart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A4356"/>
          </a:solidFill>
          <a:latin typeface="Arial"/>
          <a:cs typeface="Arial"/>
        </a:defRPr>
      </a:pPr>
      <a:endParaRPr lang="en-GB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CvChart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CvChart1" Type="http://schemas.openxmlformats.org/officeDocument/2006/relationships/chart" Target="../charts/chart1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CvChart2" Type="http://schemas.openxmlformats.org/officeDocument/2006/relationships/chart" Target="../charts/chart2.xml"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1</xdr:col>
      <xdr:colOff>6250</xdr:colOff>
      <xdr:row>0</xdr:row>
      <xdr:rowOff>61200</xdr:rowOff>
    </xdr:from>
    <xdr:ext cx="1428750" cy="295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13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003" name="Delivered £15.26 per board" descr="Delivered £15.26 per boar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vChart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2500</xdr:colOff>
      <xdr:row>0</xdr:row>
      <xdr:rowOff>61200</xdr:rowOff>
    </xdr:from>
    <xdr:ext cx="1428750" cy="295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2500</xdr:colOff>
      <xdr:row>0</xdr:row>
      <xdr:rowOff>61200</xdr:rowOff>
    </xdr:from>
    <xdr:ext cx="1428750" cy="295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12000</xdr:colOff>
      <xdr:row>0</xdr:row>
      <xdr:rowOff>61200</xdr:rowOff>
    </xdr:from>
    <xdr:ext cx="1428750" cy="295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12000</xdr:colOff>
      <xdr:row>24</xdr:row>
      <xdr:rowOff>15000</xdr:rowOff>
    </xdr:from>
    <xdr:ext cx="1876425" cy="1847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11999</xdr:colOff>
      <xdr:row>24</xdr:row>
      <xdr:rowOff>15000</xdr:rowOff>
    </xdr:from>
    <xdr:ext cx="1885950" cy="1847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12000</xdr:colOff>
      <xdr:row>36</xdr:row>
      <xdr:rowOff>15000</xdr:rowOff>
    </xdr:from>
    <xdr:ext cx="1628775" cy="1847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1</xdr:col>
      <xdr:colOff>2500</xdr:colOff>
      <xdr:row>0</xdr:row>
      <xdr:rowOff>61200</xdr:rowOff>
    </xdr:from>
    <xdr:ext cx="1428750" cy="295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1001" name="Delivered cost per board by build country (£) — highlighted: China, as costed" descr="Delivered cost per board by build country (£) — highlighted: China, as cos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vChart1"/>
        </a:graphicData>
      </a:graphic>
    </xdr:graphicFrame>
    <xdr:clientData/>
  </xdr:twoCellAnchor>
</xdr:wsDr>
</file>

<file path=xl/drawings/drawing6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1</xdr:col>
      <xdr:colOff>8000</xdr:colOff>
      <xdr:row>0</xdr:row>
      <xdr:rowOff>61200</xdr:rowOff>
    </xdr:from>
    <xdr:ext cx="1428750" cy="295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6</xdr:col>
      <xdr:colOff>0</xdr:colOff>
      <xdr:row>7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002" name="Delivered cost per board vs annual volume (£, volume on a log scale)" descr="Delivered cost per board vs annual volume (£, volume on a log scale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vChart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325C"/>
    <pageSetUpPr fitToPage="1"/>
  </sheetPr>
  <dimension ref="B1:P47"/>
  <sheetViews>
    <sheetView workbookViewId="0" showGridLines="0" zoomScale="100"/>
  </sheetViews>
  <sheetFormatPr defaultRowHeight="18" outlineLevelRow="0" outlineLevelCol="0" x14ac:dyDescent="55" customHeight="1"/>
  <cols>
    <col min="1" max="1" width="2" customWidth="1"/>
    <col min="2" max="13" width="12.5" customWidth="1"/>
    <col min="15" max="15" width="9" hidden="1" customWidth="1"/>
    <col min="16" max="16" width="9" hidden="1" customWidth="1"/>
  </cols>
  <sheetData>
    <row r="1" ht="34" customHeight="1" spans="13:13" x14ac:dyDescent="0.25">
      <c r="M1" s="1" t="s">
        <v>0</v>
      </c>
    </row>
    <row r="2" ht="26" customHeight="1" spans="2:13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1" spans="2:13" x14ac:dyDescent="0.25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6" customHeight="1" spans="2:13" x14ac:dyDescent="0.25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" customHeight="1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10" customHeight="1" x14ac:dyDescent="0.25"/>
    <row r="7" ht="4" customHeight="1" spans="2:13" x14ac:dyDescent="0.25">
      <c r="B7" s="5"/>
      <c r="C7" s="5"/>
      <c r="D7" s="6"/>
      <c r="E7" s="5"/>
      <c r="F7" s="5"/>
      <c r="G7" s="6"/>
      <c r="H7" s="7"/>
      <c r="I7" s="7"/>
      <c r="J7" s="8"/>
      <c r="K7" s="5"/>
      <c r="L7" s="5"/>
      <c r="M7" s="6"/>
    </row>
    <row r="8" ht="16" customHeight="1" spans="2:16" x14ac:dyDescent="0.25">
      <c r="B8" s="9" t="s">
        <v>4</v>
      </c>
      <c r="C8" s="9"/>
      <c r="D8" s="9"/>
      <c r="E8" s="9" t="s">
        <v>5</v>
      </c>
      <c r="F8" s="9"/>
      <c r="G8" s="9"/>
      <c r="H8" s="9" t="s">
        <v>6</v>
      </c>
      <c r="I8" s="9"/>
      <c r="J8" s="9"/>
      <c r="K8" s="9" t="s">
        <v>7</v>
      </c>
      <c r="L8" s="9"/>
      <c r="M8" s="9"/>
      <c r="O8" t="s">
        <v>8</v>
      </c>
      <c r="P8" t="s">
        <v>9</v>
      </c>
    </row>
    <row r="9" ht="36" customHeight="1" spans="2:16" x14ac:dyDescent="0.25">
      <c r="B9" s="10">
        <f>'Cost Breakdown'!D21</f>
        <v>15.26</v>
      </c>
      <c r="C9" s="10"/>
      <c r="D9" s="10"/>
      <c r="E9" s="10">
        <f>'Cost Breakdown'!D18</f>
        <v>14.72</v>
      </c>
      <c r="F9" s="10"/>
      <c r="G9" s="10"/>
      <c r="H9" s="11" t="str">
        <f>"£"&amp;TEXT(O9,"0.00")&amp;" – £"&amp;TEXT(P9,"0.00")</f>
        <v>£12.59 – £19.27</v>
      </c>
      <c r="I9" s="11"/>
      <c r="J9" s="11"/>
      <c r="K9" s="12">
        <f>'Volume &amp; Notes'!F32</f>
        <v>16200</v>
      </c>
      <c r="L9" s="12"/>
      <c r="M9" s="12"/>
      <c r="O9" s="13">
        <v>12.59</v>
      </c>
      <c r="P9" s="13">
        <v>19.27</v>
      </c>
    </row>
    <row r="10" ht="26" customHeight="1" spans="2:13" x14ac:dyDescent="0.25">
      <c r="B10" s="14" t="s">
        <v>10</v>
      </c>
      <c r="C10" s="14"/>
      <c r="D10" s="14"/>
      <c r="E10" s="14" t="s">
        <v>11</v>
      </c>
      <c r="F10" s="14"/>
      <c r="G10" s="14"/>
      <c r="H10" s="14" t="s">
        <v>12</v>
      </c>
      <c r="I10" s="14"/>
      <c r="J10" s="14"/>
      <c r="K10" s="14" t="s">
        <v>13</v>
      </c>
      <c r="L10" s="14"/>
      <c r="M10" s="14"/>
    </row>
    <row r="12" ht="22" customHeight="1" spans="2:13" x14ac:dyDescent="0.25">
      <c r="B12" s="15" t="s">
        <v>14</v>
      </c>
      <c r="C12" s="15"/>
      <c r="D12" s="15"/>
      <c r="E12" s="15"/>
      <c r="F12" s="15"/>
      <c r="G12" s="15"/>
      <c r="H12" s="16" t="s">
        <v>15</v>
      </c>
      <c r="I12" s="16"/>
      <c r="J12" s="16"/>
      <c r="K12" s="16"/>
      <c r="L12" s="16"/>
      <c r="M12" s="16"/>
    </row>
    <row r="13" ht="30" customHeight="1" spans="2:6" x14ac:dyDescent="0.25">
      <c r="B13" s="17" t="s">
        <v>16</v>
      </c>
      <c r="C13" s="17" t="s">
        <v>17</v>
      </c>
      <c r="D13" s="17"/>
      <c r="E13" s="18" t="s">
        <v>18</v>
      </c>
      <c r="F13" s="18" t="s">
        <v>19</v>
      </c>
    </row>
    <row r="14" ht="20" customHeight="1" spans="2:6" x14ac:dyDescent="0.25">
      <c r="B14" s="19" t="s">
        <v>20</v>
      </c>
      <c r="C14" s="20" t="s">
        <v>21</v>
      </c>
      <c r="D14" s="20"/>
      <c r="E14" s="21">
        <f>'Cost Breakdown'!D9</f>
        <v>12.7</v>
      </c>
      <c r="F14" s="22">
        <f>IF($E$21=0,0,E14/$E$21)</f>
        <v>0.8322411533420707</v>
      </c>
    </row>
    <row r="15" ht="20" customHeight="1" spans="2:6" x14ac:dyDescent="0.25">
      <c r="B15" s="23" t="s">
        <v>20</v>
      </c>
      <c r="C15" s="20" t="s">
        <v>22</v>
      </c>
      <c r="D15" s="20"/>
      <c r="E15" s="21">
        <f>'Cost Breakdown'!D10</f>
        <v>0.64</v>
      </c>
      <c r="F15" s="22">
        <f>IF($E$21=0,0,E15/$E$21)</f>
        <v>0.04193971166448231</v>
      </c>
    </row>
    <row r="16" ht="20" customHeight="1" spans="2:6" x14ac:dyDescent="0.25">
      <c r="B16" s="24" t="s">
        <v>20</v>
      </c>
      <c r="C16" s="20" t="s">
        <v>23</v>
      </c>
      <c r="D16" s="20"/>
      <c r="E16" s="21">
        <f>'Cost Breakdown'!D11</f>
        <v>0.27</v>
      </c>
      <c r="F16" s="22">
        <f>IF($E$21=0,0,E16/$E$21)</f>
        <v>0.017693315858453476</v>
      </c>
    </row>
    <row r="17" ht="20" customHeight="1" spans="2:6" x14ac:dyDescent="0.25">
      <c r="B17" s="25" t="s">
        <v>20</v>
      </c>
      <c r="C17" s="20" t="s">
        <v>24</v>
      </c>
      <c r="D17" s="20"/>
      <c r="E17" s="21">
        <f>'Cost Breakdown'!D12+'Cost Breakdown'!D15</f>
        <v>0.32</v>
      </c>
      <c r="F17" s="22">
        <f>IF($E$21=0,0,E17/$E$21)</f>
        <v>0.020969855832241154</v>
      </c>
    </row>
    <row r="18" ht="20" customHeight="1" spans="2:6" x14ac:dyDescent="0.25">
      <c r="B18" s="26" t="s">
        <v>20</v>
      </c>
      <c r="C18" s="20" t="s">
        <v>25</v>
      </c>
      <c r="D18" s="20"/>
      <c r="E18" s="21">
        <f>'Cost Breakdown'!D13+'Cost Breakdown'!D14</f>
        <v>0.65</v>
      </c>
      <c r="F18" s="22">
        <f>IF($E$21=0,0,E18/$E$21)</f>
        <v>0.04259501965923985</v>
      </c>
    </row>
    <row r="19" ht="20" customHeight="1" spans="2:6" x14ac:dyDescent="0.25">
      <c r="B19" s="27" t="s">
        <v>20</v>
      </c>
      <c r="C19" s="20" t="s">
        <v>26</v>
      </c>
      <c r="D19" s="20"/>
      <c r="E19" s="21">
        <f>'Cost Breakdown'!D16+'Cost Breakdown'!D17</f>
        <v>0.14</v>
      </c>
      <c r="F19" s="22">
        <f>IF($E$21=0,0,E19/$E$21)</f>
        <v>0.009174311926605505</v>
      </c>
    </row>
    <row r="20" ht="20" customHeight="1" spans="2:6" x14ac:dyDescent="0.25">
      <c r="B20" s="28" t="s">
        <v>20</v>
      </c>
      <c r="C20" s="20" t="s">
        <v>27</v>
      </c>
      <c r="D20" s="20"/>
      <c r="E20" s="21">
        <f>'Cost Breakdown'!D19+'Cost Breakdown'!D20</f>
        <v>0.54</v>
      </c>
      <c r="F20" s="22">
        <f>IF($E$21=0,0,E20/$E$21)</f>
        <v>0.03538663171690695</v>
      </c>
    </row>
    <row r="21" ht="22" customHeight="1" spans="2:6" x14ac:dyDescent="0.25">
      <c r="B21" s="5"/>
      <c r="C21" s="29" t="s">
        <v>28</v>
      </c>
      <c r="D21" s="29"/>
      <c r="E21" s="30">
        <f>SUM(E14:E20)</f>
        <v>15.26</v>
      </c>
      <c r="F21" s="31">
        <f>SUM(F14:F20)</f>
        <v>1</v>
      </c>
    </row>
    <row r="23" ht="22" customHeight="1" spans="2:6" x14ac:dyDescent="0.25">
      <c r="B23" s="15" t="s">
        <v>29</v>
      </c>
      <c r="C23" s="15"/>
      <c r="D23" s="16" t="s">
        <v>30</v>
      </c>
      <c r="E23" s="16"/>
      <c r="F23" s="16"/>
    </row>
    <row r="24" ht="30" customHeight="1" spans="2:6" x14ac:dyDescent="0.25">
      <c r="B24" s="18" t="s">
        <v>31</v>
      </c>
      <c r="C24" s="17" t="s">
        <v>32</v>
      </c>
      <c r="D24" s="17"/>
      <c r="E24" s="18" t="s">
        <v>18</v>
      </c>
      <c r="F24" s="18" t="s">
        <v>19</v>
      </c>
    </row>
    <row r="25" ht="20" customHeight="1" spans="2:6" x14ac:dyDescent="0.25">
      <c r="B25" s="32">
        <v>1</v>
      </c>
      <c r="C25" s="33" t="s">
        <v>33</v>
      </c>
      <c r="D25" s="33"/>
      <c r="E25" s="21">
        <f>'Bill of Materials'!I19</f>
        <v>4.642925</v>
      </c>
      <c r="F25" s="22">
        <f>IF('Cost Breakdown'!$D$21=0,0,E25/'Cost Breakdown'!$D$21)</f>
        <v>0.30425458051559445</v>
      </c>
    </row>
    <row r="26" ht="20" customHeight="1" spans="2:6" x14ac:dyDescent="0.25">
      <c r="B26" s="34">
        <v>2</v>
      </c>
      <c r="C26" s="35" t="s">
        <v>34</v>
      </c>
      <c r="D26" s="35"/>
      <c r="E26" s="36">
        <f>'Bill of Materials'!I17</f>
        <v>2.097758</v>
      </c>
      <c r="F26" s="37">
        <f>IF('Cost Breakdown'!$D$21=0,0,E26/'Cost Breakdown'!$D$21)</f>
        <v>0.1374677513784095</v>
      </c>
    </row>
    <row r="27" ht="30" customHeight="1" spans="2:6" x14ac:dyDescent="0.25">
      <c r="B27" s="32">
        <v>3</v>
      </c>
      <c r="C27" s="20" t="s">
        <v>35</v>
      </c>
      <c r="D27" s="20"/>
      <c r="E27" s="21">
        <f>'Bill of Materials'!I13</f>
        <v>1.874317</v>
      </c>
      <c r="F27" s="22">
        <f>IF('Cost Breakdown'!$D$21=0,0,E27/'Cost Breakdown'!$D$21)</f>
        <v>0.12282549969109649</v>
      </c>
    </row>
    <row r="29" ht="22" customHeight="1" spans="2:13" x14ac:dyDescent="0.25">
      <c r="B29" s="15" t="s">
        <v>36</v>
      </c>
      <c r="C29" s="15"/>
      <c r="D29" s="15"/>
      <c r="E29" s="15"/>
      <c r="F29" s="15"/>
      <c r="G29" s="15" t="s">
        <v>37</v>
      </c>
      <c r="H29" s="15"/>
      <c r="I29" s="15"/>
      <c r="J29" s="15"/>
      <c r="K29" s="15"/>
      <c r="L29" s="15"/>
      <c r="M29" s="15"/>
    </row>
    <row r="30" ht="20" customHeight="1" spans="2:13" x14ac:dyDescent="0.25">
      <c r="B30" s="38" t="s">
        <v>38</v>
      </c>
      <c r="C30" s="38"/>
      <c r="D30" s="20" t="s">
        <v>39</v>
      </c>
      <c r="E30" s="20"/>
      <c r="F30" s="20"/>
      <c r="G30" s="39" t="s">
        <v>40</v>
      </c>
      <c r="H30" s="39"/>
      <c r="I30" s="39"/>
      <c r="J30" s="39"/>
      <c r="K30" s="39"/>
      <c r="L30" s="39"/>
      <c r="M30" s="39"/>
    </row>
    <row r="31" ht="20" customHeight="1" spans="2:13" x14ac:dyDescent="0.25">
      <c r="B31" s="38" t="s">
        <v>41</v>
      </c>
      <c r="C31" s="38"/>
      <c r="D31" s="20" t="s">
        <v>42</v>
      </c>
      <c r="E31" s="20"/>
      <c r="F31" s="20"/>
      <c r="G31" s="39" t="s">
        <v>43</v>
      </c>
      <c r="H31" s="39"/>
      <c r="I31" s="39"/>
      <c r="J31" s="39"/>
      <c r="K31" s="39"/>
      <c r="L31" s="39"/>
      <c r="M31" s="39"/>
    </row>
    <row r="32" ht="20" customHeight="1" spans="2:13" x14ac:dyDescent="0.25">
      <c r="B32" s="38" t="s">
        <v>44</v>
      </c>
      <c r="C32" s="38"/>
      <c r="D32" s="20" t="s">
        <v>45</v>
      </c>
      <c r="E32" s="20"/>
      <c r="F32" s="20"/>
      <c r="G32" s="39"/>
      <c r="H32" s="39"/>
      <c r="I32" s="39"/>
      <c r="J32" s="39"/>
      <c r="K32" s="39"/>
      <c r="L32" s="39"/>
      <c r="M32" s="39"/>
    </row>
    <row r="33" ht="20" customHeight="1" spans="2:6" x14ac:dyDescent="0.25">
      <c r="B33" s="38" t="s">
        <v>46</v>
      </c>
      <c r="C33" s="38"/>
      <c r="D33" s="20" t="s">
        <v>47</v>
      </c>
      <c r="E33" s="20"/>
      <c r="F33" s="20"/>
    </row>
    <row r="34" ht="20" customHeight="1" spans="2:6" x14ac:dyDescent="0.25">
      <c r="B34" s="38" t="s">
        <v>48</v>
      </c>
      <c r="C34" s="38"/>
      <c r="D34" s="20" t="s">
        <v>49</v>
      </c>
      <c r="E34" s="20"/>
      <c r="F34" s="20"/>
    </row>
    <row r="35" ht="20" customHeight="1" spans="2:6" x14ac:dyDescent="0.25">
      <c r="B35" s="38" t="s">
        <v>50</v>
      </c>
      <c r="C35" s="38"/>
      <c r="D35" s="20" t="s">
        <v>51</v>
      </c>
      <c r="E35" s="20"/>
      <c r="F35" s="20"/>
    </row>
    <row r="36" ht="20" customHeight="1" spans="2:6" x14ac:dyDescent="0.25">
      <c r="B36" s="38" t="s">
        <v>52</v>
      </c>
      <c r="C36" s="38"/>
      <c r="D36" s="20" t="s">
        <v>53</v>
      </c>
      <c r="E36" s="20"/>
      <c r="F36" s="20"/>
    </row>
    <row r="37" ht="30" customHeight="1" spans="2:6" x14ac:dyDescent="0.25">
      <c r="B37" s="38" t="s">
        <v>54</v>
      </c>
      <c r="C37" s="38"/>
      <c r="D37" s="20" t="s">
        <v>55</v>
      </c>
      <c r="E37" s="20"/>
      <c r="F37" s="20"/>
    </row>
    <row r="39" ht="22" customHeight="1" spans="2:13" x14ac:dyDescent="0.25">
      <c r="B39" s="15" t="s">
        <v>56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ht="30" customHeight="1" spans="2:13" x14ac:dyDescent="0.25">
      <c r="B40" s="40" t="s">
        <v>57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ht="30" customHeight="1" spans="2:13" x14ac:dyDescent="0.25">
      <c r="B41" s="40" t="s">
        <v>58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ht="17.5" customHeight="1" spans="2:13" x14ac:dyDescent="0.25">
      <c r="B42" s="40" t="s">
        <v>59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4" ht="22" customHeight="1" spans="2:13" x14ac:dyDescent="0.25">
      <c r="B44" s="15" t="s">
        <v>60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ht="17.5" customHeight="1" spans="2:13" x14ac:dyDescent="0.25">
      <c r="B45" s="41" t="s">
        <v>61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</row>
    <row r="46" ht="17.5" customHeight="1" spans="2:13" x14ac:dyDescent="0.25">
      <c r="B46" s="41" t="s">
        <v>62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</row>
    <row r="47" ht="17.5" customHeight="1" spans="2:13" x14ac:dyDescent="0.25">
      <c r="B47" s="41" t="s">
        <v>63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</row>
  </sheetData>
  <mergeCells count="60">
    <mergeCell ref="B2:M2"/>
    <mergeCell ref="B3:M3"/>
    <mergeCell ref="B4:M4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2:G12"/>
    <mergeCell ref="H12:M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3:C23"/>
    <mergeCell ref="D23:F23"/>
    <mergeCell ref="C24:D24"/>
    <mergeCell ref="C25:D25"/>
    <mergeCell ref="C26:D26"/>
    <mergeCell ref="C27:D27"/>
    <mergeCell ref="B29:F29"/>
    <mergeCell ref="G29:M29"/>
    <mergeCell ref="B30:C30"/>
    <mergeCell ref="D30:F30"/>
    <mergeCell ref="G30:M30"/>
    <mergeCell ref="B31:C31"/>
    <mergeCell ref="D31:F31"/>
    <mergeCell ref="G31:M32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9:M39"/>
    <mergeCell ref="B40:M40"/>
    <mergeCell ref="B41:M41"/>
    <mergeCell ref="B42:M42"/>
    <mergeCell ref="B44:M44"/>
    <mergeCell ref="B45:M45"/>
    <mergeCell ref="B46:M46"/>
    <mergeCell ref="B47:M47"/>
  </mergeCells>
  <printOptions horizontalCentered="1"/>
  <pageMargins left="0.4" right="0.4" top="0.55" bottom="0.55" header="0.25" footer="0.25"/>
  <pageSetup paperSize="9" orientation="landscape" horizontalDpi="4294967295" verticalDpi="4294967295" scale="100" fitToWidth="1" fitToHeight="0"/>
  <headerFooter>
    <oddFooter>&amp;L&amp;8CostVision · PCB should-cost&amp;C&amp;8&amp;A&amp;R&amp;8Page &amp;P of &amp;N</oddFooter>
  </headerFooter>
  <rowBreaks count="1" manualBreakCount="1">
    <brk id="28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6FB8"/>
    <pageSetUpPr fitToPage="1"/>
  </sheetPr>
  <dimension ref="B1:H27"/>
  <sheetViews>
    <sheetView workbookViewId="0" showGridLines="0" zoomScale="100"/>
  </sheetViews>
  <sheetFormatPr defaultRowHeight="18" outlineLevelRow="0" outlineLevelCol="0" x14ac:dyDescent="55" customHeight="1"/>
  <cols>
    <col min="1" max="1" width="2" customWidth="1"/>
    <col min="2" max="2" width="5" customWidth="1"/>
    <col min="3" max="3" width="40" customWidth="1"/>
    <col min="4" max="4" width="12" customWidth="1"/>
    <col min="5" max="5" width="11" customWidth="1"/>
    <col min="6" max="6" width="16" customWidth="1"/>
    <col min="7" max="7" width="14" customWidth="1"/>
    <col min="8" max="8" width="62" customWidth="1"/>
  </cols>
  <sheetData>
    <row r="1" ht="34" customHeight="1" spans="8:8" x14ac:dyDescent="0.25">
      <c r="H1" s="1" t="s">
        <v>0</v>
      </c>
    </row>
    <row r="2" ht="26" customHeight="1" spans="2:8" x14ac:dyDescent="0.25">
      <c r="B2" s="2" t="s">
        <v>1</v>
      </c>
      <c r="C2" s="2"/>
      <c r="D2" s="2"/>
      <c r="E2" s="2"/>
      <c r="F2" s="2"/>
      <c r="G2" s="2"/>
      <c r="H2" s="2"/>
    </row>
    <row r="3" ht="18" customHeight="1" spans="2:8" x14ac:dyDescent="0.25">
      <c r="B3" s="3" t="s">
        <v>64</v>
      </c>
      <c r="C3" s="3"/>
      <c r="D3" s="3"/>
      <c r="E3" s="3"/>
      <c r="F3" s="3"/>
      <c r="G3" s="3"/>
      <c r="H3" s="3"/>
    </row>
    <row r="4" ht="16" customHeight="1" spans="2:8" x14ac:dyDescent="0.25">
      <c r="B4" s="4" t="s">
        <v>3</v>
      </c>
      <c r="C4" s="4"/>
      <c r="D4" s="4"/>
      <c r="E4" s="4"/>
      <c r="F4" s="4"/>
      <c r="G4" s="4"/>
      <c r="H4" s="4"/>
    </row>
    <row r="5" ht="3" customHeight="1" spans="1:8" x14ac:dyDescent="0.25">
      <c r="A5" s="5"/>
      <c r="B5" s="5"/>
      <c r="C5" s="5"/>
      <c r="D5" s="5"/>
      <c r="E5" s="5"/>
      <c r="F5" s="5"/>
      <c r="G5" s="5"/>
      <c r="H5" s="5"/>
    </row>
    <row r="6" ht="10" customHeight="1" x14ac:dyDescent="0.25"/>
    <row r="7" ht="22" customHeight="1" spans="2:8" x14ac:dyDescent="0.25">
      <c r="B7" s="15" t="s">
        <v>65</v>
      </c>
      <c r="C7" s="15"/>
      <c r="D7" s="15"/>
      <c r="E7" s="16" t="s">
        <v>66</v>
      </c>
      <c r="F7" s="16"/>
      <c r="G7" s="16"/>
      <c r="H7" s="16"/>
    </row>
    <row r="8" ht="30" customHeight="1" spans="2:8" x14ac:dyDescent="0.25">
      <c r="B8" s="17" t="s">
        <v>31</v>
      </c>
      <c r="C8" s="17" t="s">
        <v>67</v>
      </c>
      <c r="D8" s="18" t="s">
        <v>18</v>
      </c>
      <c r="E8" s="18" t="s">
        <v>68</v>
      </c>
      <c r="F8" s="17" t="s">
        <v>69</v>
      </c>
      <c r="G8" s="18" t="s">
        <v>70</v>
      </c>
      <c r="H8" s="17" t="s">
        <v>71</v>
      </c>
    </row>
    <row r="9" ht="20" customHeight="1" spans="2:8" x14ac:dyDescent="0.25">
      <c r="B9" s="32">
        <v>1</v>
      </c>
      <c r="C9" s="20" t="s">
        <v>72</v>
      </c>
      <c r="D9" s="21">
        <v>12.7</v>
      </c>
      <c r="E9" s="22">
        <f>IF($D$21=0,0,D9/$D$21)</f>
        <v>0.8322411533420707</v>
      </c>
      <c r="F9" s="42">
        <f>E9</f>
        <v>0.8322411533420707</v>
      </c>
      <c r="G9" s="43">
        <f>D9*$D$25</f>
        <v>3175000</v>
      </c>
      <c r="H9" s="44" t="s">
        <v>73</v>
      </c>
    </row>
    <row r="10" ht="20" customHeight="1" spans="2:8" x14ac:dyDescent="0.25">
      <c r="B10" s="34">
        <v>2</v>
      </c>
      <c r="C10" s="35" t="s">
        <v>74</v>
      </c>
      <c r="D10" s="36">
        <v>0.64</v>
      </c>
      <c r="E10" s="37">
        <f>IF($D$21=0,0,D10/$D$21)</f>
        <v>0.04193971166448231</v>
      </c>
      <c r="F10" s="45">
        <f>E10</f>
        <v>0.04193971166448231</v>
      </c>
      <c r="G10" s="46">
        <f>D10*$D$25</f>
        <v>160000</v>
      </c>
      <c r="H10" s="47" t="s">
        <v>75</v>
      </c>
    </row>
    <row r="11" ht="20" customHeight="1" spans="2:8" x14ac:dyDescent="0.25">
      <c r="B11" s="32">
        <v>3</v>
      </c>
      <c r="C11" s="20" t="s">
        <v>23</v>
      </c>
      <c r="D11" s="21">
        <v>0.27</v>
      </c>
      <c r="E11" s="22">
        <f>IF($D$21=0,0,D11/$D$21)</f>
        <v>0.017693315858453476</v>
      </c>
      <c r="F11" s="42">
        <f>E11</f>
        <v>0.017693315858453476</v>
      </c>
      <c r="G11" s="43">
        <f>D11*$D$25</f>
        <v>67500</v>
      </c>
      <c r="H11" s="44" t="s">
        <v>76</v>
      </c>
    </row>
    <row r="12" ht="20" customHeight="1" spans="2:8" x14ac:dyDescent="0.25">
      <c r="B12" s="34">
        <v>4</v>
      </c>
      <c r="C12" s="35" t="s">
        <v>77</v>
      </c>
      <c r="D12" s="36">
        <v>0.14</v>
      </c>
      <c r="E12" s="37">
        <f>IF($D$21=0,0,D12/$D$21)</f>
        <v>0.009174311926605505</v>
      </c>
      <c r="F12" s="45">
        <f>E12</f>
        <v>0.009174311926605505</v>
      </c>
      <c r="G12" s="46">
        <f>D12*$D$25</f>
        <v>35000</v>
      </c>
      <c r="H12" s="47" t="s">
        <v>78</v>
      </c>
    </row>
    <row r="13" ht="20" customHeight="1" spans="2:8" x14ac:dyDescent="0.25">
      <c r="B13" s="32">
        <v>5</v>
      </c>
      <c r="C13" s="20" t="s">
        <v>79</v>
      </c>
      <c r="D13" s="21">
        <v>0.26</v>
      </c>
      <c r="E13" s="22">
        <f>IF($D$21=0,0,D13/$D$21)</f>
        <v>0.01703800786369594</v>
      </c>
      <c r="F13" s="42">
        <f>E13</f>
        <v>0.01703800786369594</v>
      </c>
      <c r="G13" s="43">
        <f>D13*$D$25</f>
        <v>65000</v>
      </c>
      <c r="H13" s="44" t="s">
        <v>80</v>
      </c>
    </row>
    <row r="14" ht="20" customHeight="1" spans="2:8" x14ac:dyDescent="0.25">
      <c r="B14" s="34">
        <v>6</v>
      </c>
      <c r="C14" s="35" t="s">
        <v>81</v>
      </c>
      <c r="D14" s="36">
        <v>0.39</v>
      </c>
      <c r="E14" s="37">
        <f>IF($D$21=0,0,D14/$D$21)</f>
        <v>0.025557011795543906</v>
      </c>
      <c r="F14" s="45">
        <f>E14</f>
        <v>0.025557011795543906</v>
      </c>
      <c r="G14" s="46">
        <f>D14*$D$25</f>
        <v>97500</v>
      </c>
      <c r="H14" s="47" t="s">
        <v>82</v>
      </c>
    </row>
    <row r="15" ht="20" customHeight="1" spans="2:8" x14ac:dyDescent="0.25">
      <c r="B15" s="32">
        <v>7</v>
      </c>
      <c r="C15" s="20" t="s">
        <v>83</v>
      </c>
      <c r="D15" s="21">
        <v>0.18</v>
      </c>
      <c r="E15" s="22">
        <f>IF($D$21=0,0,D15/$D$21)</f>
        <v>0.011795543905635648</v>
      </c>
      <c r="F15" s="42">
        <f>E15</f>
        <v>0.011795543905635648</v>
      </c>
      <c r="G15" s="43">
        <f>D15*$D$25</f>
        <v>45000</v>
      </c>
      <c r="H15" s="44" t="s">
        <v>84</v>
      </c>
    </row>
    <row r="16" ht="20" customHeight="1" spans="2:8" x14ac:dyDescent="0.25">
      <c r="B16" s="34">
        <v>8</v>
      </c>
      <c r="C16" s="35" t="s">
        <v>85</v>
      </c>
      <c r="D16" s="36">
        <v>0.13</v>
      </c>
      <c r="E16" s="37">
        <f>IF($D$21=0,0,D16/$D$21)</f>
        <v>0.00851900393184797</v>
      </c>
      <c r="F16" s="45">
        <f>E16</f>
        <v>0.00851900393184797</v>
      </c>
      <c r="G16" s="46">
        <f>D16*$D$25</f>
        <v>32500</v>
      </c>
      <c r="H16" s="47" t="s">
        <v>86</v>
      </c>
    </row>
    <row r="17" ht="20" customHeight="1" spans="2:8" x14ac:dyDescent="0.25">
      <c r="B17" s="32">
        <v>9</v>
      </c>
      <c r="C17" s="20" t="s">
        <v>87</v>
      </c>
      <c r="D17" s="21">
        <v>0.01</v>
      </c>
      <c r="E17" s="22">
        <f>IF($D$21=0,0,D17/$D$21)</f>
        <v>0.000655307994757536</v>
      </c>
      <c r="F17" s="42">
        <f>E17</f>
        <v>0.000655307994757536</v>
      </c>
      <c r="G17" s="43">
        <f>D17*$D$25</f>
        <v>2500</v>
      </c>
      <c r="H17" s="44" t="s">
        <v>88</v>
      </c>
    </row>
    <row r="18" ht="20" customHeight="1" spans="2:8" x14ac:dyDescent="0.25">
      <c r="B18" s="48" t="s">
        <v>16</v>
      </c>
      <c r="C18" s="49" t="s">
        <v>89</v>
      </c>
      <c r="D18" s="50">
        <f>SUM(D9:D17)</f>
        <v>14.72</v>
      </c>
      <c r="E18" s="51">
        <f>IF($D$21=0,0,D18/$D$21)</f>
        <v>0.9646133682830931</v>
      </c>
      <c r="F18" s="52"/>
      <c r="G18" s="53">
        <f>D18*$D$25</f>
        <v>3680000</v>
      </c>
      <c r="H18" s="54" t="s">
        <v>90</v>
      </c>
    </row>
    <row r="19" ht="20" customHeight="1" spans="2:8" x14ac:dyDescent="0.25">
      <c r="B19" s="32">
        <v>10</v>
      </c>
      <c r="C19" s="20" t="s">
        <v>91</v>
      </c>
      <c r="D19" s="55">
        <v>0</v>
      </c>
      <c r="E19" s="22">
        <f>IF($D$21=0,0,D19/$D$21)</f>
        <v>0</v>
      </c>
      <c r="F19" s="42">
        <f>E19</f>
        <v>0</v>
      </c>
      <c r="G19" s="43">
        <f>D19*$D$25</f>
        <v>0</v>
      </c>
      <c r="H19" s="44" t="s">
        <v>92</v>
      </c>
    </row>
    <row r="20" ht="20" customHeight="1" spans="2:8" x14ac:dyDescent="0.25">
      <c r="B20" s="34">
        <v>11</v>
      </c>
      <c r="C20" s="35" t="s">
        <v>93</v>
      </c>
      <c r="D20" s="36">
        <v>0.54</v>
      </c>
      <c r="E20" s="37">
        <f>IF($D$21=0,0,D20/$D$21)</f>
        <v>0.03538663171690695</v>
      </c>
      <c r="F20" s="45">
        <f>E20</f>
        <v>0.03538663171690695</v>
      </c>
      <c r="G20" s="46">
        <f>D20*$D$25</f>
        <v>135000</v>
      </c>
      <c r="H20" s="47" t="s">
        <v>94</v>
      </c>
    </row>
    <row r="21" ht="20" customHeight="1" spans="2:8" x14ac:dyDescent="0.25">
      <c r="B21" s="56" t="s">
        <v>16</v>
      </c>
      <c r="C21" s="57" t="s">
        <v>95</v>
      </c>
      <c r="D21" s="58">
        <f>D18+SUM(D19:D20)</f>
        <v>15.26</v>
      </c>
      <c r="E21" s="59">
        <f>IF($D$21=0,0,D21/$D$21)</f>
        <v>1</v>
      </c>
      <c r="F21" s="60"/>
      <c r="G21" s="61">
        <f>D21*$D$25</f>
        <v>3815000</v>
      </c>
      <c r="H21" s="62" t="s">
        <v>96</v>
      </c>
    </row>
    <row r="22" ht="17.5" customHeight="1" spans="3:8" x14ac:dyDescent="0.25">
      <c r="C22" s="63" t="str">
        <f>IF(ABS(D21-15.26)&lt;0.005,"✓ Matches the CostVision analysis total (£15.26 per board).","Check: the total differs from the analysis (£15.26) — a figure above has been edited.")</f>
        <v>✓ Matches the CostVision analysis total (£15.26 per board).</v>
      </c>
      <c r="D22" s="63"/>
      <c r="E22" s="63"/>
      <c r="F22" s="63"/>
      <c r="G22" s="63"/>
      <c r="H22" s="63"/>
    </row>
    <row r="24" ht="22" customHeight="1" spans="2:8" x14ac:dyDescent="0.25">
      <c r="B24" s="15" t="s">
        <v>97</v>
      </c>
      <c r="C24" s="15"/>
      <c r="D24" s="15"/>
      <c r="E24" s="15"/>
      <c r="F24" s="15"/>
      <c r="G24" s="15"/>
      <c r="H24" s="15"/>
    </row>
    <row r="25" ht="30" customHeight="1" spans="2:8" x14ac:dyDescent="0.25">
      <c r="B25" s="64"/>
      <c r="C25" s="20" t="s">
        <v>98</v>
      </c>
      <c r="D25" s="65">
        <v>250000</v>
      </c>
      <c r="E25" s="64"/>
      <c r="F25" s="64"/>
      <c r="G25" s="64"/>
      <c r="H25" s="44" t="s">
        <v>99</v>
      </c>
    </row>
    <row r="27" ht="30" customHeight="1" spans="2:8" x14ac:dyDescent="0.25">
      <c r="B27" s="66" t="s">
        <v>100</v>
      </c>
      <c r="C27" s="66"/>
      <c r="D27" s="66"/>
      <c r="E27" s="66"/>
      <c r="F27" s="66"/>
      <c r="G27" s="66"/>
      <c r="H27" s="66"/>
    </row>
  </sheetData>
  <mergeCells count="8">
    <mergeCell ref="B2:H2"/>
    <mergeCell ref="B3:H3"/>
    <mergeCell ref="B4:H4"/>
    <mergeCell ref="B7:D7"/>
    <mergeCell ref="E7:H7"/>
    <mergeCell ref="C22:H22"/>
    <mergeCell ref="B24:H24"/>
    <mergeCell ref="B27:H27"/>
  </mergeCells>
  <conditionalFormatting sqref="F9:F20">
    <cfRule type="dataBar" priority="1">
      <dataBar>
        <cfvo type="num" val="0"/>
        <cfvo type="num" val="1"/>
        <color rgb="FF1D6FB8"/>
      </dataBar>
      <extLst>
        <ext xmlns:x14="http://schemas.microsoft.com/office/spreadsheetml/2009/9/main" uri="{B025F937-C7B1-47D3-B67F-A62EFF666E3E}">
          <x14:id>{2EFE3B88-C02E-4D0D-97BA-71E7704815E3}</x14:id>
        </ext>
      </extLst>
    </cfRule>
  </conditionalFormatting>
  <printOptions horizontalCentered="1"/>
  <pageMargins left="0.4" right="0.4" top="0.55" bottom="0.55" header="0.25" footer="0.25"/>
  <pageSetup paperSize="9" orientation="landscape" horizontalDpi="4294967295" verticalDpi="4294967295" scale="100" fitToWidth="1" fitToHeight="0"/>
  <headerFooter>
    <oddFooter>&amp;L&amp;8CostVision · PCB should-cost&amp;C&amp;8&amp;A&amp;R&amp;8Page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FE3B88-C02E-4D0D-97BA-71E7704815E3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F9:F20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3FA0"/>
    <pageSetUpPr fitToPage="1"/>
  </sheetPr>
  <dimension ref="B1:L28"/>
  <sheetViews>
    <sheetView workbookViewId="0" showGridLines="0" zoomScale="100">
      <pane ySplit="8" topLeftCell="A9" activePane="bottomLeft" state="frozen"/>
      <selection pane="bottomLeft"/>
    </sheetView>
  </sheetViews>
  <sheetFormatPr defaultRowHeight="18" outlineLevelRow="0" outlineLevelCol="0" x14ac:dyDescent="55" customHeight="1"/>
  <cols>
    <col min="1" max="1" width="2" customWidth="1"/>
    <col min="2" max="2" width="5" customWidth="1"/>
    <col min="3" max="3" width="14" hidden="1" customWidth="1"/>
    <col min="4" max="4" width="36" customWidth="1"/>
    <col min="5" max="5" width="20" customWidth="1"/>
    <col min="6" max="6" width="12" customWidth="1"/>
    <col min="7" max="7" width="7" customWidth="1"/>
    <col min="8" max="8" width="11" customWidth="1"/>
    <col min="9" max="9" width="12" customWidth="1"/>
    <col min="10" max="10" width="10" customWidth="1"/>
    <col min="11" max="11" width="22" customWidth="1"/>
  </cols>
  <sheetData>
    <row r="1" ht="34" customHeight="1" spans="12:12" x14ac:dyDescent="0.25">
      <c r="L1" s="1" t="s">
        <v>0</v>
      </c>
    </row>
    <row r="2" ht="26" customHeight="1" spans="2:12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2:12" x14ac:dyDescent="0.25">
      <c r="B3" s="3" t="s">
        <v>101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16" customHeight="1" spans="2:12" x14ac:dyDescent="0.25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" customHeight="1" spans="1:1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0" customHeight="1" x14ac:dyDescent="0.25"/>
    <row r="7" ht="22" customHeight="1" spans="2:12" x14ac:dyDescent="0.25">
      <c r="B7" s="15" t="s">
        <v>102</v>
      </c>
      <c r="C7" s="15"/>
      <c r="D7" s="15"/>
      <c r="E7" s="15"/>
      <c r="F7" s="15"/>
      <c r="G7" s="16" t="s">
        <v>103</v>
      </c>
      <c r="H7" s="16"/>
      <c r="I7" s="16"/>
      <c r="J7" s="16"/>
      <c r="K7" s="16"/>
      <c r="L7" s="16"/>
    </row>
    <row r="8" ht="30" customHeight="1" spans="2:12" x14ac:dyDescent="0.25">
      <c r="B8" s="18" t="s">
        <v>31</v>
      </c>
      <c r="C8" s="17" t="s">
        <v>104</v>
      </c>
      <c r="D8" s="17" t="s">
        <v>105</v>
      </c>
      <c r="E8" s="17" t="s">
        <v>106</v>
      </c>
      <c r="F8" s="17" t="s">
        <v>107</v>
      </c>
      <c r="G8" s="18" t="s">
        <v>108</v>
      </c>
      <c r="H8" s="18" t="s">
        <v>109</v>
      </c>
      <c r="I8" s="18" t="s">
        <v>110</v>
      </c>
      <c r="J8" s="18" t="s">
        <v>111</v>
      </c>
      <c r="K8" s="17" t="s">
        <v>112</v>
      </c>
      <c r="L8" s="17" t="s">
        <v>113</v>
      </c>
    </row>
    <row r="9" ht="20" customHeight="1" spans="2:12" x14ac:dyDescent="0.25">
      <c r="B9" s="32">
        <v>1</v>
      </c>
      <c r="C9" s="67" t="s">
        <v>114</v>
      </c>
      <c r="D9" s="20" t="s">
        <v>115</v>
      </c>
      <c r="E9" s="67" t="s">
        <v>114</v>
      </c>
      <c r="F9" s="20" t="s">
        <v>116</v>
      </c>
      <c r="G9" s="68">
        <v>49</v>
      </c>
      <c r="H9" s="69">
        <v>0.018572</v>
      </c>
      <c r="I9" s="70">
        <f>G9*H9</f>
        <v>0.910013</v>
      </c>
      <c r="J9" s="22">
        <f>IF($I$20=0,0,I9/$I$20)</f>
        <v>0.07165458898731669</v>
      </c>
      <c r="K9" s="71" t="s">
        <v>117</v>
      </c>
      <c r="L9" s="64"/>
    </row>
    <row r="10" ht="20" customHeight="1" spans="2:12" x14ac:dyDescent="0.25">
      <c r="B10" s="34">
        <v>2</v>
      </c>
      <c r="C10" s="72" t="s">
        <v>114</v>
      </c>
      <c r="D10" s="35" t="s">
        <v>118</v>
      </c>
      <c r="E10" s="72" t="s">
        <v>114</v>
      </c>
      <c r="F10" s="72" t="s">
        <v>114</v>
      </c>
      <c r="G10" s="73">
        <v>7</v>
      </c>
      <c r="H10" s="74">
        <v>0.043527</v>
      </c>
      <c r="I10" s="75">
        <f>G10*H10</f>
        <v>0.304692</v>
      </c>
      <c r="J10" s="37">
        <f>IF($I$20=0,0,I10/$I$20)</f>
        <v>0.023991491848431933</v>
      </c>
      <c r="K10" s="71" t="s">
        <v>117</v>
      </c>
      <c r="L10" s="76"/>
    </row>
    <row r="11" ht="20" customHeight="1" spans="2:12" x14ac:dyDescent="0.25">
      <c r="B11" s="32">
        <v>3</v>
      </c>
      <c r="C11" s="67" t="s">
        <v>114</v>
      </c>
      <c r="D11" s="20" t="s">
        <v>119</v>
      </c>
      <c r="E11" s="67" t="s">
        <v>114</v>
      </c>
      <c r="F11" s="67" t="s">
        <v>114</v>
      </c>
      <c r="G11" s="68">
        <v>1</v>
      </c>
      <c r="H11" s="69">
        <v>0.243754</v>
      </c>
      <c r="I11" s="70">
        <f>G11*H11</f>
        <v>0.243754</v>
      </c>
      <c r="J11" s="22">
        <f>IF($I$20=0,0,I11/$I$20)</f>
        <v>0.019193193478745544</v>
      </c>
      <c r="K11" s="71" t="s">
        <v>117</v>
      </c>
      <c r="L11" s="64"/>
    </row>
    <row r="12" ht="20" customHeight="1" spans="2:12" x14ac:dyDescent="0.25">
      <c r="B12" s="34">
        <v>4</v>
      </c>
      <c r="C12" s="72" t="s">
        <v>114</v>
      </c>
      <c r="D12" s="35" t="s">
        <v>119</v>
      </c>
      <c r="E12" s="72" t="s">
        <v>114</v>
      </c>
      <c r="F12" s="72" t="s">
        <v>114</v>
      </c>
      <c r="G12" s="73">
        <v>1</v>
      </c>
      <c r="H12" s="74">
        <v>0.243754</v>
      </c>
      <c r="I12" s="75">
        <f>G12*H12</f>
        <v>0.243754</v>
      </c>
      <c r="J12" s="37">
        <f>IF($I$20=0,0,I12/$I$20)</f>
        <v>0.019193193478745544</v>
      </c>
      <c r="K12" s="71" t="s">
        <v>117</v>
      </c>
      <c r="L12" s="76"/>
    </row>
    <row r="13" ht="20" customHeight="1" spans="2:12" x14ac:dyDescent="0.25">
      <c r="B13" s="32">
        <v>5</v>
      </c>
      <c r="C13" s="67" t="s">
        <v>114</v>
      </c>
      <c r="D13" s="20" t="s">
        <v>35</v>
      </c>
      <c r="E13" s="20" t="s">
        <v>120</v>
      </c>
      <c r="F13" s="20" t="s">
        <v>121</v>
      </c>
      <c r="G13" s="68">
        <v>1</v>
      </c>
      <c r="H13" s="69">
        <v>1.874317</v>
      </c>
      <c r="I13" s="70">
        <f>G13*H13</f>
        <v>1.874317</v>
      </c>
      <c r="J13" s="22">
        <f>IF($I$20=0,0,I13/$I$20)</f>
        <v>0.14758402561308126</v>
      </c>
      <c r="K13" s="77" t="s">
        <v>122</v>
      </c>
      <c r="L13" s="64"/>
    </row>
    <row r="14" ht="20" customHeight="1" spans="2:12" x14ac:dyDescent="0.25">
      <c r="B14" s="34">
        <v>6</v>
      </c>
      <c r="C14" s="72" t="s">
        <v>114</v>
      </c>
      <c r="D14" s="35" t="s">
        <v>123</v>
      </c>
      <c r="E14" s="35" t="s">
        <v>124</v>
      </c>
      <c r="F14" s="35" t="s">
        <v>125</v>
      </c>
      <c r="G14" s="73">
        <v>1</v>
      </c>
      <c r="H14" s="74">
        <v>1.313385</v>
      </c>
      <c r="I14" s="75">
        <f>G14*H14</f>
        <v>1.313385</v>
      </c>
      <c r="J14" s="37">
        <f>IF($I$20=0,0,I14/$I$20)</f>
        <v>0.10341613917696373</v>
      </c>
      <c r="K14" s="77" t="s">
        <v>122</v>
      </c>
      <c r="L14" s="76"/>
    </row>
    <row r="15" ht="20" customHeight="1" spans="2:12" x14ac:dyDescent="0.25">
      <c r="B15" s="32">
        <v>7</v>
      </c>
      <c r="C15" s="67" t="s">
        <v>114</v>
      </c>
      <c r="D15" s="20" t="s">
        <v>126</v>
      </c>
      <c r="E15" s="20" t="s">
        <v>127</v>
      </c>
      <c r="F15" s="20" t="s">
        <v>128</v>
      </c>
      <c r="G15" s="68">
        <v>1</v>
      </c>
      <c r="H15" s="69">
        <v>0.818052</v>
      </c>
      <c r="I15" s="70">
        <f>G15*H15</f>
        <v>0.818052</v>
      </c>
      <c r="J15" s="22">
        <f>IF($I$20=0,0,I15/$I$20)</f>
        <v>0.06441352053851725</v>
      </c>
      <c r="K15" s="77" t="s">
        <v>122</v>
      </c>
      <c r="L15" s="64"/>
    </row>
    <row r="16" ht="20" customHeight="1" spans="2:12" x14ac:dyDescent="0.25">
      <c r="B16" s="34">
        <v>8</v>
      </c>
      <c r="C16" s="72" t="s">
        <v>114</v>
      </c>
      <c r="D16" s="35" t="s">
        <v>129</v>
      </c>
      <c r="E16" s="35" t="s">
        <v>130</v>
      </c>
      <c r="F16" s="35" t="s">
        <v>131</v>
      </c>
      <c r="G16" s="73">
        <v>1</v>
      </c>
      <c r="H16" s="74">
        <v>0.167778</v>
      </c>
      <c r="I16" s="75">
        <f>G16*H16</f>
        <v>0.167778</v>
      </c>
      <c r="J16" s="37">
        <f>IF($I$20=0,0,I16/$I$20)</f>
        <v>0.013210899407448231</v>
      </c>
      <c r="K16" s="77" t="s">
        <v>122</v>
      </c>
      <c r="L16" s="76"/>
    </row>
    <row r="17" ht="20" customHeight="1" spans="2:12" x14ac:dyDescent="0.25">
      <c r="B17" s="32">
        <v>9</v>
      </c>
      <c r="C17" s="67" t="s">
        <v>114</v>
      </c>
      <c r="D17" s="20" t="s">
        <v>34</v>
      </c>
      <c r="E17" s="20" t="s">
        <v>132</v>
      </c>
      <c r="F17" s="20" t="s">
        <v>133</v>
      </c>
      <c r="G17" s="68">
        <v>1</v>
      </c>
      <c r="H17" s="69">
        <v>2.097758</v>
      </c>
      <c r="I17" s="70">
        <f>G17*H17</f>
        <v>2.097758</v>
      </c>
      <c r="J17" s="22">
        <f>IF($I$20=0,0,I17/$I$20)</f>
        <v>0.1651777863019314</v>
      </c>
      <c r="K17" s="77" t="s">
        <v>122</v>
      </c>
      <c r="L17" s="64"/>
    </row>
    <row r="18" ht="20" customHeight="1" spans="2:12" x14ac:dyDescent="0.25">
      <c r="B18" s="34">
        <v>10</v>
      </c>
      <c r="C18" s="72" t="s">
        <v>114</v>
      </c>
      <c r="D18" s="35" t="s">
        <v>134</v>
      </c>
      <c r="E18" s="72" t="s">
        <v>114</v>
      </c>
      <c r="F18" s="35" t="s">
        <v>116</v>
      </c>
      <c r="G18" s="73">
        <v>16</v>
      </c>
      <c r="H18" s="74">
        <v>0.005223</v>
      </c>
      <c r="I18" s="75">
        <f>G18*H18</f>
        <v>0.083573</v>
      </c>
      <c r="J18" s="37">
        <f>IF($I$20=0,0,I18/$I$20)</f>
        <v>0.006580523478427043</v>
      </c>
      <c r="K18" s="71" t="s">
        <v>117</v>
      </c>
      <c r="L18" s="76"/>
    </row>
    <row r="19" ht="20" customHeight="1" spans="2:12" x14ac:dyDescent="0.25">
      <c r="B19" s="32">
        <v>11</v>
      </c>
      <c r="C19" s="67" t="s">
        <v>114</v>
      </c>
      <c r="D19" s="20" t="s">
        <v>135</v>
      </c>
      <c r="E19" s="67" t="s">
        <v>114</v>
      </c>
      <c r="F19" s="67" t="s">
        <v>114</v>
      </c>
      <c r="G19" s="68">
        <v>1</v>
      </c>
      <c r="H19" s="69">
        <v>4.642925</v>
      </c>
      <c r="I19" s="70">
        <f>G19*H19</f>
        <v>4.642925</v>
      </c>
      <c r="J19" s="22">
        <f>IF($I$20=0,0,I19/$I$20)</f>
        <v>0.36558463769039135</v>
      </c>
      <c r="K19" s="71" t="s">
        <v>117</v>
      </c>
      <c r="L19" s="78" t="s">
        <v>136</v>
      </c>
    </row>
    <row r="20" ht="22" customHeight="1" spans="2:12" x14ac:dyDescent="0.25">
      <c r="B20" s="79"/>
      <c r="C20" s="79"/>
      <c r="D20" s="57" t="s">
        <v>137</v>
      </c>
      <c r="E20" s="79"/>
      <c r="F20" s="79"/>
      <c r="G20" s="80">
        <f>SUBTOTAL(109,G9:G19)</f>
        <v>80</v>
      </c>
      <c r="H20" s="79"/>
      <c r="I20" s="81">
        <f>SUBTOTAL(109,I9:I19)</f>
        <v>12.7</v>
      </c>
      <c r="J20" s="59">
        <f>SUBTOTAL(109,J9:J19)</f>
        <v>1</v>
      </c>
      <c r="K20" s="79"/>
      <c r="L20" s="79"/>
    </row>
    <row r="22" ht="22" customHeight="1" spans="2:12" x14ac:dyDescent="0.25">
      <c r="B22" s="15" t="s">
        <v>138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2:12" x14ac:dyDescent="0.25">
      <c r="B23" s="64"/>
      <c r="C23" s="64"/>
      <c r="D23" s="20" t="s">
        <v>139</v>
      </c>
      <c r="E23" s="20"/>
      <c r="F23" s="20"/>
      <c r="G23" s="20"/>
      <c r="H23" s="20"/>
      <c r="I23" s="21">
        <f>I20</f>
        <v>12.7</v>
      </c>
      <c r="J23" s="64"/>
      <c r="K23" s="64"/>
      <c r="L23" s="64"/>
    </row>
    <row r="24" spans="2:12" x14ac:dyDescent="0.25">
      <c r="B24" s="64"/>
      <c r="C24" s="64"/>
      <c r="D24" s="20" t="s">
        <v>140</v>
      </c>
      <c r="E24" s="20"/>
      <c r="F24" s="20"/>
      <c r="G24" s="20"/>
      <c r="H24" s="20"/>
      <c r="I24" s="21">
        <f>'Cost Breakdown'!D9</f>
        <v>12.7</v>
      </c>
      <c r="J24" s="64"/>
      <c r="K24" s="64"/>
      <c r="L24" s="64"/>
    </row>
    <row r="25" spans="2:12" x14ac:dyDescent="0.25">
      <c r="B25" s="64"/>
      <c r="C25" s="64"/>
      <c r="D25" s="20" t="s">
        <v>141</v>
      </c>
      <c r="E25" s="20"/>
      <c r="F25" s="20"/>
      <c r="G25" s="20"/>
      <c r="H25" s="20"/>
      <c r="I25" s="82">
        <f>I23-I24</f>
        <v>0</v>
      </c>
      <c r="J25" s="64"/>
      <c r="K25" s="64"/>
      <c r="L25" s="64"/>
    </row>
    <row r="26" spans="4:12" x14ac:dyDescent="0.25">
      <c r="D26" s="83" t="str">
        <f>IF(ABS(I25)&lt;0.01,"✓ The lines reconcile to the components row.","Check: rounding between the lines and the components row.")</f>
        <v>✓ The lines reconcile to the components row.</v>
      </c>
      <c r="E26" s="83"/>
      <c r="F26" s="83"/>
      <c r="G26" s="83"/>
      <c r="H26" s="83"/>
      <c r="I26" s="83"/>
      <c r="J26" s="83"/>
      <c r="K26" s="83"/>
      <c r="L26" s="83"/>
    </row>
    <row r="27" ht="30" customHeight="1" spans="2:12" x14ac:dyDescent="0.25">
      <c r="B27" s="66" t="s">
        <v>142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</row>
    <row r="28" ht="30" customHeight="1" spans="2:12" x14ac:dyDescent="0.25">
      <c r="B28" s="66" t="s">
        <v>143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</row>
  </sheetData>
  <autoFilter ref="B8:L19"/>
  <mergeCells count="12">
    <mergeCell ref="B2:L2"/>
    <mergeCell ref="B3:L3"/>
    <mergeCell ref="B4:L4"/>
    <mergeCell ref="B7:F7"/>
    <mergeCell ref="G7:L7"/>
    <mergeCell ref="B22:L22"/>
    <mergeCell ref="D23:H23"/>
    <mergeCell ref="D24:H24"/>
    <mergeCell ref="D25:H25"/>
    <mergeCell ref="D26:L26"/>
    <mergeCell ref="B27:L27"/>
    <mergeCell ref="B28:L28"/>
  </mergeCells>
  <printOptions horizontalCentered="1"/>
  <pageMargins left="0.4" right="0.4" top="0.55" bottom="0.55" header="0.25" footer="0.25"/>
  <pageSetup paperSize="9" orientation="landscape" horizontalDpi="4294967295" verticalDpi="4294967295" scale="100" fitToWidth="1" fitToHeight="1"/>
  <headerFooter>
    <oddFooter>&amp;L&amp;8CostVision · PCB should-cost&amp;C&amp;8&amp;A&amp;R&amp;8Page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7D71"/>
    <pageSetUpPr fitToPage="1"/>
  </sheetPr>
  <dimension ref="A1:L48"/>
  <sheetViews>
    <sheetView workbookViewId="0" showGridLines="0" zoomScale="100"/>
  </sheetViews>
  <sheetFormatPr defaultRowHeight="18" outlineLevelRow="0" outlineLevelCol="0" x14ac:dyDescent="55" customHeight="1"/>
  <cols>
    <col min="1" max="1" width="2" customWidth="1"/>
    <col min="2" max="2" width="24" customWidth="1"/>
    <col min="3" max="3" width="10" customWidth="1"/>
    <col min="4" max="6" width="12" customWidth="1"/>
    <col min="7" max="7" width="3" customWidth="1"/>
    <col min="8" max="8" width="24" customWidth="1"/>
    <col min="9" max="9" width="10" customWidth="1"/>
    <col min="10" max="12" width="12" customWidth="1"/>
  </cols>
  <sheetData>
    <row r="1" ht="34" customHeight="1" spans="12:12" x14ac:dyDescent="0.25">
      <c r="L1" s="1" t="s">
        <v>0</v>
      </c>
    </row>
    <row r="2" ht="26" customHeight="1" spans="2:12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2:12" x14ac:dyDescent="0.25">
      <c r="B3" s="3" t="s">
        <v>144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16" customHeight="1" spans="2:12" x14ac:dyDescent="0.25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" customHeight="1" spans="1:1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0" customHeight="1" x14ac:dyDescent="0.25"/>
    <row r="7" ht="22" customHeight="1" spans="2:12" x14ac:dyDescent="0.25">
      <c r="B7" s="15" t="s">
        <v>145</v>
      </c>
      <c r="C7" s="15"/>
      <c r="D7" s="15"/>
      <c r="E7" s="15"/>
      <c r="F7" s="15"/>
      <c r="H7" s="15" t="s">
        <v>146</v>
      </c>
      <c r="I7" s="15"/>
      <c r="J7" s="16" t="s">
        <v>18</v>
      </c>
      <c r="K7" s="16"/>
      <c r="L7" s="16"/>
    </row>
    <row r="8" ht="20" customHeight="1" spans="2:12" x14ac:dyDescent="0.25">
      <c r="B8" s="44" t="s">
        <v>48</v>
      </c>
      <c r="C8" s="20" t="s">
        <v>147</v>
      </c>
      <c r="D8" s="20"/>
      <c r="E8" s="20"/>
      <c r="F8" s="20"/>
      <c r="H8" s="20" t="s">
        <v>148</v>
      </c>
      <c r="I8" s="20"/>
      <c r="J8" s="20"/>
      <c r="K8" s="21">
        <v>0.01</v>
      </c>
      <c r="L8" s="21"/>
    </row>
    <row r="9" ht="20" customHeight="1" spans="2:12" x14ac:dyDescent="0.25">
      <c r="B9" s="47" t="s">
        <v>50</v>
      </c>
      <c r="C9" s="35" t="s">
        <v>51</v>
      </c>
      <c r="D9" s="35"/>
      <c r="E9" s="35"/>
      <c r="F9" s="35"/>
      <c r="H9" s="35" t="s">
        <v>50</v>
      </c>
      <c r="I9" s="35"/>
      <c r="J9" s="35"/>
      <c r="K9" s="36">
        <v>0.03</v>
      </c>
      <c r="L9" s="36"/>
    </row>
    <row r="10" ht="20" customHeight="1" spans="2:12" x14ac:dyDescent="0.25">
      <c r="B10" s="44" t="s">
        <v>149</v>
      </c>
      <c r="C10" s="20" t="s">
        <v>150</v>
      </c>
      <c r="D10" s="20"/>
      <c r="E10" s="20"/>
      <c r="F10" s="20"/>
      <c r="H10" s="20" t="s">
        <v>151</v>
      </c>
      <c r="I10" s="20"/>
      <c r="J10" s="20"/>
      <c r="K10" s="21">
        <v>0.22</v>
      </c>
      <c r="L10" s="21"/>
    </row>
    <row r="11" ht="20" customHeight="1" spans="2:12" x14ac:dyDescent="0.25">
      <c r="B11" s="47" t="s">
        <v>152</v>
      </c>
      <c r="C11" s="35" t="s">
        <v>153</v>
      </c>
      <c r="D11" s="35"/>
      <c r="E11" s="35"/>
      <c r="F11" s="35"/>
      <c r="H11" s="35" t="s">
        <v>154</v>
      </c>
      <c r="I11" s="35"/>
      <c r="J11" s="35"/>
      <c r="K11" s="36">
        <v>0.01</v>
      </c>
      <c r="L11" s="36"/>
    </row>
    <row r="12" ht="20" customHeight="1" spans="2:12" x14ac:dyDescent="0.25">
      <c r="B12" s="44" t="s">
        <v>155</v>
      </c>
      <c r="C12" s="20" t="s">
        <v>156</v>
      </c>
      <c r="D12" s="20"/>
      <c r="E12" s="20"/>
      <c r="F12" s="20"/>
      <c r="H12" s="20" t="s">
        <v>157</v>
      </c>
      <c r="I12" s="20"/>
      <c r="J12" s="20"/>
      <c r="K12" s="21">
        <v>0.01</v>
      </c>
      <c r="L12" s="21"/>
    </row>
    <row r="13" ht="20" customHeight="1" spans="2:12" x14ac:dyDescent="0.25">
      <c r="B13" s="47" t="s">
        <v>154</v>
      </c>
      <c r="C13" s="35" t="s">
        <v>158</v>
      </c>
      <c r="D13" s="35"/>
      <c r="E13" s="35"/>
      <c r="F13" s="35"/>
      <c r="H13" s="20" t="s">
        <v>159</v>
      </c>
      <c r="I13" s="20"/>
      <c r="J13" s="20"/>
      <c r="K13" s="21">
        <f>SUM(K8:K12)</f>
        <v>0.28</v>
      </c>
      <c r="L13" s="21"/>
    </row>
    <row r="14" ht="20" customHeight="1" spans="2:12" x14ac:dyDescent="0.25">
      <c r="B14" s="44" t="s">
        <v>160</v>
      </c>
      <c r="C14" s="20" t="s">
        <v>161</v>
      </c>
      <c r="D14" s="20"/>
      <c r="E14" s="20"/>
      <c r="F14" s="20"/>
      <c r="H14" s="20" t="s">
        <v>162</v>
      </c>
      <c r="I14" s="20"/>
      <c r="J14" s="20"/>
      <c r="K14" s="21">
        <f>'Cost Breakdown'!D11-K13</f>
        <v>-0.01</v>
      </c>
      <c r="L14" s="21"/>
    </row>
    <row r="15" ht="20" customHeight="1" spans="2:12" x14ac:dyDescent="0.25">
      <c r="B15" s="47" t="s">
        <v>163</v>
      </c>
      <c r="C15" s="35" t="s">
        <v>164</v>
      </c>
      <c r="D15" s="35"/>
      <c r="E15" s="35"/>
      <c r="F15" s="35"/>
      <c r="H15" s="20" t="s">
        <v>165</v>
      </c>
      <c r="I15" s="20"/>
      <c r="J15" s="20"/>
      <c r="K15" s="21">
        <f>'Cost Breakdown'!D12</f>
        <v>0.14</v>
      </c>
      <c r="L15" s="21"/>
    </row>
    <row r="16" spans="8:12" x14ac:dyDescent="0.25">
      <c r="H16" s="84" t="s">
        <v>166</v>
      </c>
      <c r="I16" s="84"/>
      <c r="J16" s="84"/>
      <c r="K16" s="85">
        <f>'Cost Breakdown'!D11+'Cost Breakdown'!D12</f>
        <v>0.41</v>
      </c>
      <c r="L16" s="85"/>
    </row>
    <row r="18" ht="22" customHeight="1" spans="8:12" x14ac:dyDescent="0.25">
      <c r="H18" s="15" t="s">
        <v>25</v>
      </c>
      <c r="I18" s="15"/>
      <c r="J18" s="16" t="s">
        <v>18</v>
      </c>
      <c r="K18" s="16"/>
      <c r="L18" s="16"/>
    </row>
    <row r="19" spans="8:12" x14ac:dyDescent="0.25">
      <c r="H19" s="20" t="s">
        <v>79</v>
      </c>
      <c r="I19" s="20"/>
      <c r="J19" s="20"/>
      <c r="K19" s="21">
        <f>'Cost Breakdown'!D13</f>
        <v>0.26</v>
      </c>
      <c r="L19" s="21"/>
    </row>
    <row r="20" spans="8:12" x14ac:dyDescent="0.25">
      <c r="H20" s="35" t="s">
        <v>167</v>
      </c>
      <c r="I20" s="35"/>
      <c r="J20" s="35"/>
      <c r="K20" s="36">
        <f>'Cost Breakdown'!D14</f>
        <v>0.39</v>
      </c>
      <c r="L20" s="36"/>
    </row>
    <row r="21" spans="8:12" x14ac:dyDescent="0.25">
      <c r="H21" s="20" t="s">
        <v>83</v>
      </c>
      <c r="I21" s="20"/>
      <c r="J21" s="20"/>
      <c r="K21" s="21">
        <f>'Cost Breakdown'!D15</f>
        <v>0.18</v>
      </c>
      <c r="L21" s="21"/>
    </row>
    <row r="22" spans="8:12" x14ac:dyDescent="0.25">
      <c r="H22" s="84" t="s">
        <v>168</v>
      </c>
      <c r="I22" s="84"/>
      <c r="J22" s="84"/>
      <c r="K22" s="85">
        <f>SUM(K19:K21)</f>
        <v>0.83</v>
      </c>
      <c r="L22" s="85"/>
    </row>
    <row r="24" ht="22" customHeight="1" spans="2:12" x14ac:dyDescent="0.25">
      <c r="B24" s="15" t="s">
        <v>169</v>
      </c>
      <c r="C24" s="15"/>
      <c r="D24" s="15"/>
      <c r="E24" s="15"/>
      <c r="F24" s="15"/>
      <c r="G24" s="16" t="s">
        <v>170</v>
      </c>
      <c r="H24" s="16"/>
      <c r="I24" s="16"/>
      <c r="J24" s="16"/>
      <c r="K24" s="16"/>
      <c r="L24" s="16"/>
    </row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spans="2:8" x14ac:dyDescent="0.25">
      <c r="B35" s="86" t="s">
        <v>171</v>
      </c>
      <c r="H35" s="86" t="s">
        <v>172</v>
      </c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spans="2:2" x14ac:dyDescent="0.25">
      <c r="B47" s="86" t="s">
        <v>173</v>
      </c>
    </row>
    <row r="48" ht="15" customHeight="1" x14ac:dyDescent="0.25"/>
  </sheetData>
  <mergeCells count="44">
    <mergeCell ref="B2:L2"/>
    <mergeCell ref="B3:L3"/>
    <mergeCell ref="B4:L4"/>
    <mergeCell ref="B7:F7"/>
    <mergeCell ref="H7:I7"/>
    <mergeCell ref="J7:L7"/>
    <mergeCell ref="C8:F8"/>
    <mergeCell ref="H8:J8"/>
    <mergeCell ref="K8:L8"/>
    <mergeCell ref="C9:F9"/>
    <mergeCell ref="H9:J9"/>
    <mergeCell ref="K9:L9"/>
    <mergeCell ref="C10:F10"/>
    <mergeCell ref="H10:J10"/>
    <mergeCell ref="K10:L10"/>
    <mergeCell ref="C11:F11"/>
    <mergeCell ref="H11:J11"/>
    <mergeCell ref="K11:L11"/>
    <mergeCell ref="C12:F12"/>
    <mergeCell ref="H12:J12"/>
    <mergeCell ref="K12:L12"/>
    <mergeCell ref="C13:F13"/>
    <mergeCell ref="H13:J13"/>
    <mergeCell ref="K13:L13"/>
    <mergeCell ref="C14:F14"/>
    <mergeCell ref="H14:J14"/>
    <mergeCell ref="K14:L14"/>
    <mergeCell ref="C15:F15"/>
    <mergeCell ref="H15:J15"/>
    <mergeCell ref="K15:L15"/>
    <mergeCell ref="H16:J16"/>
    <mergeCell ref="K16:L16"/>
    <mergeCell ref="H18:I18"/>
    <mergeCell ref="J18:L18"/>
    <mergeCell ref="H19:J19"/>
    <mergeCell ref="K19:L19"/>
    <mergeCell ref="H20:J20"/>
    <mergeCell ref="K20:L20"/>
    <mergeCell ref="H21:J21"/>
    <mergeCell ref="K21:L21"/>
    <mergeCell ref="H22:J22"/>
    <mergeCell ref="K22:L22"/>
    <mergeCell ref="B24:F24"/>
    <mergeCell ref="G24:L24"/>
  </mergeCells>
  <printOptions horizontalCentered="1"/>
  <pageMargins left="0.4" right="0.4" top="0.55" bottom="0.55" header="0.25" footer="0.25"/>
  <pageSetup paperSize="9" orientation="landscape" horizontalDpi="4294967295" verticalDpi="4294967295" scale="100" fitToWidth="1" fitToHeight="0"/>
  <headerFooter>
    <oddFooter>&amp;L&amp;8CostVision · PCB should-cost&amp;C&amp;8&amp;A&amp;R&amp;8Page &amp;P of &amp;N</oddFooter>
  </headerFooter>
  <rowBreaks count="1" manualBreakCount="1">
    <brk id="23" max="16838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F50"/>
    <pageSetUpPr fitToPage="1"/>
  </sheetPr>
  <dimension ref="B1:N23"/>
  <sheetViews>
    <sheetView workbookViewId="0" showGridLines="0" zoomScale="100">
      <pane ySplit="8" topLeftCell="A9" activePane="bottomLeft" state="frozen"/>
      <selection pane="bottomLeft"/>
    </sheetView>
  </sheetViews>
  <sheetFormatPr defaultRowHeight="18" outlineLevelRow="0" outlineLevelCol="0" x14ac:dyDescent="55" customHeight="1"/>
  <cols>
    <col min="1" max="1" width="2" customWidth="1"/>
    <col min="2" max="2" width="5" customWidth="1"/>
    <col min="3" max="3" width="18" customWidth="1"/>
    <col min="4" max="4" width="13" customWidth="1"/>
    <col min="5" max="5" width="11" customWidth="1"/>
    <col min="6" max="6" width="12" customWidth="1"/>
    <col min="8" max="11" width="12" customWidth="1"/>
  </cols>
  <sheetData>
    <row r="1" ht="34" customHeight="1" spans="14:14" x14ac:dyDescent="0.25">
      <c r="N1" s="1" t="s">
        <v>0</v>
      </c>
    </row>
    <row r="2" ht="26" customHeight="1" spans="2:14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1" spans="2:14" x14ac:dyDescent="0.25">
      <c r="B3" s="3" t="s">
        <v>174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6" customHeight="1" spans="2:14" x14ac:dyDescent="0.25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3" customHeight="1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10" customHeight="1" x14ac:dyDescent="0.25"/>
    <row r="7" ht="22" customHeight="1" spans="2:14" x14ac:dyDescent="0.25">
      <c r="B7" s="15" t="s">
        <v>175</v>
      </c>
      <c r="C7" s="15"/>
      <c r="D7" s="15"/>
      <c r="E7" s="15"/>
      <c r="F7" s="15"/>
      <c r="G7" s="15"/>
      <c r="H7" s="15"/>
      <c r="I7" s="16" t="s">
        <v>176</v>
      </c>
      <c r="J7" s="16"/>
      <c r="K7" s="16"/>
      <c r="L7" s="16"/>
      <c r="M7" s="16"/>
      <c r="N7" s="16"/>
    </row>
    <row r="8" ht="30" customHeight="1" spans="2:14" x14ac:dyDescent="0.25">
      <c r="B8" s="18" t="s">
        <v>177</v>
      </c>
      <c r="C8" s="17" t="s">
        <v>178</v>
      </c>
      <c r="D8" s="18" t="s">
        <v>179</v>
      </c>
      <c r="E8" s="18" t="s">
        <v>180</v>
      </c>
      <c r="F8" s="18" t="s">
        <v>25</v>
      </c>
      <c r="G8" s="18" t="s">
        <v>181</v>
      </c>
      <c r="H8" s="18" t="s">
        <v>182</v>
      </c>
      <c r="I8" s="18" t="s">
        <v>183</v>
      </c>
      <c r="J8" s="18" t="s">
        <v>184</v>
      </c>
      <c r="K8" s="18" t="s">
        <v>185</v>
      </c>
      <c r="L8" s="18" t="s">
        <v>186</v>
      </c>
      <c r="M8" s="17" t="s">
        <v>187</v>
      </c>
      <c r="N8" s="87" t="s">
        <v>188</v>
      </c>
    </row>
    <row r="9" ht="20" customHeight="1" spans="2:14" x14ac:dyDescent="0.25">
      <c r="B9" s="88">
        <v>1</v>
      </c>
      <c r="C9" s="89" t="s">
        <v>189</v>
      </c>
      <c r="D9" s="90">
        <v>13.34</v>
      </c>
      <c r="E9" s="90">
        <v>0.41</v>
      </c>
      <c r="F9" s="90">
        <v>0.83</v>
      </c>
      <c r="G9" s="90">
        <v>0.14</v>
      </c>
      <c r="H9" s="90">
        <f>SUM(D9:G9)</f>
        <v>14.72</v>
      </c>
      <c r="I9" s="91">
        <v>0.54</v>
      </c>
      <c r="J9" s="92">
        <f>H9+I9</f>
        <v>15.26</v>
      </c>
      <c r="K9" s="93">
        <f>J9-$J$9</f>
        <v>0</v>
      </c>
      <c r="L9" s="94">
        <f>IF($J$9=0,0,K9/$J$9)</f>
        <v>0</v>
      </c>
      <c r="M9" s="95" t="str">
        <f>IF(ROW()=9,"costed",IF(K9&lt;-0.004,"cheaper",IF(K9&gt;0.004,"dearer","same")))</f>
        <v>costed</v>
      </c>
      <c r="N9" s="96">
        <v>3</v>
      </c>
    </row>
    <row r="10" ht="20" customHeight="1" spans="2:14" x14ac:dyDescent="0.25">
      <c r="B10" s="34">
        <v>2</v>
      </c>
      <c r="C10" s="35" t="s">
        <v>190</v>
      </c>
      <c r="D10" s="36">
        <v>13.95</v>
      </c>
      <c r="E10" s="36">
        <v>0.49</v>
      </c>
      <c r="F10" s="36">
        <v>0.52</v>
      </c>
      <c r="G10" s="36">
        <v>0.13</v>
      </c>
      <c r="H10" s="97">
        <f>SUM(D10:G10)</f>
        <v>15.09</v>
      </c>
      <c r="I10" s="98">
        <v>0.83</v>
      </c>
      <c r="J10" s="99">
        <f>H10+I10</f>
        <v>15.92</v>
      </c>
      <c r="K10" s="100">
        <f>J10-$J$9</f>
        <v>0.66</v>
      </c>
      <c r="L10" s="101">
        <f>IF($J$9=0,0,K10/$J$9)</f>
        <v>0.04325032765399739</v>
      </c>
      <c r="M10" s="102" t="str">
        <f>IF(ROW()=9,"costed",IF(K10&lt;-0.004,"cheaper",IF(K10&gt;0.004,"dearer","same")))</f>
        <v>dearer</v>
      </c>
      <c r="N10" s="103">
        <v>3</v>
      </c>
    </row>
    <row r="11" ht="20" customHeight="1" spans="2:14" x14ac:dyDescent="0.25">
      <c r="B11" s="32">
        <v>3</v>
      </c>
      <c r="C11" s="20" t="s">
        <v>191</v>
      </c>
      <c r="D11" s="21">
        <v>13.8</v>
      </c>
      <c r="E11" s="21">
        <v>0.57</v>
      </c>
      <c r="F11" s="21">
        <v>0.92</v>
      </c>
      <c r="G11" s="21">
        <v>0.13</v>
      </c>
      <c r="H11" s="104">
        <f>SUM(D11:G11)</f>
        <v>15.42</v>
      </c>
      <c r="I11" s="55">
        <v>0.84</v>
      </c>
      <c r="J11" s="105">
        <f>H11+I11</f>
        <v>16.26</v>
      </c>
      <c r="K11" s="106">
        <f>J11-$J$9</f>
        <v>1</v>
      </c>
      <c r="L11" s="107">
        <f>IF($J$9=0,0,K11/$J$9)</f>
        <v>0.06553079947575371</v>
      </c>
      <c r="M11" s="108" t="str">
        <f>IF(ROW()=9,"costed",IF(K11&lt;-0.004,"cheaper",IF(K11&gt;0.004,"dearer","same")))</f>
        <v>dearer</v>
      </c>
      <c r="N11" s="109">
        <v>3</v>
      </c>
    </row>
    <row r="12" ht="20" customHeight="1" spans="2:14" x14ac:dyDescent="0.25">
      <c r="B12" s="34">
        <v>4</v>
      </c>
      <c r="C12" s="35" t="s">
        <v>192</v>
      </c>
      <c r="D12" s="36">
        <v>14.1</v>
      </c>
      <c r="E12" s="36">
        <v>0.58</v>
      </c>
      <c r="F12" s="36">
        <v>0.79</v>
      </c>
      <c r="G12" s="36">
        <v>0.15</v>
      </c>
      <c r="H12" s="97">
        <f>SUM(D12:G12)</f>
        <v>15.62</v>
      </c>
      <c r="I12" s="98">
        <v>0.85</v>
      </c>
      <c r="J12" s="99">
        <f>H12+I12</f>
        <v>16.47</v>
      </c>
      <c r="K12" s="100">
        <f>J12-$J$9</f>
        <v>1.21</v>
      </c>
      <c r="L12" s="101">
        <f>IF($J$9=0,0,K12/$J$9)</f>
        <v>0.0792922673656618</v>
      </c>
      <c r="M12" s="102" t="str">
        <f>IF(ROW()=9,"costed",IF(K12&lt;-0.004,"cheaper",IF(K12&gt;0.004,"dearer","same")))</f>
        <v>dearer</v>
      </c>
      <c r="N12" s="103">
        <v>3</v>
      </c>
    </row>
    <row r="13" ht="20" customHeight="1" spans="2:14" x14ac:dyDescent="0.25">
      <c r="B13" s="32">
        <v>5</v>
      </c>
      <c r="C13" s="20" t="s">
        <v>193</v>
      </c>
      <c r="D13" s="21">
        <v>14.4</v>
      </c>
      <c r="E13" s="21">
        <v>0.52</v>
      </c>
      <c r="F13" s="21">
        <v>0.73</v>
      </c>
      <c r="G13" s="21">
        <v>0.17</v>
      </c>
      <c r="H13" s="104">
        <f>SUM(D13:G13)</f>
        <v>15.82</v>
      </c>
      <c r="I13" s="55">
        <v>0.86</v>
      </c>
      <c r="J13" s="105">
        <f>H13+I13</f>
        <v>16.68</v>
      </c>
      <c r="K13" s="106">
        <f>J13-$J$9</f>
        <v>1.42</v>
      </c>
      <c r="L13" s="107">
        <f>IF($J$9=0,0,K13/$J$9)</f>
        <v>0.09305373525557012</v>
      </c>
      <c r="M13" s="108" t="str">
        <f>IF(ROW()=9,"costed",IF(K13&lt;-0.004,"cheaper",IF(K13&gt;0.004,"dearer","same")))</f>
        <v>dearer</v>
      </c>
      <c r="N13" s="109">
        <v>4</v>
      </c>
    </row>
    <row r="14" ht="20" customHeight="1" spans="2:14" x14ac:dyDescent="0.25">
      <c r="B14" s="34">
        <v>6</v>
      </c>
      <c r="C14" s="35" t="s">
        <v>194</v>
      </c>
      <c r="D14" s="36">
        <v>13.65</v>
      </c>
      <c r="E14" s="36">
        <v>0.93</v>
      </c>
      <c r="F14" s="36">
        <v>1.76</v>
      </c>
      <c r="G14" s="36">
        <v>0.17</v>
      </c>
      <c r="H14" s="97">
        <f>SUM(D14:G14)</f>
        <v>16.51</v>
      </c>
      <c r="I14" s="98">
        <v>0.61</v>
      </c>
      <c r="J14" s="99">
        <f>H14+I14</f>
        <v>17.12</v>
      </c>
      <c r="K14" s="100">
        <f>J14-$J$9</f>
        <v>1.86</v>
      </c>
      <c r="L14" s="101">
        <f>IF($J$9=0,0,K14/$J$9)</f>
        <v>0.12188728702490179</v>
      </c>
      <c r="M14" s="102" t="str">
        <f>IF(ROW()=9,"costed",IF(K14&lt;-0.004,"cheaper",IF(K14&gt;0.004,"dearer","same")))</f>
        <v>dearer</v>
      </c>
      <c r="N14" s="103">
        <v>3</v>
      </c>
    </row>
    <row r="15" ht="20" customHeight="1" spans="2:14" x14ac:dyDescent="0.25">
      <c r="B15" s="32">
        <v>7</v>
      </c>
      <c r="C15" s="20" t="s">
        <v>195</v>
      </c>
      <c r="D15" s="21">
        <v>14.86</v>
      </c>
      <c r="E15" s="21">
        <v>0.8</v>
      </c>
      <c r="F15" s="21">
        <v>1.16</v>
      </c>
      <c r="G15" s="21">
        <v>0.16</v>
      </c>
      <c r="H15" s="104">
        <f>SUM(D15:G15)</f>
        <v>16.98</v>
      </c>
      <c r="I15" s="55">
        <v>0.63</v>
      </c>
      <c r="J15" s="105">
        <f>H15+I15</f>
        <v>17.61</v>
      </c>
      <c r="K15" s="106">
        <f>J15-$J$9</f>
        <v>2.35</v>
      </c>
      <c r="L15" s="107">
        <f>IF($J$9=0,0,K15/$J$9)</f>
        <v>0.15399737876802094</v>
      </c>
      <c r="M15" s="108" t="str">
        <f>IF(ROW()=9,"costed",IF(K15&lt;-0.004,"cheaper",IF(K15&gt;0.004,"dearer","same")))</f>
        <v>dearer</v>
      </c>
      <c r="N15" s="109">
        <v>3</v>
      </c>
    </row>
    <row r="16" ht="20" customHeight="1" spans="2:14" x14ac:dyDescent="0.25">
      <c r="B16" s="34">
        <v>8</v>
      </c>
      <c r="C16" s="35" t="s">
        <v>196</v>
      </c>
      <c r="D16" s="36">
        <v>13.95</v>
      </c>
      <c r="E16" s="36">
        <v>1.24</v>
      </c>
      <c r="F16" s="36">
        <v>2.72</v>
      </c>
      <c r="G16" s="36">
        <v>0.21</v>
      </c>
      <c r="H16" s="97">
        <f>SUM(D16:G16)</f>
        <v>18.12</v>
      </c>
      <c r="I16" s="98">
        <v>0</v>
      </c>
      <c r="J16" s="99">
        <f>H16+I16</f>
        <v>18.12</v>
      </c>
      <c r="K16" s="100">
        <f>J16-$J$9</f>
        <v>2.86</v>
      </c>
      <c r="L16" s="101">
        <f>IF($J$9=0,0,K16/$J$9)</f>
        <v>0.1874180865006554</v>
      </c>
      <c r="M16" s="102" t="str">
        <f>IF(ROW()=9,"costed",IF(K16&lt;-0.004,"cheaper",IF(K16&gt;0.004,"dearer","same")))</f>
        <v>dearer</v>
      </c>
      <c r="N16" s="103">
        <v>3</v>
      </c>
    </row>
    <row r="17" ht="20" customHeight="1" spans="2:14" x14ac:dyDescent="0.25">
      <c r="B17" s="32">
        <v>9</v>
      </c>
      <c r="C17" s="20" t="s">
        <v>197</v>
      </c>
      <c r="D17" s="21">
        <v>15.92</v>
      </c>
      <c r="E17" s="21">
        <v>1.04</v>
      </c>
      <c r="F17" s="21">
        <v>1.62</v>
      </c>
      <c r="G17" s="21">
        <v>0.22</v>
      </c>
      <c r="H17" s="104">
        <f>SUM(D17:G17)</f>
        <v>18.8</v>
      </c>
      <c r="I17" s="55">
        <v>0</v>
      </c>
      <c r="J17" s="105">
        <f>H17+I17</f>
        <v>18.8</v>
      </c>
      <c r="K17" s="106">
        <f>J17-$J$9</f>
        <v>3.54</v>
      </c>
      <c r="L17" s="107">
        <f>IF($J$9=0,0,K17/$J$9)</f>
        <v>0.23197903014416782</v>
      </c>
      <c r="M17" s="108" t="str">
        <f>IF(ROW()=9,"costed",IF(K17&lt;-0.004,"cheaper",IF(K17&gt;0.004,"dearer","same")))</f>
        <v>dearer</v>
      </c>
      <c r="N17" s="109">
        <v>2</v>
      </c>
    </row>
    <row r="18" ht="20" customHeight="1" spans="2:14" x14ac:dyDescent="0.25">
      <c r="B18" s="34">
        <v>10</v>
      </c>
      <c r="C18" s="35" t="s">
        <v>198</v>
      </c>
      <c r="D18" s="36">
        <v>16.07</v>
      </c>
      <c r="E18" s="36">
        <v>0.94</v>
      </c>
      <c r="F18" s="36">
        <v>1.58</v>
      </c>
      <c r="G18" s="36">
        <v>0.21</v>
      </c>
      <c r="H18" s="97">
        <f>SUM(D18:G18)</f>
        <v>18.8</v>
      </c>
      <c r="I18" s="98">
        <v>0</v>
      </c>
      <c r="J18" s="99">
        <f>H18+I18</f>
        <v>18.8</v>
      </c>
      <c r="K18" s="100">
        <f>J18-$J$9</f>
        <v>3.54</v>
      </c>
      <c r="L18" s="101">
        <f>IF($J$9=0,0,K18/$J$9)</f>
        <v>0.23197903014416782</v>
      </c>
      <c r="M18" s="102" t="str">
        <f>IF(ROW()=9,"costed",IF(K18&lt;-0.004,"cheaper",IF(K18&gt;0.004,"dearer","same")))</f>
        <v>dearer</v>
      </c>
      <c r="N18" s="103">
        <v>2</v>
      </c>
    </row>
    <row r="19" ht="20" customHeight="1" spans="2:14" x14ac:dyDescent="0.25">
      <c r="B19" s="32">
        <v>11</v>
      </c>
      <c r="C19" s="20" t="s">
        <v>199</v>
      </c>
      <c r="D19" s="21">
        <v>17.89</v>
      </c>
      <c r="E19" s="21">
        <v>2.14</v>
      </c>
      <c r="F19" s="21">
        <v>4.17</v>
      </c>
      <c r="G19" s="21">
        <v>0.33</v>
      </c>
      <c r="H19" s="104">
        <f>SUM(D19:G19)</f>
        <v>24.53</v>
      </c>
      <c r="I19" s="55">
        <v>0</v>
      </c>
      <c r="J19" s="105">
        <f>H19+I19</f>
        <v>24.53</v>
      </c>
      <c r="K19" s="106">
        <f>J19-$J$9</f>
        <v>9.27</v>
      </c>
      <c r="L19" s="107">
        <f>IF($J$9=0,0,K19/$J$9)</f>
        <v>0.607470511140236</v>
      </c>
      <c r="M19" s="108" t="str">
        <f>IF(ROW()=9,"costed",IF(K19&lt;-0.004,"cheaper",IF(K19&gt;0.004,"dearer","same")))</f>
        <v>dearer</v>
      </c>
      <c r="N19" s="109">
        <v>2</v>
      </c>
    </row>
    <row r="20" ht="20" customHeight="1" spans="2:14" x14ac:dyDescent="0.25">
      <c r="B20" s="34">
        <v>12</v>
      </c>
      <c r="C20" s="35" t="s">
        <v>200</v>
      </c>
      <c r="D20" s="36">
        <v>17.44</v>
      </c>
      <c r="E20" s="36">
        <v>2.02</v>
      </c>
      <c r="F20" s="36">
        <v>3.95</v>
      </c>
      <c r="G20" s="36">
        <v>0.33</v>
      </c>
      <c r="H20" s="97">
        <f>SUM(D20:G20)</f>
        <v>23.74</v>
      </c>
      <c r="I20" s="98">
        <v>0.86</v>
      </c>
      <c r="J20" s="99">
        <f>H20+I20</f>
        <v>24.6</v>
      </c>
      <c r="K20" s="100">
        <f>J20-$J$9</f>
        <v>9.34</v>
      </c>
      <c r="L20" s="101">
        <f>IF($J$9=0,0,K20/$J$9)</f>
        <v>0.6120576671035388</v>
      </c>
      <c r="M20" s="102" t="str">
        <f>IF(ROW()=9,"costed",IF(K20&lt;-0.004,"cheaper",IF(K20&gt;0.004,"dearer","same")))</f>
        <v>dearer</v>
      </c>
      <c r="N20" s="103">
        <v>2</v>
      </c>
    </row>
    <row r="21" ht="20" customHeight="1" spans="2:14" x14ac:dyDescent="0.25">
      <c r="B21" s="32">
        <v>13</v>
      </c>
      <c r="C21" s="20" t="s">
        <v>201</v>
      </c>
      <c r="D21" s="21">
        <v>18.5</v>
      </c>
      <c r="E21" s="21">
        <v>2.49</v>
      </c>
      <c r="F21" s="21">
        <v>3.75</v>
      </c>
      <c r="G21" s="21">
        <v>0.37</v>
      </c>
      <c r="H21" s="104">
        <f>SUM(D21:G21)</f>
        <v>25.11</v>
      </c>
      <c r="I21" s="55">
        <v>0</v>
      </c>
      <c r="J21" s="105">
        <f>H21+I21</f>
        <v>25.11</v>
      </c>
      <c r="K21" s="106">
        <f>J21-$J$9</f>
        <v>9.85</v>
      </c>
      <c r="L21" s="107">
        <f>IF($J$9=0,0,K21/$J$9)</f>
        <v>0.645478374836173</v>
      </c>
      <c r="M21" s="108" t="str">
        <f>IF(ROW()=9,"costed",IF(K21&lt;-0.004,"cheaper",IF(K21&gt;0.004,"dearer","same")))</f>
        <v>dearer</v>
      </c>
      <c r="N21" s="109">
        <v>1.5</v>
      </c>
    </row>
    <row r="22" ht="20" customHeight="1" spans="2:14" x14ac:dyDescent="0.25">
      <c r="B22" s="34">
        <v>14</v>
      </c>
      <c r="C22" s="35" t="s">
        <v>202</v>
      </c>
      <c r="D22" s="36">
        <v>18.19</v>
      </c>
      <c r="E22" s="36">
        <v>3.53</v>
      </c>
      <c r="F22" s="36">
        <v>3.6</v>
      </c>
      <c r="G22" s="36">
        <v>0.35</v>
      </c>
      <c r="H22" s="97">
        <f>SUM(D22:G22)</f>
        <v>25.67</v>
      </c>
      <c r="I22" s="98">
        <v>0</v>
      </c>
      <c r="J22" s="99">
        <f>H22+I22</f>
        <v>25.67</v>
      </c>
      <c r="K22" s="100">
        <f>J22-$J$9</f>
        <v>10.41</v>
      </c>
      <c r="L22" s="101">
        <f>IF($J$9=0,0,K22/$J$9)</f>
        <v>0.6821756225425951</v>
      </c>
      <c r="M22" s="102" t="str">
        <f>IF(ROW()=9,"costed",IF(K22&lt;-0.004,"cheaper",IF(K22&gt;0.004,"dearer","same")))</f>
        <v>dearer</v>
      </c>
      <c r="N22" s="103">
        <v>3</v>
      </c>
    </row>
    <row r="23" ht="30" customHeight="1" spans="2:14" x14ac:dyDescent="0.25">
      <c r="B23" s="66" t="s">
        <v>203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</sheetData>
  <mergeCells count="6">
    <mergeCell ref="B2:N2"/>
    <mergeCell ref="B3:N3"/>
    <mergeCell ref="B4:N4"/>
    <mergeCell ref="B7:H7"/>
    <mergeCell ref="I7:N7"/>
    <mergeCell ref="B23:N23"/>
  </mergeCells>
  <printOptions horizontalCentered="1"/>
  <pageMargins left="0.4" right="0.4" top="0.55" bottom="0.55" header="0.25" footer="0.25"/>
  <pageSetup paperSize="9" orientation="landscape" horizontalDpi="4294967295" verticalDpi="4294967295" scale="100" fitToWidth="1" fitToHeight="0"/>
  <headerFooter>
    <oddFooter>&amp;L&amp;8CostVision · PCB should-cost&amp;C&amp;8&amp;A&amp;R&amp;8Page &amp;P of &amp;N</oddFooter>
  </headerFooter>
  <rowBreaks count="1" manualBreakCount="1">
    <brk id="23" max="16838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51A"/>
    <pageSetUpPr fitToPage="1"/>
  </sheetPr>
  <dimension ref="B1:M49"/>
  <sheetViews>
    <sheetView workbookViewId="0" showGridLines="0" zoomScale="100"/>
  </sheetViews>
  <sheetFormatPr defaultRowHeight="18" outlineLevelRow="0" outlineLevelCol="0" x14ac:dyDescent="55" customHeight="1"/>
  <cols>
    <col min="1" max="1" width="2" customWidth="1"/>
    <col min="2" max="2" width="16" customWidth="1"/>
    <col min="3" max="5" width="15" customWidth="1"/>
    <col min="6" max="6" width="3" customWidth="1"/>
    <col min="7" max="13" width="13" customWidth="1"/>
  </cols>
  <sheetData>
    <row r="1" ht="34" customHeight="1" spans="2:13" x14ac:dyDescent="0.25">
      <c r="M1" s="1" t="s">
        <v>0</v>
      </c>
    </row>
    <row r="2" ht="26" customHeight="1" spans="2:13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1" spans="2:13" x14ac:dyDescent="0.25">
      <c r="B3" s="3" t="s">
        <v>204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6" customHeight="1" spans="2:13" x14ac:dyDescent="0.25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" customHeight="1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10" customHeight="1" x14ac:dyDescent="0.25"/>
    <row r="7" ht="22" customHeight="1" spans="2:13" x14ac:dyDescent="0.25">
      <c r="B7" s="15" t="s">
        <v>205</v>
      </c>
      <c r="C7" s="15"/>
      <c r="D7" s="15"/>
      <c r="E7" s="15"/>
      <c r="F7" s="15"/>
      <c r="G7" s="15"/>
      <c r="H7" s="16" t="s">
        <v>206</v>
      </c>
      <c r="I7" s="16"/>
      <c r="J7" s="16"/>
      <c r="K7" s="16"/>
      <c r="L7" s="16"/>
      <c r="M7" s="16"/>
    </row>
    <row r="8" ht="42" customHeight="1" spans="2:4" x14ac:dyDescent="0.25">
      <c r="B8" s="18" t="s">
        <v>207</v>
      </c>
      <c r="C8" s="18" t="s">
        <v>208</v>
      </c>
      <c r="D8" s="18" t="s">
        <v>209</v>
      </c>
    </row>
    <row r="9" spans="2:4" x14ac:dyDescent="0.25">
      <c r="B9" s="68">
        <v>100</v>
      </c>
      <c r="C9" s="21">
        <v>99.04</v>
      </c>
      <c r="D9" s="21">
        <v>155.44</v>
      </c>
    </row>
    <row r="10" spans="2:4" x14ac:dyDescent="0.25">
      <c r="B10" s="73">
        <v>250</v>
      </c>
      <c r="C10" s="36">
        <v>68.47</v>
      </c>
      <c r="D10" s="36">
        <v>109.76</v>
      </c>
    </row>
    <row r="11" spans="2:4" x14ac:dyDescent="0.25">
      <c r="B11" s="68">
        <v>500</v>
      </c>
      <c r="C11" s="21">
        <v>49.64</v>
      </c>
      <c r="D11" s="21">
        <v>79.68</v>
      </c>
    </row>
    <row r="12" spans="2:4" x14ac:dyDescent="0.25">
      <c r="B12" s="73">
        <v>1000</v>
      </c>
      <c r="C12" s="36">
        <v>36.76</v>
      </c>
      <c r="D12" s="36">
        <v>55.71</v>
      </c>
    </row>
    <row r="13" spans="2:4" x14ac:dyDescent="0.25">
      <c r="B13" s="68">
        <v>2500</v>
      </c>
      <c r="C13" s="21">
        <v>28.89</v>
      </c>
      <c r="D13" s="21">
        <v>42.23</v>
      </c>
    </row>
    <row r="14" spans="2:4" x14ac:dyDescent="0.25">
      <c r="B14" s="73">
        <v>5000</v>
      </c>
      <c r="C14" s="36">
        <v>23.37</v>
      </c>
      <c r="D14" s="36">
        <v>35.41</v>
      </c>
    </row>
    <row r="15" spans="2:4" x14ac:dyDescent="0.25">
      <c r="B15" s="68">
        <v>10000</v>
      </c>
      <c r="C15" s="21">
        <v>19.76</v>
      </c>
      <c r="D15" s="21">
        <v>30.84</v>
      </c>
    </row>
    <row r="16" spans="2:4" x14ac:dyDescent="0.25">
      <c r="B16" s="73">
        <v>25000</v>
      </c>
      <c r="C16" s="36">
        <v>18.25</v>
      </c>
      <c r="D16" s="36">
        <v>29</v>
      </c>
    </row>
    <row r="17" spans="2:4" x14ac:dyDescent="0.25">
      <c r="B17" s="68">
        <v>100000</v>
      </c>
      <c r="C17" s="21">
        <v>17</v>
      </c>
      <c r="D17" s="21">
        <v>27.42</v>
      </c>
    </row>
    <row r="18" spans="2:4" x14ac:dyDescent="0.25">
      <c r="B18" s="110">
        <v>250000</v>
      </c>
      <c r="C18" s="90">
        <v>15.26</v>
      </c>
      <c r="D18" s="90">
        <v>25.11</v>
      </c>
    </row>
    <row r="19" ht="17.5" customHeight="1" spans="2:4" x14ac:dyDescent="0.25">
      <c r="B19" s="66" t="s">
        <v>210</v>
      </c>
      <c r="C19" s="66"/>
      <c r="D19" s="66"/>
    </row>
    <row r="26" ht="22" customHeight="1" spans="2:13" x14ac:dyDescent="0.25">
      <c r="B26" s="15" t="s">
        <v>211</v>
      </c>
      <c r="C26" s="15"/>
      <c r="D26" s="15"/>
      <c r="E26" s="15"/>
      <c r="F26" s="15"/>
      <c r="G26" s="15"/>
      <c r="H26" s="16" t="s">
        <v>212</v>
      </c>
      <c r="I26" s="16"/>
      <c r="J26" s="16"/>
      <c r="K26" s="16"/>
      <c r="L26" s="16"/>
      <c r="M26" s="16"/>
    </row>
    <row r="27" ht="30" customHeight="1" spans="2:13" x14ac:dyDescent="0.25">
      <c r="B27" s="17" t="s">
        <v>213</v>
      </c>
      <c r="C27" s="17"/>
      <c r="D27" s="17"/>
      <c r="E27" s="17"/>
      <c r="F27" s="18" t="s">
        <v>214</v>
      </c>
      <c r="G27" s="18"/>
      <c r="H27" s="18"/>
      <c r="I27" s="18"/>
      <c r="J27" s="18" t="s">
        <v>215</v>
      </c>
      <c r="K27" s="18"/>
      <c r="L27" s="18"/>
      <c r="M27" s="18"/>
    </row>
    <row r="28" spans="2:13" x14ac:dyDescent="0.25">
      <c r="B28" s="20" t="s">
        <v>216</v>
      </c>
      <c r="C28" s="20"/>
      <c r="D28" s="20"/>
      <c r="E28" s="20"/>
      <c r="F28" s="43">
        <v>2600</v>
      </c>
      <c r="G28" s="43"/>
      <c r="H28" s="43"/>
      <c r="I28" s="43"/>
      <c r="J28" s="69">
        <f>IF('Cost Breakdown'!$D$25=0,0,F28/'Cost Breakdown'!$D$25)</f>
        <v>0.0104</v>
      </c>
      <c r="K28" s="69"/>
      <c r="L28" s="69"/>
      <c r="M28" s="69"/>
    </row>
    <row r="29" spans="2:13" x14ac:dyDescent="0.25">
      <c r="B29" s="35" t="s">
        <v>217</v>
      </c>
      <c r="C29" s="35"/>
      <c r="D29" s="35"/>
      <c r="E29" s="35"/>
      <c r="F29" s="46">
        <v>4400</v>
      </c>
      <c r="G29" s="46"/>
      <c r="H29" s="46"/>
      <c r="I29" s="46"/>
      <c r="J29" s="74">
        <f>IF('Cost Breakdown'!$D$25=0,0,F29/'Cost Breakdown'!$D$25)</f>
        <v>0.0176</v>
      </c>
      <c r="K29" s="74"/>
      <c r="L29" s="74"/>
      <c r="M29" s="74"/>
    </row>
    <row r="30" spans="2:13" x14ac:dyDescent="0.25">
      <c r="B30" s="20" t="s">
        <v>218</v>
      </c>
      <c r="C30" s="20"/>
      <c r="D30" s="20"/>
      <c r="E30" s="20"/>
      <c r="F30" s="43">
        <v>7000</v>
      </c>
      <c r="G30" s="43"/>
      <c r="H30" s="43"/>
      <c r="I30" s="43"/>
      <c r="J30" s="69">
        <f>IF('Cost Breakdown'!$D$25=0,0,F30/'Cost Breakdown'!$D$25)</f>
        <v>0.028</v>
      </c>
      <c r="K30" s="69"/>
      <c r="L30" s="69"/>
      <c r="M30" s="69"/>
    </row>
    <row r="31" spans="2:13" x14ac:dyDescent="0.25">
      <c r="B31" s="35" t="s">
        <v>219</v>
      </c>
      <c r="C31" s="35"/>
      <c r="D31" s="35"/>
      <c r="E31" s="35"/>
      <c r="F31" s="46">
        <v>2200</v>
      </c>
      <c r="G31" s="46"/>
      <c r="H31" s="46"/>
      <c r="I31" s="46"/>
      <c r="J31" s="74">
        <f>IF('Cost Breakdown'!$D$25=0,0,F31/'Cost Breakdown'!$D$25)</f>
        <v>0.0088</v>
      </c>
      <c r="K31" s="74"/>
      <c r="L31" s="74"/>
      <c r="M31" s="74"/>
    </row>
    <row r="32" spans="2:13" x14ac:dyDescent="0.25">
      <c r="B32" s="29" t="s">
        <v>220</v>
      </c>
      <c r="C32" s="29"/>
      <c r="D32" s="29"/>
      <c r="E32" s="29"/>
      <c r="F32" s="111">
        <f>SUM(F28:F31)</f>
        <v>16200</v>
      </c>
      <c r="G32" s="111"/>
      <c r="H32" s="111"/>
      <c r="I32" s="111"/>
      <c r="J32" s="112">
        <f>SUM(J28:J31)</f>
        <v>0.0648</v>
      </c>
      <c r="K32" s="112"/>
      <c r="L32" s="112"/>
      <c r="M32" s="112"/>
    </row>
    <row r="34" ht="22" customHeight="1" spans="2:13" x14ac:dyDescent="0.25">
      <c r="B34" s="15" t="s">
        <v>221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ht="17.5" customHeight="1" spans="2:13" x14ac:dyDescent="0.25">
      <c r="B35" s="113" t="s">
        <v>222</v>
      </c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</row>
    <row r="36" ht="17.5" customHeight="1" spans="2:13" x14ac:dyDescent="0.25">
      <c r="B36" s="113" t="s">
        <v>223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</row>
    <row r="38" ht="22" customHeight="1" spans="2:13" x14ac:dyDescent="0.25">
      <c r="B38" s="15" t="s">
        <v>224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ht="30" customHeight="1" spans="2:13" x14ac:dyDescent="0.25">
      <c r="B39" s="113" t="s">
        <v>225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</row>
    <row r="41" ht="22" customHeight="1" spans="2:13" x14ac:dyDescent="0.25">
      <c r="B41" s="15" t="s">
        <v>226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ht="17.5" customHeight="1" spans="2:13" x14ac:dyDescent="0.25">
      <c r="B42" s="113" t="s">
        <v>227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</row>
    <row r="44" ht="22" customHeight="1" spans="2:13" x14ac:dyDescent="0.25">
      <c r="B44" s="15" t="s">
        <v>228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ht="17.5" customHeight="1" spans="2:13" x14ac:dyDescent="0.25">
      <c r="B45" s="113" t="s">
        <v>229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</row>
    <row r="46" ht="30" customHeight="1" spans="2:13" x14ac:dyDescent="0.25">
      <c r="B46" s="113" t="s">
        <v>230</v>
      </c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</row>
    <row r="47" ht="17.5" customHeight="1" spans="2:13" x14ac:dyDescent="0.25">
      <c r="B47" s="113" t="s">
        <v>231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</row>
    <row r="48" ht="17.5" customHeight="1" spans="2:13" x14ac:dyDescent="0.25">
      <c r="B48" s="113" t="s">
        <v>232</v>
      </c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</row>
    <row r="49" ht="17.5" customHeight="1" spans="2:13" x14ac:dyDescent="0.25">
      <c r="B49" s="113" t="s">
        <v>233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</row>
  </sheetData>
  <mergeCells count="39">
    <mergeCell ref="B2:M2"/>
    <mergeCell ref="B3:M3"/>
    <mergeCell ref="B4:M4"/>
    <mergeCell ref="B7:G7"/>
    <mergeCell ref="H7:M7"/>
    <mergeCell ref="B19:D19"/>
    <mergeCell ref="B26:G26"/>
    <mergeCell ref="H26:M26"/>
    <mergeCell ref="B27:E27"/>
    <mergeCell ref="F27:I27"/>
    <mergeCell ref="J27:M27"/>
    <mergeCell ref="B28:E28"/>
    <mergeCell ref="F28:I28"/>
    <mergeCell ref="J28:M28"/>
    <mergeCell ref="B29:E29"/>
    <mergeCell ref="F29:I29"/>
    <mergeCell ref="J29:M29"/>
    <mergeCell ref="B30:E30"/>
    <mergeCell ref="F30:I30"/>
    <mergeCell ref="J30:M30"/>
    <mergeCell ref="B31:E31"/>
    <mergeCell ref="F31:I31"/>
    <mergeCell ref="J31:M31"/>
    <mergeCell ref="B32:E32"/>
    <mergeCell ref="F32:I32"/>
    <mergeCell ref="J32:M32"/>
    <mergeCell ref="B34:M34"/>
    <mergeCell ref="B35:M35"/>
    <mergeCell ref="B36:M36"/>
    <mergeCell ref="B38:M38"/>
    <mergeCell ref="B39:M39"/>
    <mergeCell ref="B41:M41"/>
    <mergeCell ref="B42:M42"/>
    <mergeCell ref="B44:M44"/>
    <mergeCell ref="B45:M45"/>
    <mergeCell ref="B46:M46"/>
    <mergeCell ref="B47:M47"/>
    <mergeCell ref="B48:M48"/>
    <mergeCell ref="B49:M49"/>
  </mergeCells>
  <printOptions horizontalCentered="1"/>
  <pageMargins left="0.4" right="0.4" top="0.55" bottom="0.55" header="0.25" footer="0.25"/>
  <pageSetup paperSize="9" orientation="landscape" horizontalDpi="4294967295" verticalDpi="4294967295" scale="100" fitToWidth="1" fitToHeight="0"/>
  <headerFooter>
    <oddFooter>&amp;L&amp;8CostVision · PCB should-cost&amp;C&amp;8&amp;A&amp;R&amp;8Page &amp;P of &amp;N</oddFooter>
  </headerFooter>
  <rowBreaks count="1" manualBreakCount="1">
    <brk id="25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Cost Breakdown</vt:lpstr>
      <vt:lpstr>Bill of Materials</vt:lpstr>
      <vt:lpstr>Board &amp; Assembly</vt:lpstr>
      <vt:lpstr>Countries</vt:lpstr>
      <vt:lpstr>Volume &amp; Notes</vt:lpstr>
    </vt:vector>
  </TitlesOfParts>
  <Company>CostVision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CostVision</dc:creator>
  <dc:title>360 DEGREE CAMERA PCB — PCB should-cost</dc:title>
  <dc:subject/>
  <dc:description/>
  <cp:keywords/>
  <cp:category/>
  <cp:lastModifiedBy>Unknown</cp:lastModifiedBy>
  <dcterms:created xsi:type="dcterms:W3CDTF">2026-10-06T15:35:36Z</dcterms:created>
  <dcterms:modified xsi:type="dcterms:W3CDTF">2026-10-06T15:35:36Z</dcterms:modified>
</cp:coreProperties>
</file>